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eduka\Downloads\"/>
    </mc:Choice>
  </mc:AlternateContent>
  <xr:revisionPtr revIDLastSave="0" documentId="13_ncr:1_{3ABA3EF6-F846-480A-A028-42E95D70FDD0}" xr6:coauthVersionLast="47" xr6:coauthVersionMax="47" xr10:uidLastSave="{00000000-0000-0000-0000-000000000000}"/>
  <bookViews>
    <workbookView xWindow="-110" yWindow="-110" windowWidth="19420" windowHeight="10300" firstSheet="10" activeTab="16" xr2:uid="{CA6AFAEE-E497-4A89-A499-A4B6EAE4345F}"/>
  </bookViews>
  <sheets>
    <sheet name="AIL" sheetId="6" r:id="rId1"/>
    <sheet name="DIF-Rasch-AIL" sheetId="29" r:id="rId2"/>
    <sheet name="LAD" sheetId="12" r:id="rId3"/>
    <sheet name="DIF-Rasch- LAD" sheetId="30" r:id="rId4"/>
    <sheet name="IMR" sheetId="9" r:id="rId5"/>
    <sheet name="DIF-Rasch-IMR" sheetId="27" r:id="rId6"/>
    <sheet name="IMR (Soal Baru)" sheetId="13" r:id="rId7"/>
    <sheet name="DIF-Rasch-IMR Update" sheetId="28" r:id="rId8"/>
    <sheet name="ToT" sheetId="8" r:id="rId9"/>
    <sheet name="DIF-Rasch-ToT OBE" sheetId="23" r:id="rId10"/>
    <sheet name="TKO" sheetId="7" r:id="rId11"/>
    <sheet name="DIF-Rasch-TKO" sheetId="24" r:id="rId12"/>
    <sheet name="AUI" sheetId="11" r:id="rId13"/>
    <sheet name="DIF-Rasch-AUI" sheetId="26" r:id="rId14"/>
    <sheet name="LIM" sheetId="1" r:id="rId15"/>
    <sheet name="DIF-Rasch-LIM" sheetId="25" r:id="rId16"/>
    <sheet name="Asesi" sheetId="14" r:id="rId17"/>
  </sheets>
  <definedNames>
    <definedName name="_xlnm._FilterDatabase" localSheetId="16" hidden="1">Asesi!$A$1:$E$61</definedName>
    <definedName name="_xlnm.Print_Area" localSheetId="12">AUI!$A$1:$AE$113</definedName>
    <definedName name="_xlnm.Print_Area" localSheetId="3">'DIF-Rasch- LAD'!$A$1:$AB$111</definedName>
    <definedName name="_xlnm.Print_Area" localSheetId="1">'DIF-Rasch-AIL'!$A$1:$AB$111</definedName>
    <definedName name="_xlnm.Print_Area" localSheetId="13">'DIF-Rasch-AUI'!$A$1:$AB$111</definedName>
    <definedName name="_xlnm.Print_Area" localSheetId="5">'DIF-Rasch-IMR'!$A$1:$AB$111</definedName>
    <definedName name="_xlnm.Print_Area" localSheetId="7">'DIF-Rasch-IMR Update'!$A$1:$AB$111</definedName>
    <definedName name="_xlnm.Print_Area" localSheetId="15">'DIF-Rasch-LIM'!$A$1:$AB$111</definedName>
    <definedName name="_xlnm.Print_Area" localSheetId="11">'DIF-Rasch-TKO'!$A$1:$AB$111</definedName>
    <definedName name="_xlnm.Print_Area" localSheetId="9">'DIF-Rasch-ToT OBE'!$A$1:$AB$111</definedName>
    <definedName name="_xlnm.Print_Area" localSheetId="14">LIM!$A$1:$AE$113</definedName>
    <definedName name="_xlnm.Print_Area" localSheetId="10">TKO!$A$1:$AE$113</definedName>
    <definedName name="solver_adj" localSheetId="0" hidden="1">AIL!$B$5:$I$104</definedName>
    <definedName name="solver_adj" localSheetId="12" hidden="1">AUI!$B$5:$I$104</definedName>
    <definedName name="solver_adj" localSheetId="4" hidden="1">IMR!$B$5:$I$104</definedName>
    <definedName name="solver_adj" localSheetId="6" hidden="1">'IMR (Soal Baru)'!$B$5:$I$104</definedName>
    <definedName name="solver_adj" localSheetId="8" hidden="1">ToT!$B$5:$I$104</definedName>
    <definedName name="solver_cvg" localSheetId="0" hidden="1">0.0001</definedName>
    <definedName name="solver_cvg" localSheetId="12" hidden="1">0.0001</definedName>
    <definedName name="solver_cvg" localSheetId="4" hidden="1">0.0001</definedName>
    <definedName name="solver_cvg" localSheetId="6" hidden="1">0.0001</definedName>
    <definedName name="solver_cvg" localSheetId="8" hidden="1">0.0001</definedName>
    <definedName name="solver_drv" localSheetId="0" hidden="1">1</definedName>
    <definedName name="solver_drv" localSheetId="12" hidden="1">1</definedName>
    <definedName name="solver_drv" localSheetId="4" hidden="1">1</definedName>
    <definedName name="solver_drv" localSheetId="6" hidden="1">1</definedName>
    <definedName name="solver_drv" localSheetId="8" hidden="1">1</definedName>
    <definedName name="solver_eng" localSheetId="0" hidden="1">2</definedName>
    <definedName name="solver_eng" localSheetId="12" hidden="1">2</definedName>
    <definedName name="solver_eng" localSheetId="4" hidden="1">2</definedName>
    <definedName name="solver_eng" localSheetId="6" hidden="1">2</definedName>
    <definedName name="solver_eng" localSheetId="8" hidden="1">2</definedName>
    <definedName name="solver_est" localSheetId="0" hidden="1">1</definedName>
    <definedName name="solver_est" localSheetId="12" hidden="1">1</definedName>
    <definedName name="solver_est" localSheetId="4" hidden="1">1</definedName>
    <definedName name="solver_est" localSheetId="6" hidden="1">1</definedName>
    <definedName name="solver_est" localSheetId="8" hidden="1">1</definedName>
    <definedName name="solver_itr" localSheetId="0" hidden="1">2147483647</definedName>
    <definedName name="solver_itr" localSheetId="12" hidden="1">2147483647</definedName>
    <definedName name="solver_itr" localSheetId="4" hidden="1">2147483647</definedName>
    <definedName name="solver_itr" localSheetId="6" hidden="1">2147483647</definedName>
    <definedName name="solver_itr" localSheetId="8" hidden="1">2147483647</definedName>
    <definedName name="solver_lhs1" localSheetId="0" hidden="1">AIL!$B$105:$E$105</definedName>
    <definedName name="solver_lhs1" localSheetId="12" hidden="1">AUI!$B$105:$E$105</definedName>
    <definedName name="solver_lhs1" localSheetId="4" hidden="1">IMR!$B$105:$E$105</definedName>
    <definedName name="solver_lhs1" localSheetId="6" hidden="1">'IMR (Soal Baru)'!$B$105:$E$105</definedName>
    <definedName name="solver_lhs1" localSheetId="8" hidden="1">ToT!$B$105:$E$105</definedName>
    <definedName name="solver_lhs2" localSheetId="0" hidden="1">AIL!$B$5:$I$104</definedName>
    <definedName name="solver_lhs2" localSheetId="12" hidden="1">AUI!$B$5:$I$104</definedName>
    <definedName name="solver_lhs2" localSheetId="4" hidden="1">IMR!$B$5:$I$104</definedName>
    <definedName name="solver_lhs2" localSheetId="6" hidden="1">'IMR (Soal Baru)'!$B$5:$I$104</definedName>
    <definedName name="solver_lhs2" localSheetId="8" hidden="1">ToT!$B$5:$I$104</definedName>
    <definedName name="solver_lhs3" localSheetId="0" hidden="1">AIL!$F$105:$I$105</definedName>
    <definedName name="solver_lhs3" localSheetId="12" hidden="1">AUI!$F$105:$I$105</definedName>
    <definedName name="solver_lhs3" localSheetId="4" hidden="1">IMR!$F$105:$I$105</definedName>
    <definedName name="solver_lhs3" localSheetId="6" hidden="1">'IMR (Soal Baru)'!$F$105:$I$105</definedName>
    <definedName name="solver_lhs3" localSheetId="8" hidden="1">ToT!$F$105:$I$105</definedName>
    <definedName name="solver_lhs4" localSheetId="0" hidden="1">AIL!$J$105</definedName>
    <definedName name="solver_lhs4" localSheetId="12" hidden="1">AUI!$J$105</definedName>
    <definedName name="solver_lhs4" localSheetId="4" hidden="1">IMR!$J$105</definedName>
    <definedName name="solver_lhs4" localSheetId="6" hidden="1">'IMR (Soal Baru)'!$J$105</definedName>
    <definedName name="solver_lhs4" localSheetId="8" hidden="1">ToT!$J$105</definedName>
    <definedName name="solver_lhs5" localSheetId="0" hidden="1">AIL!$J$5:$J$104</definedName>
    <definedName name="solver_lhs5" localSheetId="12" hidden="1">AUI!$J$5:$J$104</definedName>
    <definedName name="solver_lhs5" localSheetId="4" hidden="1">IMR!$J$5:$J$104</definedName>
    <definedName name="solver_lhs5" localSheetId="6" hidden="1">'IMR (Soal Baru)'!$J$5:$J$104</definedName>
    <definedName name="solver_lhs5" localSheetId="8" hidden="1">ToT!$J$5:$J$104</definedName>
    <definedName name="solver_lhs6" localSheetId="0" hidden="1">AIL!$N$5:$N$104</definedName>
    <definedName name="solver_lhs6" localSheetId="12" hidden="1">AUI!$N$5:$N$104</definedName>
    <definedName name="solver_lhs6" localSheetId="4" hidden="1">IMR!$N$5:$N$104</definedName>
    <definedName name="solver_lhs6" localSheetId="6" hidden="1">'IMR (Soal Baru)'!$N$5:$N$104</definedName>
    <definedName name="solver_lhs6" localSheetId="8" hidden="1">ToT!$N$5:$N$104</definedName>
    <definedName name="solver_mip" localSheetId="0" hidden="1">2147483647</definedName>
    <definedName name="solver_mip" localSheetId="12" hidden="1">2147483647</definedName>
    <definedName name="solver_mip" localSheetId="4" hidden="1">2147483647</definedName>
    <definedName name="solver_mip" localSheetId="6" hidden="1">2147483647</definedName>
    <definedName name="solver_mip" localSheetId="8" hidden="1">2147483647</definedName>
    <definedName name="solver_mni" localSheetId="0" hidden="1">30</definedName>
    <definedName name="solver_mni" localSheetId="12" hidden="1">30</definedName>
    <definedName name="solver_mni" localSheetId="4" hidden="1">30</definedName>
    <definedName name="solver_mni" localSheetId="6" hidden="1">30</definedName>
    <definedName name="solver_mni" localSheetId="8" hidden="1">30</definedName>
    <definedName name="solver_mrt" localSheetId="0" hidden="1">0.075</definedName>
    <definedName name="solver_mrt" localSheetId="12" hidden="1">0.075</definedName>
    <definedName name="solver_mrt" localSheetId="4" hidden="1">0.075</definedName>
    <definedName name="solver_mrt" localSheetId="6" hidden="1">0.075</definedName>
    <definedName name="solver_mrt" localSheetId="8" hidden="1">0.075</definedName>
    <definedName name="solver_msl" localSheetId="0" hidden="1">2</definedName>
    <definedName name="solver_msl" localSheetId="12" hidden="1">2</definedName>
    <definedName name="solver_msl" localSheetId="4" hidden="1">2</definedName>
    <definedName name="solver_msl" localSheetId="6" hidden="1">2</definedName>
    <definedName name="solver_msl" localSheetId="8" hidden="1">2</definedName>
    <definedName name="solver_neg" localSheetId="0" hidden="1">1</definedName>
    <definedName name="solver_neg" localSheetId="12" hidden="1">1</definedName>
    <definedName name="solver_neg" localSheetId="4" hidden="1">1</definedName>
    <definedName name="solver_neg" localSheetId="6" hidden="1">1</definedName>
    <definedName name="solver_neg" localSheetId="8" hidden="1">1</definedName>
    <definedName name="solver_nod" localSheetId="0" hidden="1">2147483647</definedName>
    <definedName name="solver_nod" localSheetId="12" hidden="1">2147483647</definedName>
    <definedName name="solver_nod" localSheetId="4" hidden="1">2147483647</definedName>
    <definedName name="solver_nod" localSheetId="6" hidden="1">2147483647</definedName>
    <definedName name="solver_nod" localSheetId="8" hidden="1">2147483647</definedName>
    <definedName name="solver_num" localSheetId="0" hidden="1">3</definedName>
    <definedName name="solver_num" localSheetId="12" hidden="1">3</definedName>
    <definedName name="solver_num" localSheetId="4" hidden="1">3</definedName>
    <definedName name="solver_num" localSheetId="6" hidden="1">3</definedName>
    <definedName name="solver_num" localSheetId="8" hidden="1">3</definedName>
    <definedName name="solver_nwt" localSheetId="0" hidden="1">1</definedName>
    <definedName name="solver_nwt" localSheetId="12" hidden="1">1</definedName>
    <definedName name="solver_nwt" localSheetId="4" hidden="1">1</definedName>
    <definedName name="solver_nwt" localSheetId="6" hidden="1">1</definedName>
    <definedName name="solver_nwt" localSheetId="8" hidden="1">1</definedName>
    <definedName name="solver_opt" localSheetId="0" hidden="1">AIL!$P$105</definedName>
    <definedName name="solver_opt" localSheetId="12" hidden="1">AUI!#REF!</definedName>
    <definedName name="solver_opt" localSheetId="4" hidden="1">IMR!#REF!</definedName>
    <definedName name="solver_opt" localSheetId="6" hidden="1">'IMR (Soal Baru)'!#REF!</definedName>
    <definedName name="solver_opt" localSheetId="8" hidden="1">ToT!$P$105</definedName>
    <definedName name="solver_pre" localSheetId="0" hidden="1">0.000001</definedName>
    <definedName name="solver_pre" localSheetId="12" hidden="1">0.000001</definedName>
    <definedName name="solver_pre" localSheetId="4" hidden="1">0.000001</definedName>
    <definedName name="solver_pre" localSheetId="6" hidden="1">0.000001</definedName>
    <definedName name="solver_pre" localSheetId="8" hidden="1">0.000001</definedName>
    <definedName name="solver_rbv" localSheetId="0" hidden="1">1</definedName>
    <definedName name="solver_rbv" localSheetId="12" hidden="1">1</definedName>
    <definedName name="solver_rbv" localSheetId="4" hidden="1">1</definedName>
    <definedName name="solver_rbv" localSheetId="6" hidden="1">1</definedName>
    <definedName name="solver_rbv" localSheetId="8" hidden="1">1</definedName>
    <definedName name="solver_rel1" localSheetId="0" hidden="1">1</definedName>
    <definedName name="solver_rel1" localSheetId="12" hidden="1">1</definedName>
    <definedName name="solver_rel1" localSheetId="4" hidden="1">1</definedName>
    <definedName name="solver_rel1" localSheetId="6" hidden="1">1</definedName>
    <definedName name="solver_rel1" localSheetId="8" hidden="1">1</definedName>
    <definedName name="solver_rel2" localSheetId="0" hidden="1">5</definedName>
    <definedName name="solver_rel2" localSheetId="12" hidden="1">5</definedName>
    <definedName name="solver_rel2" localSheetId="4" hidden="1">5</definedName>
    <definedName name="solver_rel2" localSheetId="6" hidden="1">5</definedName>
    <definedName name="solver_rel2" localSheetId="8" hidden="1">5</definedName>
    <definedName name="solver_rel3" localSheetId="0" hidden="1">3</definedName>
    <definedName name="solver_rel3" localSheetId="12" hidden="1">3</definedName>
    <definedName name="solver_rel3" localSheetId="4" hidden="1">3</definedName>
    <definedName name="solver_rel3" localSheetId="6" hidden="1">3</definedName>
    <definedName name="solver_rel3" localSheetId="8" hidden="1">3</definedName>
    <definedName name="solver_rel4" localSheetId="0" hidden="1">3</definedName>
    <definedName name="solver_rel4" localSheetId="12" hidden="1">3</definedName>
    <definedName name="solver_rel4" localSheetId="4" hidden="1">3</definedName>
    <definedName name="solver_rel4" localSheetId="6" hidden="1">3</definedName>
    <definedName name="solver_rel4" localSheetId="8" hidden="1">3</definedName>
    <definedName name="solver_rel5" localSheetId="0" hidden="1">5</definedName>
    <definedName name="solver_rel5" localSheetId="12" hidden="1">5</definedName>
    <definedName name="solver_rel5" localSheetId="4" hidden="1">5</definedName>
    <definedName name="solver_rel5" localSheetId="6" hidden="1">5</definedName>
    <definedName name="solver_rel5" localSheetId="8" hidden="1">5</definedName>
    <definedName name="solver_rel6" localSheetId="0" hidden="1">3</definedName>
    <definedName name="solver_rel6" localSheetId="12" hidden="1">3</definedName>
    <definedName name="solver_rel6" localSheetId="4" hidden="1">3</definedName>
    <definedName name="solver_rel6" localSheetId="6" hidden="1">3</definedName>
    <definedName name="solver_rel6" localSheetId="8" hidden="1">3</definedName>
    <definedName name="solver_rhs1" localSheetId="0" hidden="1">65</definedName>
    <definedName name="solver_rhs1" localSheetId="12" hidden="1">65</definedName>
    <definedName name="solver_rhs1" localSheetId="4" hidden="1">65</definedName>
    <definedName name="solver_rhs1" localSheetId="6" hidden="1">65</definedName>
    <definedName name="solver_rhs1" localSheetId="8" hidden="1">65</definedName>
    <definedName name="solver_rhs2" localSheetId="0" hidden="1">"binary"</definedName>
    <definedName name="solver_rhs2" localSheetId="12" hidden="1">"binary"</definedName>
    <definedName name="solver_rhs2" localSheetId="4" hidden="1">"binary"</definedName>
    <definedName name="solver_rhs2" localSheetId="6" hidden="1">"binary"</definedName>
    <definedName name="solver_rhs2" localSheetId="8" hidden="1">"binary"</definedName>
    <definedName name="solver_rhs3" localSheetId="0" hidden="1">83</definedName>
    <definedName name="solver_rhs3" localSheetId="12" hidden="1">83</definedName>
    <definedName name="solver_rhs3" localSheetId="4" hidden="1">83</definedName>
    <definedName name="solver_rhs3" localSheetId="6" hidden="1">83</definedName>
    <definedName name="solver_rhs3" localSheetId="8" hidden="1">83</definedName>
    <definedName name="solver_rhs4" localSheetId="0" hidden="1">85</definedName>
    <definedName name="solver_rhs4" localSheetId="12" hidden="1">85</definedName>
    <definedName name="solver_rhs4" localSheetId="4" hidden="1">85</definedName>
    <definedName name="solver_rhs4" localSheetId="6" hidden="1">85</definedName>
    <definedName name="solver_rhs4" localSheetId="8" hidden="1">85</definedName>
    <definedName name="solver_rhs5" localSheetId="0" hidden="1">"binary"</definedName>
    <definedName name="solver_rhs5" localSheetId="12" hidden="1">"binary"</definedName>
    <definedName name="solver_rhs5" localSheetId="4" hidden="1">"binary"</definedName>
    <definedName name="solver_rhs5" localSheetId="6" hidden="1">"binary"</definedName>
    <definedName name="solver_rhs5" localSheetId="8" hidden="1">"binary"</definedName>
    <definedName name="solver_rhs6" localSheetId="0" hidden="1">0.5</definedName>
    <definedName name="solver_rhs6" localSheetId="12" hidden="1">0.5</definedName>
    <definedName name="solver_rhs6" localSheetId="4" hidden="1">0.5</definedName>
    <definedName name="solver_rhs6" localSheetId="6" hidden="1">0.5</definedName>
    <definedName name="solver_rhs6" localSheetId="8" hidden="1">0.5</definedName>
    <definedName name="solver_rlx" localSheetId="0" hidden="1">2</definedName>
    <definedName name="solver_rlx" localSheetId="12" hidden="1">2</definedName>
    <definedName name="solver_rlx" localSheetId="4" hidden="1">2</definedName>
    <definedName name="solver_rlx" localSheetId="6" hidden="1">2</definedName>
    <definedName name="solver_rlx" localSheetId="8" hidden="1">2</definedName>
    <definedName name="solver_rsd" localSheetId="0" hidden="1">0</definedName>
    <definedName name="solver_rsd" localSheetId="12" hidden="1">0</definedName>
    <definedName name="solver_rsd" localSheetId="4" hidden="1">0</definedName>
    <definedName name="solver_rsd" localSheetId="6" hidden="1">0</definedName>
    <definedName name="solver_rsd" localSheetId="8" hidden="1">0</definedName>
    <definedName name="solver_scl" localSheetId="0" hidden="1">1</definedName>
    <definedName name="solver_scl" localSheetId="12" hidden="1">1</definedName>
    <definedName name="solver_scl" localSheetId="4" hidden="1">1</definedName>
    <definedName name="solver_scl" localSheetId="6" hidden="1">1</definedName>
    <definedName name="solver_scl" localSheetId="8" hidden="1">1</definedName>
    <definedName name="solver_sho" localSheetId="0" hidden="1">2</definedName>
    <definedName name="solver_sho" localSheetId="12" hidden="1">2</definedName>
    <definedName name="solver_sho" localSheetId="4" hidden="1">2</definedName>
    <definedName name="solver_sho" localSheetId="6" hidden="1">2</definedName>
    <definedName name="solver_sho" localSheetId="8" hidden="1">2</definedName>
    <definedName name="solver_ssz" localSheetId="0" hidden="1">100</definedName>
    <definedName name="solver_ssz" localSheetId="12" hidden="1">100</definedName>
    <definedName name="solver_ssz" localSheetId="4" hidden="1">100</definedName>
    <definedName name="solver_ssz" localSheetId="6" hidden="1">100</definedName>
    <definedName name="solver_ssz" localSheetId="8" hidden="1">100</definedName>
    <definedName name="solver_tim" localSheetId="0" hidden="1">2147483647</definedName>
    <definedName name="solver_tim" localSheetId="12" hidden="1">2147483647</definedName>
    <definedName name="solver_tim" localSheetId="4" hidden="1">2147483647</definedName>
    <definedName name="solver_tim" localSheetId="6" hidden="1">2147483647</definedName>
    <definedName name="solver_tim" localSheetId="8" hidden="1">2147483647</definedName>
    <definedName name="solver_tol" localSheetId="0" hidden="1">0.01</definedName>
    <definedName name="solver_tol" localSheetId="12" hidden="1">0.01</definedName>
    <definedName name="solver_tol" localSheetId="4" hidden="1">0.01</definedName>
    <definedName name="solver_tol" localSheetId="6" hidden="1">0.01</definedName>
    <definedName name="solver_tol" localSheetId="8" hidden="1">0.01</definedName>
    <definedName name="solver_typ" localSheetId="0" hidden="1">3</definedName>
    <definedName name="solver_typ" localSheetId="12" hidden="1">1</definedName>
    <definedName name="solver_typ" localSheetId="4" hidden="1">1</definedName>
    <definedName name="solver_typ" localSheetId="6" hidden="1">1</definedName>
    <definedName name="solver_typ" localSheetId="8" hidden="1">3</definedName>
    <definedName name="solver_val" localSheetId="0" hidden="1">100</definedName>
    <definedName name="solver_val" localSheetId="12" hidden="1">100</definedName>
    <definedName name="solver_val" localSheetId="4" hidden="1">100</definedName>
    <definedName name="solver_val" localSheetId="6" hidden="1">100</definedName>
    <definedName name="solver_val" localSheetId="8" hidden="1">100</definedName>
    <definedName name="solver_ver" localSheetId="0" hidden="1">3</definedName>
    <definedName name="solver_ver" localSheetId="12" hidden="1">3</definedName>
    <definedName name="solver_ver" localSheetId="4" hidden="1">3</definedName>
    <definedName name="solver_ver" localSheetId="6" hidden="1">3</definedName>
    <definedName name="solver_ver" localSheetId="8"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6" i="25" l="1"/>
  <c r="U6" i="25"/>
  <c r="AB11" i="29"/>
  <c r="B8" i="30"/>
  <c r="C8" i="30"/>
  <c r="D8" i="30"/>
  <c r="E8" i="30"/>
  <c r="F8" i="30"/>
  <c r="G8" i="30"/>
  <c r="L47" i="30" s="1"/>
  <c r="H8" i="30"/>
  <c r="I8" i="30"/>
  <c r="J8" i="30"/>
  <c r="K8" i="30"/>
  <c r="A11" i="30"/>
  <c r="B11" i="30"/>
  <c r="C11" i="30"/>
  <c r="D11" i="30"/>
  <c r="E11" i="30"/>
  <c r="F11" i="30"/>
  <c r="G11" i="30"/>
  <c r="H11" i="30"/>
  <c r="I11" i="30"/>
  <c r="J11" i="30"/>
  <c r="K11" i="30"/>
  <c r="O11" i="30"/>
  <c r="A12" i="30"/>
  <c r="B12" i="30"/>
  <c r="C12" i="30"/>
  <c r="D12" i="30"/>
  <c r="E12" i="30"/>
  <c r="F12" i="30"/>
  <c r="G12" i="30"/>
  <c r="H12" i="30"/>
  <c r="I12" i="30"/>
  <c r="J12" i="30"/>
  <c r="K12" i="30"/>
  <c r="A13" i="30"/>
  <c r="B13" i="30"/>
  <c r="C13" i="30"/>
  <c r="D13" i="30"/>
  <c r="E13" i="30"/>
  <c r="F13" i="30"/>
  <c r="G13" i="30"/>
  <c r="H13" i="30"/>
  <c r="I13" i="30"/>
  <c r="J13" i="30"/>
  <c r="K13" i="30"/>
  <c r="A14" i="30"/>
  <c r="B14" i="30"/>
  <c r="C14" i="30"/>
  <c r="D14" i="30"/>
  <c r="E14" i="30"/>
  <c r="F14" i="30"/>
  <c r="G14" i="30"/>
  <c r="H14" i="30"/>
  <c r="I14" i="30"/>
  <c r="J14" i="30"/>
  <c r="K14" i="30"/>
  <c r="A15" i="30"/>
  <c r="B15" i="30"/>
  <c r="C15" i="30"/>
  <c r="D15" i="30"/>
  <c r="E15" i="30"/>
  <c r="F15" i="30"/>
  <c r="O15" i="30" s="1"/>
  <c r="G15" i="30"/>
  <c r="H15" i="30"/>
  <c r="I15" i="30"/>
  <c r="J15" i="30"/>
  <c r="K15" i="30"/>
  <c r="A16" i="30"/>
  <c r="B16" i="30"/>
  <c r="C16" i="30"/>
  <c r="D16" i="30"/>
  <c r="E16" i="30"/>
  <c r="F16" i="30"/>
  <c r="G16" i="30"/>
  <c r="H16" i="30"/>
  <c r="I16" i="30"/>
  <c r="J16" i="30"/>
  <c r="K16" i="30"/>
  <c r="A17" i="30"/>
  <c r="B17" i="30"/>
  <c r="C17" i="30"/>
  <c r="D17" i="30"/>
  <c r="E17" i="30"/>
  <c r="F17" i="30"/>
  <c r="G17" i="30"/>
  <c r="H17" i="30"/>
  <c r="I17" i="30"/>
  <c r="J17" i="30"/>
  <c r="K17" i="30"/>
  <c r="A18" i="30"/>
  <c r="B18" i="30"/>
  <c r="C18" i="30"/>
  <c r="D18" i="30"/>
  <c r="E18" i="30"/>
  <c r="F18" i="30"/>
  <c r="G18" i="30"/>
  <c r="H18" i="30"/>
  <c r="I18" i="30"/>
  <c r="J18" i="30"/>
  <c r="K18" i="30"/>
  <c r="A19" i="30"/>
  <c r="B19" i="30"/>
  <c r="C19" i="30"/>
  <c r="D19" i="30"/>
  <c r="E19" i="30"/>
  <c r="F19" i="30"/>
  <c r="G19" i="30"/>
  <c r="H19" i="30"/>
  <c r="I19" i="30"/>
  <c r="J19" i="30"/>
  <c r="K19" i="30"/>
  <c r="O19" i="30"/>
  <c r="A20" i="30"/>
  <c r="B20" i="30"/>
  <c r="C20" i="30"/>
  <c r="D20" i="30"/>
  <c r="E20" i="30"/>
  <c r="F20" i="30"/>
  <c r="G20" i="30"/>
  <c r="H20" i="30"/>
  <c r="I20" i="30"/>
  <c r="J20" i="30"/>
  <c r="K20" i="30"/>
  <c r="A21" i="30"/>
  <c r="B21" i="30"/>
  <c r="C21" i="30"/>
  <c r="D21" i="30"/>
  <c r="E21" i="30"/>
  <c r="E111" i="30" s="1"/>
  <c r="F21" i="30"/>
  <c r="O21" i="30" s="1"/>
  <c r="G21" i="30"/>
  <c r="H21" i="30"/>
  <c r="I21" i="30"/>
  <c r="J21" i="30"/>
  <c r="K21" i="30"/>
  <c r="A22" i="30"/>
  <c r="B22" i="30"/>
  <c r="C22" i="30"/>
  <c r="D22" i="30"/>
  <c r="E22" i="30"/>
  <c r="F22" i="30"/>
  <c r="G22" i="30"/>
  <c r="H22" i="30"/>
  <c r="I22" i="30"/>
  <c r="I111" i="30" s="1"/>
  <c r="J22" i="30"/>
  <c r="K22" i="30"/>
  <c r="A23" i="30"/>
  <c r="B23" i="30"/>
  <c r="O23" i="30" s="1"/>
  <c r="C23" i="30"/>
  <c r="D23" i="30"/>
  <c r="E23" i="30"/>
  <c r="F23" i="30"/>
  <c r="G23" i="30"/>
  <c r="H23" i="30"/>
  <c r="I23" i="30"/>
  <c r="J23" i="30"/>
  <c r="K23" i="30"/>
  <c r="A24" i="30"/>
  <c r="B24" i="30"/>
  <c r="C24" i="30"/>
  <c r="D24" i="30"/>
  <c r="E24" i="30"/>
  <c r="F24" i="30"/>
  <c r="G24" i="30"/>
  <c r="H24" i="30"/>
  <c r="I24" i="30"/>
  <c r="J24" i="30"/>
  <c r="K24" i="30"/>
  <c r="A25" i="30"/>
  <c r="B25" i="30"/>
  <c r="C25" i="30"/>
  <c r="D25" i="30"/>
  <c r="E25" i="30"/>
  <c r="F25" i="30"/>
  <c r="G25" i="30"/>
  <c r="H25" i="30"/>
  <c r="I25" i="30"/>
  <c r="J25" i="30"/>
  <c r="K25" i="30"/>
  <c r="O25" i="30"/>
  <c r="A26" i="30"/>
  <c r="B26" i="30"/>
  <c r="C26" i="30"/>
  <c r="C111" i="30" s="1"/>
  <c r="D26" i="30"/>
  <c r="E26" i="30"/>
  <c r="F26" i="30"/>
  <c r="G26" i="30"/>
  <c r="H26" i="30"/>
  <c r="I26" i="30"/>
  <c r="J26" i="30"/>
  <c r="K26" i="30"/>
  <c r="K111" i="30" s="1"/>
  <c r="A27" i="30"/>
  <c r="B27" i="30"/>
  <c r="C27" i="30"/>
  <c r="D27" i="30"/>
  <c r="E27" i="30"/>
  <c r="F27" i="30"/>
  <c r="G27" i="30"/>
  <c r="H27" i="30"/>
  <c r="I27" i="30"/>
  <c r="J27" i="30"/>
  <c r="K27" i="30"/>
  <c r="O27" i="30"/>
  <c r="A28" i="30"/>
  <c r="B28" i="30"/>
  <c r="C28" i="30"/>
  <c r="D28" i="30"/>
  <c r="E28" i="30"/>
  <c r="F28" i="30"/>
  <c r="G28" i="30"/>
  <c r="H28" i="30"/>
  <c r="I28" i="30"/>
  <c r="J28" i="30"/>
  <c r="K28" i="30"/>
  <c r="A29" i="30"/>
  <c r="B29" i="30"/>
  <c r="O29" i="30" s="1"/>
  <c r="C29" i="30"/>
  <c r="D29" i="30"/>
  <c r="E29" i="30"/>
  <c r="F29" i="30"/>
  <c r="G29" i="30"/>
  <c r="H29" i="30"/>
  <c r="I29" i="30"/>
  <c r="J29" i="30"/>
  <c r="K29" i="30"/>
  <c r="A30" i="30"/>
  <c r="B30" i="30"/>
  <c r="C30" i="30"/>
  <c r="D30" i="30"/>
  <c r="E30" i="30"/>
  <c r="F30" i="30"/>
  <c r="G30" i="30"/>
  <c r="H30" i="30"/>
  <c r="I30" i="30"/>
  <c r="J30" i="30"/>
  <c r="K30" i="30"/>
  <c r="A31" i="30"/>
  <c r="B31" i="30"/>
  <c r="O31" i="30" s="1"/>
  <c r="C31" i="30"/>
  <c r="D31" i="30"/>
  <c r="E31" i="30"/>
  <c r="F31" i="30"/>
  <c r="G31" i="30"/>
  <c r="H31" i="30"/>
  <c r="I31" i="30"/>
  <c r="J31" i="30"/>
  <c r="K31" i="30"/>
  <c r="A32" i="30"/>
  <c r="B32" i="30"/>
  <c r="C32" i="30"/>
  <c r="D32" i="30"/>
  <c r="E32" i="30"/>
  <c r="F32" i="30"/>
  <c r="G32" i="30"/>
  <c r="H32" i="30"/>
  <c r="I32" i="30"/>
  <c r="J32" i="30"/>
  <c r="K32" i="30"/>
  <c r="A33" i="30"/>
  <c r="B33" i="30"/>
  <c r="C33" i="30"/>
  <c r="D33" i="30"/>
  <c r="E33" i="30"/>
  <c r="F33" i="30"/>
  <c r="G33" i="30"/>
  <c r="H33" i="30"/>
  <c r="I33" i="30"/>
  <c r="J33" i="30"/>
  <c r="K33" i="30"/>
  <c r="A34" i="30"/>
  <c r="B34" i="30"/>
  <c r="C34" i="30"/>
  <c r="D34" i="30"/>
  <c r="E34" i="30"/>
  <c r="F34" i="30"/>
  <c r="G34" i="30"/>
  <c r="H34" i="30"/>
  <c r="I34" i="30"/>
  <c r="J34" i="30"/>
  <c r="K34" i="30"/>
  <c r="A35" i="30"/>
  <c r="B35" i="30"/>
  <c r="C35" i="30"/>
  <c r="D35" i="30"/>
  <c r="E35" i="30"/>
  <c r="F35" i="30"/>
  <c r="G35" i="30"/>
  <c r="H35" i="30"/>
  <c r="I35" i="30"/>
  <c r="J35" i="30"/>
  <c r="K35" i="30"/>
  <c r="O35" i="30"/>
  <c r="A36" i="30"/>
  <c r="B36" i="30"/>
  <c r="C36" i="30"/>
  <c r="D36" i="30"/>
  <c r="E36" i="30"/>
  <c r="F36" i="30"/>
  <c r="G36" i="30"/>
  <c r="H36" i="30"/>
  <c r="I36" i="30"/>
  <c r="J36" i="30"/>
  <c r="K36" i="30"/>
  <c r="A37" i="30"/>
  <c r="B37" i="30"/>
  <c r="O37" i="30" s="1"/>
  <c r="C37" i="30"/>
  <c r="D37" i="30"/>
  <c r="E37" i="30"/>
  <c r="F37" i="30"/>
  <c r="G37" i="30"/>
  <c r="H37" i="30"/>
  <c r="I37" i="30"/>
  <c r="J37" i="30"/>
  <c r="K37" i="30"/>
  <c r="A38" i="30"/>
  <c r="B38" i="30"/>
  <c r="C38" i="30"/>
  <c r="D38" i="30"/>
  <c r="E38" i="30"/>
  <c r="F38" i="30"/>
  <c r="G38" i="30"/>
  <c r="H38" i="30"/>
  <c r="I38" i="30"/>
  <c r="J38" i="30"/>
  <c r="K38" i="30"/>
  <c r="A39" i="30"/>
  <c r="B39" i="30"/>
  <c r="C39" i="30"/>
  <c r="D39" i="30"/>
  <c r="E39" i="30"/>
  <c r="F39" i="30"/>
  <c r="G39" i="30"/>
  <c r="H39" i="30"/>
  <c r="I39" i="30"/>
  <c r="J39" i="30"/>
  <c r="K39" i="30"/>
  <c r="O39" i="30"/>
  <c r="A40" i="30"/>
  <c r="B40" i="30"/>
  <c r="C40" i="30"/>
  <c r="D40" i="30"/>
  <c r="E40" i="30"/>
  <c r="F40" i="30"/>
  <c r="G40" i="30"/>
  <c r="H40" i="30"/>
  <c r="I40" i="30"/>
  <c r="J40" i="30"/>
  <c r="K40" i="30"/>
  <c r="M40" i="30"/>
  <c r="A41" i="30"/>
  <c r="B41" i="30"/>
  <c r="C41" i="30"/>
  <c r="D41" i="30"/>
  <c r="E41" i="30"/>
  <c r="F41" i="30"/>
  <c r="G41" i="30"/>
  <c r="H41" i="30"/>
  <c r="I41" i="30"/>
  <c r="J41" i="30"/>
  <c r="K41" i="30"/>
  <c r="L41" i="30"/>
  <c r="A42" i="30"/>
  <c r="B42" i="30"/>
  <c r="C42" i="30"/>
  <c r="D42" i="30"/>
  <c r="E42" i="30"/>
  <c r="F42" i="30"/>
  <c r="G42" i="30"/>
  <c r="H42" i="30"/>
  <c r="I42" i="30"/>
  <c r="J42" i="30"/>
  <c r="K42" i="30"/>
  <c r="M42" i="30"/>
  <c r="A43" i="30"/>
  <c r="B43" i="30"/>
  <c r="C43" i="30"/>
  <c r="D43" i="30"/>
  <c r="O43" i="30" s="1"/>
  <c r="E43" i="30"/>
  <c r="F43" i="30"/>
  <c r="G43" i="30"/>
  <c r="H43" i="30"/>
  <c r="I43" i="30"/>
  <c r="J43" i="30"/>
  <c r="K43" i="30"/>
  <c r="A44" i="30"/>
  <c r="B44" i="30"/>
  <c r="C44" i="30"/>
  <c r="D44" i="30"/>
  <c r="E44" i="30"/>
  <c r="F44" i="30"/>
  <c r="G44" i="30"/>
  <c r="H44" i="30"/>
  <c r="I44" i="30"/>
  <c r="J44" i="30"/>
  <c r="K44" i="30"/>
  <c r="A45" i="30"/>
  <c r="B45" i="30"/>
  <c r="C45" i="30"/>
  <c r="D45" i="30"/>
  <c r="E45" i="30"/>
  <c r="F45" i="30"/>
  <c r="G45" i="30"/>
  <c r="H45" i="30"/>
  <c r="I45" i="30"/>
  <c r="J45" i="30"/>
  <c r="K45" i="30"/>
  <c r="M45" i="30"/>
  <c r="N45" i="30"/>
  <c r="A46" i="30"/>
  <c r="B46" i="30"/>
  <c r="C46" i="30"/>
  <c r="D46" i="30"/>
  <c r="E46" i="30"/>
  <c r="F46" i="30"/>
  <c r="G46" i="30"/>
  <c r="H46" i="30"/>
  <c r="I46" i="30"/>
  <c r="J46" i="30"/>
  <c r="K46" i="30"/>
  <c r="A47" i="30"/>
  <c r="B47" i="30"/>
  <c r="C47" i="30"/>
  <c r="D47" i="30"/>
  <c r="E47" i="30"/>
  <c r="F47" i="30"/>
  <c r="G47" i="30"/>
  <c r="H47" i="30"/>
  <c r="I47" i="30"/>
  <c r="J47" i="30"/>
  <c r="K47" i="30"/>
  <c r="N47" i="30"/>
  <c r="A48" i="30"/>
  <c r="B48" i="30"/>
  <c r="C48" i="30"/>
  <c r="D48" i="30"/>
  <c r="E48" i="30"/>
  <c r="F48" i="30"/>
  <c r="G48" i="30"/>
  <c r="H48" i="30"/>
  <c r="I48" i="30"/>
  <c r="J48" i="30"/>
  <c r="K48" i="30"/>
  <c r="L48" i="30"/>
  <c r="M48" i="30"/>
  <c r="A49" i="30"/>
  <c r="B49" i="30"/>
  <c r="C49" i="30"/>
  <c r="N49" i="30" s="1"/>
  <c r="D49" i="30"/>
  <c r="E49" i="30"/>
  <c r="F49" i="30"/>
  <c r="G49" i="30"/>
  <c r="H49" i="30"/>
  <c r="I49" i="30"/>
  <c r="J49" i="30"/>
  <c r="K49" i="30"/>
  <c r="A50" i="30"/>
  <c r="B50" i="30"/>
  <c r="O50" i="30" s="1"/>
  <c r="C50" i="30"/>
  <c r="D50" i="30"/>
  <c r="E50" i="30"/>
  <c r="F50" i="30"/>
  <c r="G50" i="30"/>
  <c r="H50" i="30"/>
  <c r="I50" i="30"/>
  <c r="J50" i="30"/>
  <c r="K50" i="30"/>
  <c r="M50" i="30"/>
  <c r="A51" i="30"/>
  <c r="B51" i="30"/>
  <c r="C51" i="30"/>
  <c r="N51" i="30" s="1"/>
  <c r="P51" i="30" s="1"/>
  <c r="D51" i="30"/>
  <c r="E51" i="30"/>
  <c r="F51" i="30"/>
  <c r="G51" i="30"/>
  <c r="H51" i="30"/>
  <c r="I51" i="30"/>
  <c r="J51" i="30"/>
  <c r="K51" i="30"/>
  <c r="L51" i="30"/>
  <c r="M51" i="30"/>
  <c r="A52" i="30"/>
  <c r="B52" i="30"/>
  <c r="O52" i="30" s="1"/>
  <c r="C52" i="30"/>
  <c r="D52" i="30"/>
  <c r="E52" i="30"/>
  <c r="F52" i="30"/>
  <c r="G52" i="30"/>
  <c r="H52" i="30"/>
  <c r="I52" i="30"/>
  <c r="J52" i="30"/>
  <c r="N52" i="30" s="1"/>
  <c r="P52" i="30" s="1"/>
  <c r="K52" i="30"/>
  <c r="L52" i="30"/>
  <c r="A53" i="30"/>
  <c r="B53" i="30"/>
  <c r="O53" i="30" s="1"/>
  <c r="C53" i="30"/>
  <c r="D53" i="30"/>
  <c r="E53" i="30"/>
  <c r="N53" i="30" s="1"/>
  <c r="F53" i="30"/>
  <c r="G53" i="30"/>
  <c r="H53" i="30"/>
  <c r="I53" i="30"/>
  <c r="J53" i="30"/>
  <c r="K53" i="30"/>
  <c r="M53" i="30"/>
  <c r="A54" i="30"/>
  <c r="B54" i="30"/>
  <c r="C54" i="30"/>
  <c r="D54" i="30"/>
  <c r="E54" i="30"/>
  <c r="F54" i="30"/>
  <c r="G54" i="30"/>
  <c r="H54" i="30"/>
  <c r="I54" i="30"/>
  <c r="J54" i="30"/>
  <c r="K54" i="30"/>
  <c r="L54" i="30"/>
  <c r="A55" i="30"/>
  <c r="B55" i="30"/>
  <c r="O55" i="30" s="1"/>
  <c r="C55" i="30"/>
  <c r="D55" i="30"/>
  <c r="E55" i="30"/>
  <c r="F55" i="30"/>
  <c r="G55" i="30"/>
  <c r="H55" i="30"/>
  <c r="I55" i="30"/>
  <c r="J55" i="30"/>
  <c r="N55" i="30" s="1"/>
  <c r="P55" i="30" s="1"/>
  <c r="K55" i="30"/>
  <c r="L55" i="30"/>
  <c r="A56" i="30"/>
  <c r="B56" i="30"/>
  <c r="C56" i="30"/>
  <c r="D56" i="30"/>
  <c r="E56" i="30"/>
  <c r="F56" i="30"/>
  <c r="G56" i="30"/>
  <c r="H56" i="30"/>
  <c r="I56" i="30"/>
  <c r="J56" i="30"/>
  <c r="K56" i="30"/>
  <c r="L56" i="30"/>
  <c r="M56" i="30"/>
  <c r="A57" i="30"/>
  <c r="B57" i="30"/>
  <c r="C57" i="30"/>
  <c r="N57" i="30" s="1"/>
  <c r="P57" i="30" s="1"/>
  <c r="D57" i="30"/>
  <c r="E57" i="30"/>
  <c r="F57" i="30"/>
  <c r="G57" i="30"/>
  <c r="H57" i="30"/>
  <c r="I57" i="30"/>
  <c r="J57" i="30"/>
  <c r="K57" i="30"/>
  <c r="L57" i="30"/>
  <c r="A58" i="30"/>
  <c r="B58" i="30"/>
  <c r="C58" i="30"/>
  <c r="D58" i="30"/>
  <c r="E58" i="30"/>
  <c r="F58" i="30"/>
  <c r="G58" i="30"/>
  <c r="H58" i="30"/>
  <c r="I58" i="30"/>
  <c r="J58" i="30"/>
  <c r="K58" i="30"/>
  <c r="M58" i="30"/>
  <c r="A59" i="30"/>
  <c r="B59" i="30"/>
  <c r="C59" i="30"/>
  <c r="D59" i="30"/>
  <c r="E59" i="30"/>
  <c r="N59" i="30" s="1"/>
  <c r="P59" i="30" s="1"/>
  <c r="F59" i="30"/>
  <c r="G59" i="30"/>
  <c r="H59" i="30"/>
  <c r="I59" i="30"/>
  <c r="J59" i="30"/>
  <c r="K59" i="30"/>
  <c r="L59" i="30"/>
  <c r="M59" i="30"/>
  <c r="A60" i="30"/>
  <c r="B60" i="30"/>
  <c r="C60" i="30"/>
  <c r="D60" i="30"/>
  <c r="E60" i="30"/>
  <c r="F60" i="30"/>
  <c r="G60" i="30"/>
  <c r="H60" i="30"/>
  <c r="I60" i="30"/>
  <c r="J60" i="30"/>
  <c r="K60" i="30"/>
  <c r="A61" i="30"/>
  <c r="B61" i="30"/>
  <c r="C61" i="30"/>
  <c r="D61" i="30"/>
  <c r="E61" i="30"/>
  <c r="F61" i="30"/>
  <c r="G61" i="30"/>
  <c r="H61" i="30"/>
  <c r="I61" i="30"/>
  <c r="J61" i="30"/>
  <c r="K61" i="30"/>
  <c r="M61" i="30"/>
  <c r="N61" i="30"/>
  <c r="A62" i="30"/>
  <c r="B62" i="30"/>
  <c r="C62" i="30"/>
  <c r="D62" i="30"/>
  <c r="E62" i="30"/>
  <c r="F62" i="30"/>
  <c r="G62" i="30"/>
  <c r="H62" i="30"/>
  <c r="I62" i="30"/>
  <c r="J62" i="30"/>
  <c r="K62" i="30"/>
  <c r="L62" i="30"/>
  <c r="M62" i="30"/>
  <c r="A63" i="30"/>
  <c r="B63" i="30"/>
  <c r="C63" i="30"/>
  <c r="D63" i="30"/>
  <c r="E63" i="30"/>
  <c r="F63" i="30"/>
  <c r="G63" i="30"/>
  <c r="H63" i="30"/>
  <c r="I63" i="30"/>
  <c r="J63" i="30"/>
  <c r="K63" i="30"/>
  <c r="N63" i="30"/>
  <c r="A64" i="30"/>
  <c r="B64" i="30"/>
  <c r="C64" i="30"/>
  <c r="D64" i="30"/>
  <c r="E64" i="30"/>
  <c r="F64" i="30"/>
  <c r="G64" i="30"/>
  <c r="H64" i="30"/>
  <c r="I64" i="30"/>
  <c r="J64" i="30"/>
  <c r="K64" i="30"/>
  <c r="L64" i="30"/>
  <c r="M64" i="30"/>
  <c r="A65" i="30"/>
  <c r="B65" i="30"/>
  <c r="C65" i="30"/>
  <c r="D65" i="30"/>
  <c r="E65" i="30"/>
  <c r="F65" i="30"/>
  <c r="G65" i="30"/>
  <c r="H65" i="30"/>
  <c r="I65" i="30"/>
  <c r="J65" i="30"/>
  <c r="K65" i="30"/>
  <c r="M65" i="30"/>
  <c r="N65" i="30"/>
  <c r="A66" i="30"/>
  <c r="B66" i="30"/>
  <c r="C66" i="30"/>
  <c r="N66" i="30" s="1"/>
  <c r="P66" i="30" s="1"/>
  <c r="R66" i="30" s="1"/>
  <c r="D66" i="30"/>
  <c r="E66" i="30"/>
  <c r="F66" i="30"/>
  <c r="G66" i="30"/>
  <c r="H66" i="30"/>
  <c r="I66" i="30"/>
  <c r="J66" i="30"/>
  <c r="K66" i="30"/>
  <c r="L66" i="30"/>
  <c r="M66" i="30"/>
  <c r="A67" i="30"/>
  <c r="B67" i="30"/>
  <c r="C67" i="30"/>
  <c r="D67" i="30"/>
  <c r="E67" i="30"/>
  <c r="N67" i="30" s="1"/>
  <c r="F67" i="30"/>
  <c r="G67" i="30"/>
  <c r="H67" i="30"/>
  <c r="I67" i="30"/>
  <c r="J67" i="30"/>
  <c r="K67" i="30"/>
  <c r="M67" i="30"/>
  <c r="A68" i="30"/>
  <c r="B68" i="30"/>
  <c r="C68" i="30"/>
  <c r="N68" i="30" s="1"/>
  <c r="P68" i="30" s="1"/>
  <c r="V68" i="30" s="1"/>
  <c r="D68" i="30"/>
  <c r="E68" i="30"/>
  <c r="F68" i="30"/>
  <c r="G68" i="30"/>
  <c r="G111" i="30" s="1"/>
  <c r="H68" i="30"/>
  <c r="I68" i="30"/>
  <c r="J68" i="30"/>
  <c r="K68" i="30"/>
  <c r="L68" i="30"/>
  <c r="A69" i="30"/>
  <c r="B69" i="30"/>
  <c r="C69" i="30"/>
  <c r="D69" i="30"/>
  <c r="E69" i="30"/>
  <c r="F69" i="30"/>
  <c r="G69" i="30"/>
  <c r="H69" i="30"/>
  <c r="I69" i="30"/>
  <c r="J69" i="30"/>
  <c r="K69" i="30"/>
  <c r="M69" i="30"/>
  <c r="N69" i="30"/>
  <c r="A70" i="30"/>
  <c r="B70" i="30"/>
  <c r="C70" i="30"/>
  <c r="N70" i="30" s="1"/>
  <c r="P70" i="30" s="1"/>
  <c r="V70" i="30" s="1"/>
  <c r="D70" i="30"/>
  <c r="E70" i="30"/>
  <c r="F70" i="30"/>
  <c r="G70" i="30"/>
  <c r="H70" i="30"/>
  <c r="I70" i="30"/>
  <c r="J70" i="30"/>
  <c r="K70" i="30"/>
  <c r="L70" i="30"/>
  <c r="M70" i="30"/>
  <c r="A71" i="30"/>
  <c r="B71" i="30"/>
  <c r="C71" i="30"/>
  <c r="D71" i="30"/>
  <c r="E71" i="30"/>
  <c r="N71" i="30" s="1"/>
  <c r="F71" i="30"/>
  <c r="G71" i="30"/>
  <c r="H71" i="30"/>
  <c r="I71" i="30"/>
  <c r="J71" i="30"/>
  <c r="K71" i="30"/>
  <c r="M71" i="30"/>
  <c r="A72" i="30"/>
  <c r="B72" i="30"/>
  <c r="C72" i="30"/>
  <c r="D72" i="30"/>
  <c r="E72" i="30"/>
  <c r="N72" i="30" s="1"/>
  <c r="P72" i="30" s="1"/>
  <c r="R72" i="30" s="1"/>
  <c r="F72" i="30"/>
  <c r="G72" i="30"/>
  <c r="H72" i="30"/>
  <c r="I72" i="30"/>
  <c r="J72" i="30"/>
  <c r="K72" i="30"/>
  <c r="L72" i="30"/>
  <c r="M72" i="30"/>
  <c r="A73" i="30"/>
  <c r="B73" i="30"/>
  <c r="C73" i="30"/>
  <c r="D73" i="30"/>
  <c r="E73" i="30"/>
  <c r="F73" i="30"/>
  <c r="G73" i="30"/>
  <c r="H73" i="30"/>
  <c r="I73" i="30"/>
  <c r="J73" i="30"/>
  <c r="N73" i="30" s="1"/>
  <c r="K73" i="30"/>
  <c r="L73" i="30"/>
  <c r="A74" i="30"/>
  <c r="B74" i="30"/>
  <c r="C74" i="30"/>
  <c r="D74" i="30"/>
  <c r="E74" i="30"/>
  <c r="N74" i="30" s="1"/>
  <c r="P74" i="30" s="1"/>
  <c r="V74" i="30" s="1"/>
  <c r="F74" i="30"/>
  <c r="G74" i="30"/>
  <c r="H74" i="30"/>
  <c r="I74" i="30"/>
  <c r="J74" i="30"/>
  <c r="K74" i="30"/>
  <c r="L74" i="30"/>
  <c r="M74" i="30"/>
  <c r="A75" i="30"/>
  <c r="B75" i="30"/>
  <c r="C75" i="30"/>
  <c r="D75" i="30"/>
  <c r="E75" i="30"/>
  <c r="F75" i="30"/>
  <c r="G75" i="30"/>
  <c r="H75" i="30"/>
  <c r="I75" i="30"/>
  <c r="J75" i="30"/>
  <c r="K75" i="30"/>
  <c r="A76" i="30"/>
  <c r="B76" i="30"/>
  <c r="C76" i="30"/>
  <c r="D76" i="30"/>
  <c r="E76" i="30"/>
  <c r="F76" i="30"/>
  <c r="G76" i="30"/>
  <c r="H76" i="30"/>
  <c r="I76" i="30"/>
  <c r="J76" i="30"/>
  <c r="K76" i="30"/>
  <c r="M76" i="30"/>
  <c r="N76" i="30"/>
  <c r="A77" i="30"/>
  <c r="B77" i="30"/>
  <c r="C77" i="30"/>
  <c r="N77" i="30" s="1"/>
  <c r="D77" i="30"/>
  <c r="E77" i="30"/>
  <c r="F77" i="30"/>
  <c r="G77" i="30"/>
  <c r="H77" i="30"/>
  <c r="I77" i="30"/>
  <c r="J77" i="30"/>
  <c r="K77" i="30"/>
  <c r="L77" i="30"/>
  <c r="M77" i="30"/>
  <c r="A78" i="30"/>
  <c r="B78" i="30"/>
  <c r="C78" i="30"/>
  <c r="D78" i="30"/>
  <c r="E78" i="30"/>
  <c r="N78" i="30" s="1"/>
  <c r="F78" i="30"/>
  <c r="G78" i="30"/>
  <c r="H78" i="30"/>
  <c r="I78" i="30"/>
  <c r="J78" i="30"/>
  <c r="K78" i="30"/>
  <c r="M78" i="30"/>
  <c r="A79" i="30"/>
  <c r="B79" i="30"/>
  <c r="C79" i="30"/>
  <c r="D79" i="30"/>
  <c r="E79" i="30"/>
  <c r="F79" i="30"/>
  <c r="G79" i="30"/>
  <c r="H79" i="30"/>
  <c r="I79" i="30"/>
  <c r="J79" i="30"/>
  <c r="K79" i="30"/>
  <c r="L79" i="30"/>
  <c r="A80" i="30"/>
  <c r="B80" i="30"/>
  <c r="C80" i="30"/>
  <c r="D80" i="30"/>
  <c r="E80" i="30"/>
  <c r="F80" i="30"/>
  <c r="G80" i="30"/>
  <c r="H80" i="30"/>
  <c r="I80" i="30"/>
  <c r="J80" i="30"/>
  <c r="N80" i="30" s="1"/>
  <c r="P80" i="30" s="1"/>
  <c r="R80" i="30" s="1"/>
  <c r="K80" i="30"/>
  <c r="L80" i="30"/>
  <c r="A81" i="30"/>
  <c r="B81" i="30"/>
  <c r="C81" i="30"/>
  <c r="D81" i="30"/>
  <c r="E81" i="30"/>
  <c r="N81" i="30" s="1"/>
  <c r="F81" i="30"/>
  <c r="G81" i="30"/>
  <c r="H81" i="30"/>
  <c r="I81" i="30"/>
  <c r="J81" i="30"/>
  <c r="K81" i="30"/>
  <c r="L81" i="30"/>
  <c r="M81" i="30"/>
  <c r="A82" i="30"/>
  <c r="B82" i="30"/>
  <c r="C82" i="30"/>
  <c r="D82" i="30"/>
  <c r="E82" i="30"/>
  <c r="F82" i="30"/>
  <c r="G82" i="30"/>
  <c r="H82" i="30"/>
  <c r="I82" i="30"/>
  <c r="J82" i="30"/>
  <c r="K82" i="30"/>
  <c r="L82" i="30"/>
  <c r="M82" i="30"/>
  <c r="A83" i="30"/>
  <c r="B83" i="30"/>
  <c r="C83" i="30"/>
  <c r="D83" i="30"/>
  <c r="E83" i="30"/>
  <c r="F83" i="30"/>
  <c r="G83" i="30"/>
  <c r="H83" i="30"/>
  <c r="I83" i="30"/>
  <c r="J83" i="30"/>
  <c r="K83" i="30"/>
  <c r="L83" i="30"/>
  <c r="M83" i="30"/>
  <c r="N83" i="30"/>
  <c r="A84" i="30"/>
  <c r="B84" i="30"/>
  <c r="C84" i="30"/>
  <c r="D84" i="30"/>
  <c r="E84" i="30"/>
  <c r="F84" i="30"/>
  <c r="G84" i="30"/>
  <c r="H84" i="30"/>
  <c r="I84" i="30"/>
  <c r="J84" i="30"/>
  <c r="K84" i="30"/>
  <c r="L84" i="30"/>
  <c r="M84" i="30"/>
  <c r="A85" i="30"/>
  <c r="B85" i="30"/>
  <c r="C85" i="30"/>
  <c r="D85" i="30"/>
  <c r="E85" i="30"/>
  <c r="F85" i="30"/>
  <c r="G85" i="30"/>
  <c r="H85" i="30"/>
  <c r="I85" i="30"/>
  <c r="J85" i="30"/>
  <c r="K85" i="30"/>
  <c r="L85" i="30"/>
  <c r="M85" i="30"/>
  <c r="N85" i="30"/>
  <c r="A86" i="30"/>
  <c r="B86" i="30"/>
  <c r="C86" i="30"/>
  <c r="D86" i="30"/>
  <c r="E86" i="30"/>
  <c r="F86" i="30"/>
  <c r="G86" i="30"/>
  <c r="H86" i="30"/>
  <c r="I86" i="30"/>
  <c r="J86" i="30"/>
  <c r="K86" i="30"/>
  <c r="L86" i="30"/>
  <c r="M86" i="30"/>
  <c r="A87" i="30"/>
  <c r="B87" i="30"/>
  <c r="C87" i="30"/>
  <c r="N87" i="30" s="1"/>
  <c r="D87" i="30"/>
  <c r="E87" i="30"/>
  <c r="F87" i="30"/>
  <c r="G87" i="30"/>
  <c r="H87" i="30"/>
  <c r="I87" i="30"/>
  <c r="J87" i="30"/>
  <c r="K87" i="30"/>
  <c r="L87" i="30"/>
  <c r="M87" i="30"/>
  <c r="A88" i="30"/>
  <c r="B88" i="30"/>
  <c r="O88" i="30" s="1"/>
  <c r="C88" i="30"/>
  <c r="D88" i="30"/>
  <c r="E88" i="30"/>
  <c r="F88" i="30"/>
  <c r="G88" i="30"/>
  <c r="H88" i="30"/>
  <c r="I88" i="30"/>
  <c r="J88" i="30"/>
  <c r="K88" i="30"/>
  <c r="L88" i="30"/>
  <c r="M88" i="30"/>
  <c r="A89" i="30"/>
  <c r="B89" i="30"/>
  <c r="C89" i="30"/>
  <c r="D89" i="30"/>
  <c r="E89" i="30"/>
  <c r="N89" i="30" s="1"/>
  <c r="F89" i="30"/>
  <c r="G89" i="30"/>
  <c r="H89" i="30"/>
  <c r="I89" i="30"/>
  <c r="J89" i="30"/>
  <c r="K89" i="30"/>
  <c r="L89" i="30"/>
  <c r="M89" i="30"/>
  <c r="A90" i="30"/>
  <c r="B90" i="30"/>
  <c r="C90" i="30"/>
  <c r="D90" i="30"/>
  <c r="E90" i="30"/>
  <c r="F90" i="30"/>
  <c r="G90" i="30"/>
  <c r="H90" i="30"/>
  <c r="I90" i="30"/>
  <c r="J90" i="30"/>
  <c r="N90" i="30" s="1"/>
  <c r="P90" i="30" s="1"/>
  <c r="K90" i="30"/>
  <c r="L90" i="30"/>
  <c r="M90" i="30"/>
  <c r="A91" i="30"/>
  <c r="B91" i="30"/>
  <c r="C91" i="30"/>
  <c r="D91" i="30"/>
  <c r="E91" i="30"/>
  <c r="N91" i="30" s="1"/>
  <c r="P91" i="30" s="1"/>
  <c r="V91" i="30" s="1"/>
  <c r="F91" i="30"/>
  <c r="G91" i="30"/>
  <c r="H91" i="30"/>
  <c r="I91" i="30"/>
  <c r="J91" i="30"/>
  <c r="K91" i="30"/>
  <c r="L91" i="30"/>
  <c r="M91" i="30"/>
  <c r="A92" i="30"/>
  <c r="B92" i="30"/>
  <c r="C92" i="30"/>
  <c r="D92" i="30"/>
  <c r="E92" i="30"/>
  <c r="F92" i="30"/>
  <c r="G92" i="30"/>
  <c r="H92" i="30"/>
  <c r="I92" i="30"/>
  <c r="J92" i="30"/>
  <c r="K92" i="30"/>
  <c r="L92" i="30"/>
  <c r="M92" i="30"/>
  <c r="N92" i="30"/>
  <c r="P92" i="30" s="1"/>
  <c r="V92" i="30" s="1"/>
  <c r="A93" i="30"/>
  <c r="B93" i="30"/>
  <c r="C93" i="30"/>
  <c r="D93" i="30"/>
  <c r="E93" i="30"/>
  <c r="N93" i="30" s="1"/>
  <c r="P93" i="30" s="1"/>
  <c r="V93" i="30" s="1"/>
  <c r="F93" i="30"/>
  <c r="G93" i="30"/>
  <c r="H93" i="30"/>
  <c r="I93" i="30"/>
  <c r="J93" i="30"/>
  <c r="K93" i="30"/>
  <c r="L93" i="30"/>
  <c r="M93" i="30"/>
  <c r="A94" i="30"/>
  <c r="B94" i="30"/>
  <c r="C94" i="30"/>
  <c r="D94" i="30"/>
  <c r="E94" i="30"/>
  <c r="F94" i="30"/>
  <c r="G94" i="30"/>
  <c r="H94" i="30"/>
  <c r="I94" i="30"/>
  <c r="J94" i="30"/>
  <c r="N94" i="30" s="1"/>
  <c r="P94" i="30" s="1"/>
  <c r="V94" i="30" s="1"/>
  <c r="K94" i="30"/>
  <c r="L94" i="30"/>
  <c r="M94" i="30"/>
  <c r="A95" i="30"/>
  <c r="B95" i="30"/>
  <c r="C95" i="30"/>
  <c r="D95" i="30"/>
  <c r="E95" i="30"/>
  <c r="N95" i="30" s="1"/>
  <c r="P95" i="30" s="1"/>
  <c r="V95" i="30" s="1"/>
  <c r="F95" i="30"/>
  <c r="G95" i="30"/>
  <c r="H95" i="30"/>
  <c r="I95" i="30"/>
  <c r="J95" i="30"/>
  <c r="K95" i="30"/>
  <c r="L95" i="30"/>
  <c r="M95" i="30"/>
  <c r="A96" i="30"/>
  <c r="B96" i="30"/>
  <c r="C96" i="30"/>
  <c r="D96" i="30"/>
  <c r="E96" i="30"/>
  <c r="F96" i="30"/>
  <c r="G96" i="30"/>
  <c r="H96" i="30"/>
  <c r="I96" i="30"/>
  <c r="J96" i="30"/>
  <c r="K96" i="30"/>
  <c r="L96" i="30"/>
  <c r="M96" i="30"/>
  <c r="N96" i="30"/>
  <c r="P96" i="30" s="1"/>
  <c r="V96" i="30" s="1"/>
  <c r="A97" i="30"/>
  <c r="B97" i="30"/>
  <c r="C97" i="30"/>
  <c r="D97" i="30"/>
  <c r="E97" i="30"/>
  <c r="N97" i="30" s="1"/>
  <c r="P97" i="30" s="1"/>
  <c r="V97" i="30" s="1"/>
  <c r="F97" i="30"/>
  <c r="G97" i="30"/>
  <c r="H97" i="30"/>
  <c r="I97" i="30"/>
  <c r="J97" i="30"/>
  <c r="K97" i="30"/>
  <c r="L97" i="30"/>
  <c r="M97" i="30"/>
  <c r="A98" i="30"/>
  <c r="B98" i="30"/>
  <c r="C98" i="30"/>
  <c r="D98" i="30"/>
  <c r="E98" i="30"/>
  <c r="F98" i="30"/>
  <c r="G98" i="30"/>
  <c r="H98" i="30"/>
  <c r="I98" i="30"/>
  <c r="J98" i="30"/>
  <c r="N98" i="30" s="1"/>
  <c r="P98" i="30" s="1"/>
  <c r="V98" i="30" s="1"/>
  <c r="K98" i="30"/>
  <c r="L98" i="30"/>
  <c r="M98" i="30"/>
  <c r="A99" i="30"/>
  <c r="B99" i="30"/>
  <c r="C99" i="30"/>
  <c r="D99" i="30"/>
  <c r="E99" i="30"/>
  <c r="N99" i="30" s="1"/>
  <c r="P99" i="30" s="1"/>
  <c r="V99" i="30" s="1"/>
  <c r="F99" i="30"/>
  <c r="G99" i="30"/>
  <c r="H99" i="30"/>
  <c r="I99" i="30"/>
  <c r="J99" i="30"/>
  <c r="K99" i="30"/>
  <c r="L99" i="30"/>
  <c r="M99" i="30"/>
  <c r="A100" i="30"/>
  <c r="B100" i="30"/>
  <c r="C100" i="30"/>
  <c r="D100" i="30"/>
  <c r="E100" i="30"/>
  <c r="F100" i="30"/>
  <c r="G100" i="30"/>
  <c r="H100" i="30"/>
  <c r="I100" i="30"/>
  <c r="J100" i="30"/>
  <c r="K100" i="30"/>
  <c r="L100" i="30"/>
  <c r="M100" i="30"/>
  <c r="N100" i="30"/>
  <c r="P100" i="30" s="1"/>
  <c r="V100" i="30" s="1"/>
  <c r="A101" i="30"/>
  <c r="B101" i="30"/>
  <c r="C101" i="30"/>
  <c r="D101" i="30"/>
  <c r="E101" i="30"/>
  <c r="N101" i="30" s="1"/>
  <c r="P101" i="30" s="1"/>
  <c r="V101" i="30" s="1"/>
  <c r="F101" i="30"/>
  <c r="G101" i="30"/>
  <c r="H101" i="30"/>
  <c r="I101" i="30"/>
  <c r="J101" i="30"/>
  <c r="K101" i="30"/>
  <c r="L101" i="30"/>
  <c r="M101" i="30"/>
  <c r="A102" i="30"/>
  <c r="B102" i="30"/>
  <c r="C102" i="30"/>
  <c r="D102" i="30"/>
  <c r="E102" i="30"/>
  <c r="F102" i="30"/>
  <c r="G102" i="30"/>
  <c r="H102" i="30"/>
  <c r="I102" i="30"/>
  <c r="J102" i="30"/>
  <c r="N102" i="30" s="1"/>
  <c r="P102" i="30" s="1"/>
  <c r="V102" i="30" s="1"/>
  <c r="K102" i="30"/>
  <c r="L102" i="30"/>
  <c r="M102" i="30"/>
  <c r="A103" i="30"/>
  <c r="B103" i="30"/>
  <c r="C103" i="30"/>
  <c r="D103" i="30"/>
  <c r="E103" i="30"/>
  <c r="N103" i="30" s="1"/>
  <c r="P103" i="30" s="1"/>
  <c r="V103" i="30" s="1"/>
  <c r="F103" i="30"/>
  <c r="G103" i="30"/>
  <c r="H103" i="30"/>
  <c r="I103" i="30"/>
  <c r="J103" i="30"/>
  <c r="K103" i="30"/>
  <c r="L103" i="30"/>
  <c r="M103" i="30"/>
  <c r="A104" i="30"/>
  <c r="B104" i="30"/>
  <c r="C104" i="30"/>
  <c r="D104" i="30"/>
  <c r="E104" i="30"/>
  <c r="F104" i="30"/>
  <c r="G104" i="30"/>
  <c r="H104" i="30"/>
  <c r="I104" i="30"/>
  <c r="J104" i="30"/>
  <c r="K104" i="30"/>
  <c r="L104" i="30"/>
  <c r="M104" i="30"/>
  <c r="N104" i="30"/>
  <c r="P104" i="30" s="1"/>
  <c r="V104" i="30" s="1"/>
  <c r="A105" i="30"/>
  <c r="B105" i="30"/>
  <c r="C105" i="30"/>
  <c r="D105" i="30"/>
  <c r="E105" i="30"/>
  <c r="N105" i="30" s="1"/>
  <c r="P105" i="30" s="1"/>
  <c r="V105" i="30" s="1"/>
  <c r="F105" i="30"/>
  <c r="G105" i="30"/>
  <c r="H105" i="30"/>
  <c r="I105" i="30"/>
  <c r="J105" i="30"/>
  <c r="K105" i="30"/>
  <c r="L105" i="30"/>
  <c r="M105" i="30"/>
  <c r="A106" i="30"/>
  <c r="B106" i="30"/>
  <c r="O106" i="30" s="1"/>
  <c r="Q106" i="30" s="1"/>
  <c r="W106" i="30" s="1"/>
  <c r="C106" i="30"/>
  <c r="D106" i="30"/>
  <c r="E106" i="30"/>
  <c r="F106" i="30"/>
  <c r="G106" i="30"/>
  <c r="H106" i="30"/>
  <c r="I106" i="30"/>
  <c r="J106" i="30"/>
  <c r="N106" i="30" s="1"/>
  <c r="P106" i="30" s="1"/>
  <c r="K106" i="30"/>
  <c r="L106" i="30"/>
  <c r="M106" i="30"/>
  <c r="A107" i="30"/>
  <c r="B107" i="30"/>
  <c r="C107" i="30"/>
  <c r="D107" i="30"/>
  <c r="E107" i="30"/>
  <c r="F107" i="30"/>
  <c r="G107" i="30"/>
  <c r="H107" i="30"/>
  <c r="I107" i="30"/>
  <c r="J107" i="30"/>
  <c r="K107" i="30"/>
  <c r="L107" i="30"/>
  <c r="M107" i="30"/>
  <c r="A108" i="30"/>
  <c r="B108" i="30"/>
  <c r="C108" i="30"/>
  <c r="N108" i="30" s="1"/>
  <c r="P108" i="30" s="1"/>
  <c r="D108" i="30"/>
  <c r="E108" i="30"/>
  <c r="F108" i="30"/>
  <c r="G108" i="30"/>
  <c r="H108" i="30"/>
  <c r="I108" i="30"/>
  <c r="J108" i="30"/>
  <c r="K108" i="30"/>
  <c r="L108" i="30"/>
  <c r="M108" i="30"/>
  <c r="A109" i="30"/>
  <c r="B109" i="30"/>
  <c r="C109" i="30"/>
  <c r="D109" i="30"/>
  <c r="E109" i="30"/>
  <c r="F109" i="30"/>
  <c r="G109" i="30"/>
  <c r="H109" i="30"/>
  <c r="I109" i="30"/>
  <c r="J109" i="30"/>
  <c r="K109" i="30"/>
  <c r="L109" i="30"/>
  <c r="M109" i="30"/>
  <c r="A110" i="30"/>
  <c r="B110" i="30"/>
  <c r="C110" i="30"/>
  <c r="D110" i="30"/>
  <c r="E110" i="30"/>
  <c r="N110" i="30" s="1"/>
  <c r="P110" i="30" s="1"/>
  <c r="F110" i="30"/>
  <c r="G110" i="30"/>
  <c r="H110" i="30"/>
  <c r="I110" i="30"/>
  <c r="J110" i="30"/>
  <c r="K110" i="30"/>
  <c r="L110" i="30"/>
  <c r="M110" i="30"/>
  <c r="B8" i="29"/>
  <c r="C8" i="29"/>
  <c r="D8" i="29"/>
  <c r="E8" i="29"/>
  <c r="F8" i="29"/>
  <c r="G8" i="29"/>
  <c r="H8" i="29"/>
  <c r="I8" i="29"/>
  <c r="J8" i="29"/>
  <c r="K8" i="29"/>
  <c r="A11" i="29"/>
  <c r="B11" i="29"/>
  <c r="C11" i="29"/>
  <c r="D11" i="29"/>
  <c r="E11" i="29"/>
  <c r="F11" i="29"/>
  <c r="G11" i="29"/>
  <c r="H11" i="29"/>
  <c r="I11" i="29"/>
  <c r="J11" i="29"/>
  <c r="K11" i="29"/>
  <c r="O11" i="29"/>
  <c r="A12" i="29"/>
  <c r="B12" i="29"/>
  <c r="C12" i="29"/>
  <c r="D12" i="29"/>
  <c r="E12" i="29"/>
  <c r="F12" i="29"/>
  <c r="G12" i="29"/>
  <c r="H12" i="29"/>
  <c r="I12" i="29"/>
  <c r="J12" i="29"/>
  <c r="K12" i="29"/>
  <c r="A13" i="29"/>
  <c r="B13" i="29"/>
  <c r="C13" i="29"/>
  <c r="D13" i="29"/>
  <c r="E13" i="29"/>
  <c r="F13" i="29"/>
  <c r="G13" i="29"/>
  <c r="H13" i="29"/>
  <c r="I13" i="29"/>
  <c r="J13" i="29"/>
  <c r="K13" i="29"/>
  <c r="O13" i="29"/>
  <c r="A14" i="29"/>
  <c r="B14" i="29"/>
  <c r="C14" i="29"/>
  <c r="D14" i="29"/>
  <c r="E14" i="29"/>
  <c r="F14" i="29"/>
  <c r="G14" i="29"/>
  <c r="H14" i="29"/>
  <c r="I14" i="29"/>
  <c r="J14" i="29"/>
  <c r="K14" i="29"/>
  <c r="A15" i="29"/>
  <c r="B15" i="29"/>
  <c r="C15" i="29"/>
  <c r="D15" i="29"/>
  <c r="E15" i="29"/>
  <c r="F15" i="29"/>
  <c r="G15" i="29"/>
  <c r="H15" i="29"/>
  <c r="I15" i="29"/>
  <c r="J15" i="29"/>
  <c r="K15" i="29"/>
  <c r="O15" i="29"/>
  <c r="A16" i="29"/>
  <c r="B16" i="29"/>
  <c r="C16" i="29"/>
  <c r="D16" i="29"/>
  <c r="E16" i="29"/>
  <c r="F16" i="29"/>
  <c r="G16" i="29"/>
  <c r="H16" i="29"/>
  <c r="I16" i="29"/>
  <c r="J16" i="29"/>
  <c r="K16" i="29"/>
  <c r="A17" i="29"/>
  <c r="B17" i="29"/>
  <c r="C17" i="29"/>
  <c r="D17" i="29"/>
  <c r="E17" i="29"/>
  <c r="F17" i="29"/>
  <c r="G17" i="29"/>
  <c r="H17" i="29"/>
  <c r="I17" i="29"/>
  <c r="J17" i="29"/>
  <c r="K17" i="29"/>
  <c r="O17" i="29"/>
  <c r="A18" i="29"/>
  <c r="B18" i="29"/>
  <c r="C18" i="29"/>
  <c r="D18" i="29"/>
  <c r="E18" i="29"/>
  <c r="F18" i="29"/>
  <c r="G18" i="29"/>
  <c r="H18" i="29"/>
  <c r="I18" i="29"/>
  <c r="J18" i="29"/>
  <c r="K18" i="29"/>
  <c r="A19" i="29"/>
  <c r="B19" i="29"/>
  <c r="C19" i="29"/>
  <c r="D19" i="29"/>
  <c r="E19" i="29"/>
  <c r="F19" i="29"/>
  <c r="G19" i="29"/>
  <c r="H19" i="29"/>
  <c r="I19" i="29"/>
  <c r="J19" i="29"/>
  <c r="K19" i="29"/>
  <c r="O19" i="29"/>
  <c r="A20" i="29"/>
  <c r="B20" i="29"/>
  <c r="C20" i="29"/>
  <c r="D20" i="29"/>
  <c r="E20" i="29"/>
  <c r="F20" i="29"/>
  <c r="G20" i="29"/>
  <c r="H20" i="29"/>
  <c r="I20" i="29"/>
  <c r="J20" i="29"/>
  <c r="K20" i="29"/>
  <c r="A21" i="29"/>
  <c r="B21" i="29"/>
  <c r="C21" i="29"/>
  <c r="D21" i="29"/>
  <c r="E21" i="29"/>
  <c r="F21" i="29"/>
  <c r="G21" i="29"/>
  <c r="H21" i="29"/>
  <c r="I21" i="29"/>
  <c r="J21" i="29"/>
  <c r="K21" i="29"/>
  <c r="O21" i="29"/>
  <c r="A22" i="29"/>
  <c r="B22" i="29"/>
  <c r="C22" i="29"/>
  <c r="D22" i="29"/>
  <c r="E22" i="29"/>
  <c r="F22" i="29"/>
  <c r="G22" i="29"/>
  <c r="H22" i="29"/>
  <c r="I22" i="29"/>
  <c r="J22" i="29"/>
  <c r="K22" i="29"/>
  <c r="A23" i="29"/>
  <c r="B23" i="29"/>
  <c r="C23" i="29"/>
  <c r="D23" i="29"/>
  <c r="E23" i="29"/>
  <c r="F23" i="29"/>
  <c r="G23" i="29"/>
  <c r="H23" i="29"/>
  <c r="I23" i="29"/>
  <c r="J23" i="29"/>
  <c r="K23" i="29"/>
  <c r="O23" i="29"/>
  <c r="A24" i="29"/>
  <c r="B24" i="29"/>
  <c r="C24" i="29"/>
  <c r="D24" i="29"/>
  <c r="E24" i="29"/>
  <c r="F24" i="29"/>
  <c r="G24" i="29"/>
  <c r="H24" i="29"/>
  <c r="I24" i="29"/>
  <c r="J24" i="29"/>
  <c r="K24" i="29"/>
  <c r="A25" i="29"/>
  <c r="B25" i="29"/>
  <c r="C25" i="29"/>
  <c r="D25" i="29"/>
  <c r="E25" i="29"/>
  <c r="F25" i="29"/>
  <c r="G25" i="29"/>
  <c r="H25" i="29"/>
  <c r="I25" i="29"/>
  <c r="J25" i="29"/>
  <c r="K25" i="29"/>
  <c r="O25" i="29"/>
  <c r="A26" i="29"/>
  <c r="B26" i="29"/>
  <c r="C26" i="29"/>
  <c r="D26" i="29"/>
  <c r="E26" i="29"/>
  <c r="F26" i="29"/>
  <c r="G26" i="29"/>
  <c r="H26" i="29"/>
  <c r="I26" i="29"/>
  <c r="J26" i="29"/>
  <c r="K26" i="29"/>
  <c r="A27" i="29"/>
  <c r="B27" i="29"/>
  <c r="C27" i="29"/>
  <c r="D27" i="29"/>
  <c r="E27" i="29"/>
  <c r="F27" i="29"/>
  <c r="G27" i="29"/>
  <c r="H27" i="29"/>
  <c r="I27" i="29"/>
  <c r="J27" i="29"/>
  <c r="K27" i="29"/>
  <c r="O27" i="29"/>
  <c r="A28" i="29"/>
  <c r="B28" i="29"/>
  <c r="C28" i="29"/>
  <c r="D28" i="29"/>
  <c r="E28" i="29"/>
  <c r="F28" i="29"/>
  <c r="G28" i="29"/>
  <c r="H28" i="29"/>
  <c r="I28" i="29"/>
  <c r="J28" i="29"/>
  <c r="K28" i="29"/>
  <c r="A29" i="29"/>
  <c r="B29" i="29"/>
  <c r="C29" i="29"/>
  <c r="D29" i="29"/>
  <c r="E29" i="29"/>
  <c r="F29" i="29"/>
  <c r="G29" i="29"/>
  <c r="H29" i="29"/>
  <c r="I29" i="29"/>
  <c r="J29" i="29"/>
  <c r="K29" i="29"/>
  <c r="O29" i="29"/>
  <c r="A30" i="29"/>
  <c r="B30" i="29"/>
  <c r="C30" i="29"/>
  <c r="D30" i="29"/>
  <c r="E30" i="29"/>
  <c r="F30" i="29"/>
  <c r="G30" i="29"/>
  <c r="H30" i="29"/>
  <c r="I30" i="29"/>
  <c r="J30" i="29"/>
  <c r="K30" i="29"/>
  <c r="A31" i="29"/>
  <c r="B31" i="29"/>
  <c r="C31" i="29"/>
  <c r="D31" i="29"/>
  <c r="E31" i="29"/>
  <c r="F31" i="29"/>
  <c r="G31" i="29"/>
  <c r="H31" i="29"/>
  <c r="I31" i="29"/>
  <c r="J31" i="29"/>
  <c r="K31" i="29"/>
  <c r="O31" i="29"/>
  <c r="A32" i="29"/>
  <c r="B32" i="29"/>
  <c r="C32" i="29"/>
  <c r="D32" i="29"/>
  <c r="E32" i="29"/>
  <c r="F32" i="29"/>
  <c r="G32" i="29"/>
  <c r="H32" i="29"/>
  <c r="I32" i="29"/>
  <c r="J32" i="29"/>
  <c r="K32" i="29"/>
  <c r="A33" i="29"/>
  <c r="B33" i="29"/>
  <c r="C33" i="29"/>
  <c r="D33" i="29"/>
  <c r="E33" i="29"/>
  <c r="F33" i="29"/>
  <c r="G33" i="29"/>
  <c r="H33" i="29"/>
  <c r="I33" i="29"/>
  <c r="J33" i="29"/>
  <c r="K33" i="29"/>
  <c r="M33" i="29"/>
  <c r="O33" i="29"/>
  <c r="A34" i="29"/>
  <c r="B34" i="29"/>
  <c r="C34" i="29"/>
  <c r="D34" i="29"/>
  <c r="E34" i="29"/>
  <c r="F34" i="29"/>
  <c r="G34" i="29"/>
  <c r="H34" i="29"/>
  <c r="I34" i="29"/>
  <c r="J34" i="29"/>
  <c r="K34" i="29"/>
  <c r="A35" i="29"/>
  <c r="B35" i="29"/>
  <c r="C35" i="29"/>
  <c r="D35" i="29"/>
  <c r="E35" i="29"/>
  <c r="F35" i="29"/>
  <c r="G35" i="29"/>
  <c r="H35" i="29"/>
  <c r="I35" i="29"/>
  <c r="J35" i="29"/>
  <c r="K35" i="29"/>
  <c r="M35" i="29"/>
  <c r="O35" i="29"/>
  <c r="Q35" i="29" s="1"/>
  <c r="W35" i="29" s="1"/>
  <c r="A36" i="29"/>
  <c r="B36" i="29"/>
  <c r="C36" i="29"/>
  <c r="D36" i="29"/>
  <c r="E36" i="29"/>
  <c r="F36" i="29"/>
  <c r="G36" i="29"/>
  <c r="H36" i="29"/>
  <c r="I36" i="29"/>
  <c r="J36" i="29"/>
  <c r="K36" i="29"/>
  <c r="A37" i="29"/>
  <c r="B37" i="29"/>
  <c r="C37" i="29"/>
  <c r="D37" i="29"/>
  <c r="E37" i="29"/>
  <c r="F37" i="29"/>
  <c r="G37" i="29"/>
  <c r="H37" i="29"/>
  <c r="I37" i="29"/>
  <c r="J37" i="29"/>
  <c r="K37" i="29"/>
  <c r="M37" i="29"/>
  <c r="O37" i="29"/>
  <c r="Q37" i="29" s="1"/>
  <c r="W37" i="29"/>
  <c r="A38" i="29"/>
  <c r="B38" i="29"/>
  <c r="C38" i="29"/>
  <c r="D38" i="29"/>
  <c r="E38" i="29"/>
  <c r="F38" i="29"/>
  <c r="G38" i="29"/>
  <c r="H38" i="29"/>
  <c r="I38" i="29"/>
  <c r="J38" i="29"/>
  <c r="K38" i="29"/>
  <c r="M38" i="29"/>
  <c r="A39" i="29"/>
  <c r="B39" i="29"/>
  <c r="C39" i="29"/>
  <c r="D39" i="29"/>
  <c r="E39" i="29"/>
  <c r="F39" i="29"/>
  <c r="G39" i="29"/>
  <c r="H39" i="29"/>
  <c r="I39" i="29"/>
  <c r="J39" i="29"/>
  <c r="K39" i="29"/>
  <c r="M39" i="29"/>
  <c r="O39" i="29"/>
  <c r="Q39" i="29"/>
  <c r="W39" i="29"/>
  <c r="A40" i="29"/>
  <c r="B40" i="29"/>
  <c r="C40" i="29"/>
  <c r="D40" i="29"/>
  <c r="E40" i="29"/>
  <c r="F40" i="29"/>
  <c r="G40" i="29"/>
  <c r="H40" i="29"/>
  <c r="I40" i="29"/>
  <c r="J40" i="29"/>
  <c r="K40" i="29"/>
  <c r="M40" i="29"/>
  <c r="A41" i="29"/>
  <c r="B41" i="29"/>
  <c r="C41" i="29"/>
  <c r="D41" i="29"/>
  <c r="E41" i="29"/>
  <c r="F41" i="29"/>
  <c r="G41" i="29"/>
  <c r="H41" i="29"/>
  <c r="I41" i="29"/>
  <c r="J41" i="29"/>
  <c r="K41" i="29"/>
  <c r="L41" i="29"/>
  <c r="M41" i="29"/>
  <c r="O41" i="29"/>
  <c r="Q41" i="29" s="1"/>
  <c r="W41" i="29" s="1"/>
  <c r="A42" i="29"/>
  <c r="B42" i="29"/>
  <c r="C42" i="29"/>
  <c r="D42" i="29"/>
  <c r="E42" i="29"/>
  <c r="F42" i="29"/>
  <c r="G42" i="29"/>
  <c r="H42" i="29"/>
  <c r="I42" i="29"/>
  <c r="J42" i="29"/>
  <c r="K42" i="29"/>
  <c r="M42" i="29"/>
  <c r="A43" i="29"/>
  <c r="B43" i="29"/>
  <c r="C43" i="29"/>
  <c r="D43" i="29"/>
  <c r="E43" i="29"/>
  <c r="F43" i="29"/>
  <c r="G43" i="29"/>
  <c r="H43" i="29"/>
  <c r="I43" i="29"/>
  <c r="J43" i="29"/>
  <c r="K43" i="29"/>
  <c r="L43" i="29"/>
  <c r="M43" i="29"/>
  <c r="Q43" i="29" s="1"/>
  <c r="W43" i="29" s="1"/>
  <c r="O43" i="29"/>
  <c r="A44" i="29"/>
  <c r="B44" i="29"/>
  <c r="C44" i="29"/>
  <c r="D44" i="29"/>
  <c r="E44" i="29"/>
  <c r="F44" i="29"/>
  <c r="G44" i="29"/>
  <c r="H44" i="29"/>
  <c r="I44" i="29"/>
  <c r="J44" i="29"/>
  <c r="K44" i="29"/>
  <c r="M44" i="29"/>
  <c r="A45" i="29"/>
  <c r="B45" i="29"/>
  <c r="C45" i="29"/>
  <c r="N45" i="29" s="1"/>
  <c r="D45" i="29"/>
  <c r="E45" i="29"/>
  <c r="F45" i="29"/>
  <c r="G45" i="29"/>
  <c r="H45" i="29"/>
  <c r="I45" i="29"/>
  <c r="J45" i="29"/>
  <c r="K45" i="29"/>
  <c r="L45" i="29"/>
  <c r="M45" i="29"/>
  <c r="A46" i="29"/>
  <c r="B46" i="29"/>
  <c r="C46" i="29"/>
  <c r="D46" i="29"/>
  <c r="E46" i="29"/>
  <c r="F46" i="29"/>
  <c r="G46" i="29"/>
  <c r="H46" i="29"/>
  <c r="I46" i="29"/>
  <c r="J46" i="29"/>
  <c r="K46" i="29"/>
  <c r="L46" i="29"/>
  <c r="M46" i="29"/>
  <c r="N46" i="29"/>
  <c r="P46" i="29"/>
  <c r="R46" i="29" s="1"/>
  <c r="A47" i="29"/>
  <c r="B47" i="29"/>
  <c r="C47" i="29"/>
  <c r="N47" i="29" s="1"/>
  <c r="P47" i="29" s="1"/>
  <c r="V47" i="29" s="1"/>
  <c r="D47" i="29"/>
  <c r="E47" i="29"/>
  <c r="F47" i="29"/>
  <c r="G47" i="29"/>
  <c r="H47" i="29"/>
  <c r="I47" i="29"/>
  <c r="J47" i="29"/>
  <c r="K47" i="29"/>
  <c r="L47" i="29"/>
  <c r="M47" i="29"/>
  <c r="R47" i="29"/>
  <c r="A48" i="29"/>
  <c r="B48" i="29"/>
  <c r="C48" i="29"/>
  <c r="D48" i="29"/>
  <c r="E48" i="29"/>
  <c r="F48" i="29"/>
  <c r="O48" i="29" s="1"/>
  <c r="Q48" i="29" s="1"/>
  <c r="W48" i="29" s="1"/>
  <c r="G48" i="29"/>
  <c r="H48" i="29"/>
  <c r="I48" i="29"/>
  <c r="J48" i="29"/>
  <c r="K48" i="29"/>
  <c r="L48" i="29"/>
  <c r="M48" i="29"/>
  <c r="S48" i="29" s="1"/>
  <c r="N48" i="29"/>
  <c r="P48" i="29" s="1"/>
  <c r="A49" i="29"/>
  <c r="B49" i="29"/>
  <c r="C49" i="29"/>
  <c r="N49" i="29" s="1"/>
  <c r="D49" i="29"/>
  <c r="E49" i="29"/>
  <c r="F49" i="29"/>
  <c r="G49" i="29"/>
  <c r="H49" i="29"/>
  <c r="I49" i="29"/>
  <c r="J49" i="29"/>
  <c r="K49" i="29"/>
  <c r="L49" i="29"/>
  <c r="M49" i="29"/>
  <c r="A50" i="29"/>
  <c r="B50" i="29"/>
  <c r="C50" i="29"/>
  <c r="D50" i="29"/>
  <c r="E50" i="29"/>
  <c r="F50" i="29"/>
  <c r="O50" i="29" s="1"/>
  <c r="Q50" i="29" s="1"/>
  <c r="W50" i="29" s="1"/>
  <c r="G50" i="29"/>
  <c r="H50" i="29"/>
  <c r="I50" i="29"/>
  <c r="J50" i="29"/>
  <c r="K50" i="29"/>
  <c r="L50" i="29"/>
  <c r="M50" i="29"/>
  <c r="N50" i="29"/>
  <c r="P50" i="29"/>
  <c r="R50" i="29" s="1"/>
  <c r="A51" i="29"/>
  <c r="B51" i="29"/>
  <c r="C51" i="29"/>
  <c r="N51" i="29" s="1"/>
  <c r="P51" i="29" s="1"/>
  <c r="V51" i="29" s="1"/>
  <c r="D51" i="29"/>
  <c r="E51" i="29"/>
  <c r="F51" i="29"/>
  <c r="G51" i="29"/>
  <c r="H51" i="29"/>
  <c r="I51" i="29"/>
  <c r="J51" i="29"/>
  <c r="K51" i="29"/>
  <c r="L51" i="29"/>
  <c r="M51" i="29"/>
  <c r="A52" i="29"/>
  <c r="B52" i="29"/>
  <c r="C52" i="29"/>
  <c r="D52" i="29"/>
  <c r="E52" i="29"/>
  <c r="F52" i="29"/>
  <c r="G52" i="29"/>
  <c r="H52" i="29"/>
  <c r="I52" i="29"/>
  <c r="J52" i="29"/>
  <c r="K52" i="29"/>
  <c r="L52" i="29"/>
  <c r="M52" i="29"/>
  <c r="N52" i="29"/>
  <c r="P52" i="29" s="1"/>
  <c r="A53" i="29"/>
  <c r="B53" i="29"/>
  <c r="C53" i="29"/>
  <c r="N53" i="29" s="1"/>
  <c r="D53" i="29"/>
  <c r="E53" i="29"/>
  <c r="F53" i="29"/>
  <c r="G53" i="29"/>
  <c r="H53" i="29"/>
  <c r="I53" i="29"/>
  <c r="J53" i="29"/>
  <c r="K53" i="29"/>
  <c r="L53" i="29"/>
  <c r="M53" i="29"/>
  <c r="A54" i="29"/>
  <c r="B54" i="29"/>
  <c r="C54" i="29"/>
  <c r="D54" i="29"/>
  <c r="E54" i="29"/>
  <c r="F54" i="29"/>
  <c r="G54" i="29"/>
  <c r="H54" i="29"/>
  <c r="I54" i="29"/>
  <c r="J54" i="29"/>
  <c r="K54" i="29"/>
  <c r="L54" i="29"/>
  <c r="M54" i="29"/>
  <c r="N54" i="29"/>
  <c r="P54" i="29"/>
  <c r="V54" i="29"/>
  <c r="A55" i="29"/>
  <c r="B55" i="29"/>
  <c r="C55" i="29"/>
  <c r="N55" i="29" s="1"/>
  <c r="P55" i="29" s="1"/>
  <c r="V55" i="29" s="1"/>
  <c r="D55" i="29"/>
  <c r="E55" i="29"/>
  <c r="F55" i="29"/>
  <c r="G55" i="29"/>
  <c r="H55" i="29"/>
  <c r="I55" i="29"/>
  <c r="J55" i="29"/>
  <c r="K55" i="29"/>
  <c r="L55" i="29"/>
  <c r="M55" i="29"/>
  <c r="R55" i="29"/>
  <c r="A56" i="29"/>
  <c r="B56" i="29"/>
  <c r="C56" i="29"/>
  <c r="D56" i="29"/>
  <c r="E56" i="29"/>
  <c r="F56" i="29"/>
  <c r="O56" i="29" s="1"/>
  <c r="Q56" i="29" s="1"/>
  <c r="W56" i="29" s="1"/>
  <c r="G56" i="29"/>
  <c r="H56" i="29"/>
  <c r="I56" i="29"/>
  <c r="J56" i="29"/>
  <c r="K56" i="29"/>
  <c r="L56" i="29"/>
  <c r="M56" i="29"/>
  <c r="N56" i="29"/>
  <c r="P56" i="29" s="1"/>
  <c r="V56" i="29" s="1"/>
  <c r="Y56" i="29" s="1"/>
  <c r="A57" i="29"/>
  <c r="B57" i="29"/>
  <c r="C57" i="29"/>
  <c r="N57" i="29" s="1"/>
  <c r="D57" i="29"/>
  <c r="E57" i="29"/>
  <c r="F57" i="29"/>
  <c r="G57" i="29"/>
  <c r="H57" i="29"/>
  <c r="I57" i="29"/>
  <c r="J57" i="29"/>
  <c r="K57" i="29"/>
  <c r="L57" i="29"/>
  <c r="M57" i="29"/>
  <c r="A58" i="29"/>
  <c r="B58" i="29"/>
  <c r="C58" i="29"/>
  <c r="D58" i="29"/>
  <c r="E58" i="29"/>
  <c r="F58" i="29"/>
  <c r="O58" i="29" s="1"/>
  <c r="Q58" i="29" s="1"/>
  <c r="W58" i="29" s="1"/>
  <c r="G58" i="29"/>
  <c r="H58" i="29"/>
  <c r="I58" i="29"/>
  <c r="J58" i="29"/>
  <c r="K58" i="29"/>
  <c r="L58" i="29"/>
  <c r="R58" i="29" s="1"/>
  <c r="M58" i="29"/>
  <c r="N58" i="29"/>
  <c r="P58" i="29"/>
  <c r="V58" i="29" s="1"/>
  <c r="Y58" i="29" s="1"/>
  <c r="A59" i="29"/>
  <c r="B59" i="29"/>
  <c r="C59" i="29"/>
  <c r="N59" i="29" s="1"/>
  <c r="P59" i="29" s="1"/>
  <c r="D59" i="29"/>
  <c r="E59" i="29"/>
  <c r="F59" i="29"/>
  <c r="G59" i="29"/>
  <c r="H59" i="29"/>
  <c r="I59" i="29"/>
  <c r="J59" i="29"/>
  <c r="K59" i="29"/>
  <c r="L59" i="29"/>
  <c r="M59" i="29"/>
  <c r="A60" i="29"/>
  <c r="B60" i="29"/>
  <c r="C60" i="29"/>
  <c r="D60" i="29"/>
  <c r="E60" i="29"/>
  <c r="F60" i="29"/>
  <c r="G60" i="29"/>
  <c r="H60" i="29"/>
  <c r="I60" i="29"/>
  <c r="J60" i="29"/>
  <c r="K60" i="29"/>
  <c r="L60" i="29"/>
  <c r="M60" i="29"/>
  <c r="N60" i="29"/>
  <c r="P60" i="29" s="1"/>
  <c r="V60" i="29" s="1"/>
  <c r="A61" i="29"/>
  <c r="B61" i="29"/>
  <c r="C61" i="29"/>
  <c r="N61" i="29" s="1"/>
  <c r="D61" i="29"/>
  <c r="E61" i="29"/>
  <c r="F61" i="29"/>
  <c r="G61" i="29"/>
  <c r="H61" i="29"/>
  <c r="I61" i="29"/>
  <c r="J61" i="29"/>
  <c r="K61" i="29"/>
  <c r="L61" i="29"/>
  <c r="M61" i="29"/>
  <c r="A62" i="29"/>
  <c r="B62" i="29"/>
  <c r="C62" i="29"/>
  <c r="D62" i="29"/>
  <c r="E62" i="29"/>
  <c r="F62" i="29"/>
  <c r="G62" i="29"/>
  <c r="H62" i="29"/>
  <c r="I62" i="29"/>
  <c r="J62" i="29"/>
  <c r="K62" i="29"/>
  <c r="L62" i="29"/>
  <c r="M62" i="29"/>
  <c r="N62" i="29"/>
  <c r="P62" i="29"/>
  <c r="V62" i="29"/>
  <c r="A63" i="29"/>
  <c r="B63" i="29"/>
  <c r="C63" i="29"/>
  <c r="N63" i="29" s="1"/>
  <c r="P63" i="29" s="1"/>
  <c r="V63" i="29" s="1"/>
  <c r="D63" i="29"/>
  <c r="E63" i="29"/>
  <c r="F63" i="29"/>
  <c r="G63" i="29"/>
  <c r="H63" i="29"/>
  <c r="I63" i="29"/>
  <c r="J63" i="29"/>
  <c r="K63" i="29"/>
  <c r="L63" i="29"/>
  <c r="M63" i="29"/>
  <c r="R63" i="29"/>
  <c r="A64" i="29"/>
  <c r="B64" i="29"/>
  <c r="C64" i="29"/>
  <c r="D64" i="29"/>
  <c r="E64" i="29"/>
  <c r="F64" i="29"/>
  <c r="O64" i="29" s="1"/>
  <c r="Q64" i="29" s="1"/>
  <c r="W64" i="29" s="1"/>
  <c r="G64" i="29"/>
  <c r="H64" i="29"/>
  <c r="I64" i="29"/>
  <c r="J64" i="29"/>
  <c r="K64" i="29"/>
  <c r="L64" i="29"/>
  <c r="M64" i="29"/>
  <c r="S64" i="29" s="1"/>
  <c r="N64" i="29"/>
  <c r="P64" i="29" s="1"/>
  <c r="V64" i="29" s="1"/>
  <c r="Y64" i="29" s="1"/>
  <c r="A65" i="29"/>
  <c r="B65" i="29"/>
  <c r="C65" i="29"/>
  <c r="N65" i="29" s="1"/>
  <c r="D65" i="29"/>
  <c r="E65" i="29"/>
  <c r="F65" i="29"/>
  <c r="G65" i="29"/>
  <c r="H65" i="29"/>
  <c r="I65" i="29"/>
  <c r="J65" i="29"/>
  <c r="K65" i="29"/>
  <c r="L65" i="29"/>
  <c r="M65" i="29"/>
  <c r="A66" i="29"/>
  <c r="B66" i="29"/>
  <c r="C66" i="29"/>
  <c r="D66" i="29"/>
  <c r="E66" i="29"/>
  <c r="N66" i="29" s="1"/>
  <c r="P66" i="29" s="1"/>
  <c r="F66" i="29"/>
  <c r="G66" i="29"/>
  <c r="H66" i="29"/>
  <c r="I66" i="29"/>
  <c r="J66" i="29"/>
  <c r="K66" i="29"/>
  <c r="L66" i="29"/>
  <c r="M66" i="29"/>
  <c r="V66" i="29"/>
  <c r="A67" i="29"/>
  <c r="B67" i="29"/>
  <c r="C67" i="29"/>
  <c r="D67" i="29"/>
  <c r="E67" i="29"/>
  <c r="F67" i="29"/>
  <c r="G67" i="29"/>
  <c r="H67" i="29"/>
  <c r="I67" i="29"/>
  <c r="J67" i="29"/>
  <c r="K67" i="29"/>
  <c r="L67" i="29"/>
  <c r="M67" i="29"/>
  <c r="A68" i="29"/>
  <c r="B68" i="29"/>
  <c r="C68" i="29"/>
  <c r="D68" i="29"/>
  <c r="E68" i="29"/>
  <c r="N68" i="29" s="1"/>
  <c r="P68" i="29" s="1"/>
  <c r="V68" i="29" s="1"/>
  <c r="F68" i="29"/>
  <c r="G68" i="29"/>
  <c r="H68" i="29"/>
  <c r="I68" i="29"/>
  <c r="J68" i="29"/>
  <c r="K68" i="29"/>
  <c r="L68" i="29"/>
  <c r="M68" i="29"/>
  <c r="A69" i="29"/>
  <c r="B69" i="29"/>
  <c r="C69" i="29"/>
  <c r="D69" i="29"/>
  <c r="E69" i="29"/>
  <c r="F69" i="29"/>
  <c r="G69" i="29"/>
  <c r="H69" i="29"/>
  <c r="I69" i="29"/>
  <c r="J69" i="29"/>
  <c r="K69" i="29"/>
  <c r="L69" i="29"/>
  <c r="M69" i="29"/>
  <c r="A70" i="29"/>
  <c r="B70" i="29"/>
  <c r="C70" i="29"/>
  <c r="D70" i="29"/>
  <c r="E70" i="29"/>
  <c r="F70" i="29"/>
  <c r="G70" i="29"/>
  <c r="H70" i="29"/>
  <c r="I70" i="29"/>
  <c r="J70" i="29"/>
  <c r="K70" i="29"/>
  <c r="L70" i="29"/>
  <c r="M70" i="29"/>
  <c r="A71" i="29"/>
  <c r="B71" i="29"/>
  <c r="C71" i="29"/>
  <c r="D71" i="29"/>
  <c r="E71" i="29"/>
  <c r="F71" i="29"/>
  <c r="G71" i="29"/>
  <c r="H71" i="29"/>
  <c r="I71" i="29"/>
  <c r="J71" i="29"/>
  <c r="K71" i="29"/>
  <c r="L71" i="29"/>
  <c r="M71" i="29"/>
  <c r="A72" i="29"/>
  <c r="B72" i="29"/>
  <c r="C72" i="29"/>
  <c r="D72" i="29"/>
  <c r="E72" i="29"/>
  <c r="F72" i="29"/>
  <c r="G72" i="29"/>
  <c r="H72" i="29"/>
  <c r="I72" i="29"/>
  <c r="J72" i="29"/>
  <c r="K72" i="29"/>
  <c r="L72" i="29"/>
  <c r="M72" i="29"/>
  <c r="A73" i="29"/>
  <c r="B73" i="29"/>
  <c r="C73" i="29"/>
  <c r="D73" i="29"/>
  <c r="E73" i="29"/>
  <c r="F73" i="29"/>
  <c r="G73" i="29"/>
  <c r="H73" i="29"/>
  <c r="I73" i="29"/>
  <c r="J73" i="29"/>
  <c r="K73" i="29"/>
  <c r="L73" i="29"/>
  <c r="M73" i="29"/>
  <c r="A74" i="29"/>
  <c r="B74" i="29"/>
  <c r="C74" i="29"/>
  <c r="D74" i="29"/>
  <c r="E74" i="29"/>
  <c r="N74" i="29" s="1"/>
  <c r="P74" i="29" s="1"/>
  <c r="V74" i="29" s="1"/>
  <c r="F74" i="29"/>
  <c r="O74" i="29" s="1"/>
  <c r="Q74" i="29" s="1"/>
  <c r="W74" i="29" s="1"/>
  <c r="G74" i="29"/>
  <c r="H74" i="29"/>
  <c r="I74" i="29"/>
  <c r="J74" i="29"/>
  <c r="K74" i="29"/>
  <c r="L74" i="29"/>
  <c r="M74" i="29"/>
  <c r="A75" i="29"/>
  <c r="B75" i="29"/>
  <c r="C75" i="29"/>
  <c r="D75" i="29"/>
  <c r="E75" i="29"/>
  <c r="F75" i="29"/>
  <c r="G75" i="29"/>
  <c r="H75" i="29"/>
  <c r="I75" i="29"/>
  <c r="J75" i="29"/>
  <c r="K75" i="29"/>
  <c r="L75" i="29"/>
  <c r="M75" i="29"/>
  <c r="A76" i="29"/>
  <c r="B76" i="29"/>
  <c r="C76" i="29"/>
  <c r="D76" i="29"/>
  <c r="E76" i="29"/>
  <c r="F76" i="29"/>
  <c r="O76" i="29" s="1"/>
  <c r="G76" i="29"/>
  <c r="H76" i="29"/>
  <c r="I76" i="29"/>
  <c r="N76" i="29" s="1"/>
  <c r="P76" i="29" s="1"/>
  <c r="V76" i="29" s="1"/>
  <c r="Y76" i="29" s="1"/>
  <c r="J76" i="29"/>
  <c r="K76" i="29"/>
  <c r="L76" i="29"/>
  <c r="M76" i="29"/>
  <c r="Q76" i="29"/>
  <c r="W76" i="29" s="1"/>
  <c r="A77" i="29"/>
  <c r="B77" i="29"/>
  <c r="C77" i="29"/>
  <c r="D77" i="29"/>
  <c r="E77" i="29"/>
  <c r="F77" i="29"/>
  <c r="G77" i="29"/>
  <c r="H77" i="29"/>
  <c r="I77" i="29"/>
  <c r="J77" i="29"/>
  <c r="K77" i="29"/>
  <c r="K111" i="29" s="1"/>
  <c r="L77" i="29"/>
  <c r="M77" i="29"/>
  <c r="A78" i="29"/>
  <c r="B78" i="29"/>
  <c r="C78" i="29"/>
  <c r="D78" i="29"/>
  <c r="E78" i="29"/>
  <c r="F78" i="29"/>
  <c r="O78" i="29" s="1"/>
  <c r="Q78" i="29" s="1"/>
  <c r="W78" i="29" s="1"/>
  <c r="G78" i="29"/>
  <c r="H78" i="29"/>
  <c r="I78" i="29"/>
  <c r="J78" i="29"/>
  <c r="K78" i="29"/>
  <c r="L78" i="29"/>
  <c r="M78" i="29"/>
  <c r="N78" i="29"/>
  <c r="P78" i="29" s="1"/>
  <c r="V78" i="29" s="1"/>
  <c r="Y78" i="29" s="1"/>
  <c r="A79" i="29"/>
  <c r="B79" i="29"/>
  <c r="C79" i="29"/>
  <c r="D79" i="29"/>
  <c r="E79" i="29"/>
  <c r="F79" i="29"/>
  <c r="G79" i="29"/>
  <c r="H79" i="29"/>
  <c r="I79" i="29"/>
  <c r="J79" i="29"/>
  <c r="K79" i="29"/>
  <c r="L79" i="29"/>
  <c r="M79" i="29"/>
  <c r="A80" i="29"/>
  <c r="B80" i="29"/>
  <c r="C80" i="29"/>
  <c r="D80" i="29"/>
  <c r="E80" i="29"/>
  <c r="F80" i="29"/>
  <c r="G80" i="29"/>
  <c r="N80" i="29" s="1"/>
  <c r="P80" i="29" s="1"/>
  <c r="V80" i="29" s="1"/>
  <c r="H80" i="29"/>
  <c r="I80" i="29"/>
  <c r="J80" i="29"/>
  <c r="K80" i="29"/>
  <c r="L80" i="29"/>
  <c r="M80" i="29"/>
  <c r="O80" i="29"/>
  <c r="Q80" i="29" s="1"/>
  <c r="W80" i="29" s="1"/>
  <c r="A81" i="29"/>
  <c r="B81" i="29"/>
  <c r="O81" i="29" s="1"/>
  <c r="Q81" i="29" s="1"/>
  <c r="W81" i="29" s="1"/>
  <c r="C81" i="29"/>
  <c r="D81" i="29"/>
  <c r="E81" i="29"/>
  <c r="N81" i="29" s="1"/>
  <c r="P81" i="29" s="1"/>
  <c r="F81" i="29"/>
  <c r="G81" i="29"/>
  <c r="H81" i="29"/>
  <c r="I81" i="29"/>
  <c r="J81" i="29"/>
  <c r="K81" i="29"/>
  <c r="L81" i="29"/>
  <c r="M81" i="29"/>
  <c r="A82" i="29"/>
  <c r="B82" i="29"/>
  <c r="C82" i="29"/>
  <c r="D82" i="29"/>
  <c r="E82" i="29"/>
  <c r="F82" i="29"/>
  <c r="G82" i="29"/>
  <c r="H82" i="29"/>
  <c r="I82" i="29"/>
  <c r="N82" i="29" s="1"/>
  <c r="P82" i="29" s="1"/>
  <c r="J82" i="29"/>
  <c r="K82" i="29"/>
  <c r="L82" i="29"/>
  <c r="M82" i="29"/>
  <c r="A83" i="29"/>
  <c r="B83" i="29"/>
  <c r="O83" i="29" s="1"/>
  <c r="Q83" i="29" s="1"/>
  <c r="W83" i="29" s="1"/>
  <c r="C83" i="29"/>
  <c r="D83" i="29"/>
  <c r="E83" i="29"/>
  <c r="N83" i="29" s="1"/>
  <c r="P83" i="29" s="1"/>
  <c r="F83" i="29"/>
  <c r="G83" i="29"/>
  <c r="H83" i="29"/>
  <c r="I83" i="29"/>
  <c r="J83" i="29"/>
  <c r="K83" i="29"/>
  <c r="L83" i="29"/>
  <c r="M83" i="29"/>
  <c r="A84" i="29"/>
  <c r="B84" i="29"/>
  <c r="C84" i="29"/>
  <c r="D84" i="29"/>
  <c r="E84" i="29"/>
  <c r="F84" i="29"/>
  <c r="G84" i="29"/>
  <c r="H84" i="29"/>
  <c r="I84" i="29"/>
  <c r="N84" i="29" s="1"/>
  <c r="P84" i="29" s="1"/>
  <c r="J84" i="29"/>
  <c r="K84" i="29"/>
  <c r="L84" i="29"/>
  <c r="M84" i="29"/>
  <c r="A85" i="29"/>
  <c r="B85" i="29"/>
  <c r="C85" i="29"/>
  <c r="D85" i="29"/>
  <c r="E85" i="29"/>
  <c r="N85" i="29" s="1"/>
  <c r="P85" i="29" s="1"/>
  <c r="F85" i="29"/>
  <c r="G85" i="29"/>
  <c r="H85" i="29"/>
  <c r="I85" i="29"/>
  <c r="J85" i="29"/>
  <c r="K85" i="29"/>
  <c r="L85" i="29"/>
  <c r="M85" i="29"/>
  <c r="O85" i="29"/>
  <c r="Q85" i="29" s="1"/>
  <c r="W85" i="29" s="1"/>
  <c r="A86" i="29"/>
  <c r="B86" i="29"/>
  <c r="C86" i="29"/>
  <c r="N86" i="29" s="1"/>
  <c r="P86" i="29" s="1"/>
  <c r="D86" i="29"/>
  <c r="E86" i="29"/>
  <c r="F86" i="29"/>
  <c r="G86" i="29"/>
  <c r="H86" i="29"/>
  <c r="I86" i="29"/>
  <c r="J86" i="29"/>
  <c r="K86" i="29"/>
  <c r="L86" i="29"/>
  <c r="M86" i="29"/>
  <c r="A87" i="29"/>
  <c r="B87" i="29"/>
  <c r="O87" i="29" s="1"/>
  <c r="Q87" i="29" s="1"/>
  <c r="W87" i="29" s="1"/>
  <c r="C87" i="29"/>
  <c r="D87" i="29"/>
  <c r="E87" i="29"/>
  <c r="N87" i="29" s="1"/>
  <c r="P87" i="29" s="1"/>
  <c r="F87" i="29"/>
  <c r="G87" i="29"/>
  <c r="H87" i="29"/>
  <c r="I87" i="29"/>
  <c r="J87" i="29"/>
  <c r="J111" i="29" s="1"/>
  <c r="K87" i="29"/>
  <c r="L87" i="29"/>
  <c r="M87" i="29"/>
  <c r="S87" i="29" s="1"/>
  <c r="A88" i="29"/>
  <c r="B88" i="29"/>
  <c r="C88" i="29"/>
  <c r="N88" i="29" s="1"/>
  <c r="P88" i="29" s="1"/>
  <c r="D88" i="29"/>
  <c r="E88" i="29"/>
  <c r="F88" i="29"/>
  <c r="G88" i="29"/>
  <c r="H88" i="29"/>
  <c r="I88" i="29"/>
  <c r="J88" i="29"/>
  <c r="K88" i="29"/>
  <c r="L88" i="29"/>
  <c r="M88" i="29"/>
  <c r="O88" i="29"/>
  <c r="Q88" i="29" s="1"/>
  <c r="A89" i="29"/>
  <c r="B89" i="29"/>
  <c r="O89" i="29" s="1"/>
  <c r="Q89" i="29" s="1"/>
  <c r="W89" i="29" s="1"/>
  <c r="C89" i="29"/>
  <c r="N89" i="29" s="1"/>
  <c r="P89" i="29" s="1"/>
  <c r="D89" i="29"/>
  <c r="E89" i="29"/>
  <c r="F89" i="29"/>
  <c r="G89" i="29"/>
  <c r="H89" i="29"/>
  <c r="I89" i="29"/>
  <c r="J89" i="29"/>
  <c r="K89" i="29"/>
  <c r="L89" i="29"/>
  <c r="M89" i="29"/>
  <c r="A90" i="29"/>
  <c r="B90" i="29"/>
  <c r="O90" i="29" s="1"/>
  <c r="Q90" i="29" s="1"/>
  <c r="C90" i="29"/>
  <c r="D90" i="29"/>
  <c r="E90" i="29"/>
  <c r="F90" i="29"/>
  <c r="G90" i="29"/>
  <c r="N90" i="29" s="1"/>
  <c r="P90" i="29" s="1"/>
  <c r="H90" i="29"/>
  <c r="I90" i="29"/>
  <c r="J90" i="29"/>
  <c r="K90" i="29"/>
  <c r="L90" i="29"/>
  <c r="M90" i="29"/>
  <c r="A91" i="29"/>
  <c r="B91" i="29"/>
  <c r="O91" i="29" s="1"/>
  <c r="Q91" i="29" s="1"/>
  <c r="C91" i="29"/>
  <c r="D91" i="29"/>
  <c r="E91" i="29"/>
  <c r="F91" i="29"/>
  <c r="G91" i="29"/>
  <c r="N91" i="29" s="1"/>
  <c r="P91" i="29" s="1"/>
  <c r="H91" i="29"/>
  <c r="I91" i="29"/>
  <c r="J91" i="29"/>
  <c r="K91" i="29"/>
  <c r="L91" i="29"/>
  <c r="M91" i="29"/>
  <c r="A92" i="29"/>
  <c r="B92" i="29"/>
  <c r="O92" i="29" s="1"/>
  <c r="Q92" i="29" s="1"/>
  <c r="C92" i="29"/>
  <c r="D92" i="29"/>
  <c r="E92" i="29"/>
  <c r="F92" i="29"/>
  <c r="G92" i="29"/>
  <c r="H92" i="29"/>
  <c r="I92" i="29"/>
  <c r="J92" i="29"/>
  <c r="K92" i="29"/>
  <c r="L92" i="29"/>
  <c r="M92" i="29"/>
  <c r="N92" i="29"/>
  <c r="P92" i="29" s="1"/>
  <c r="V92" i="29" s="1"/>
  <c r="A93" i="29"/>
  <c r="B93" i="29"/>
  <c r="O93" i="29" s="1"/>
  <c r="Q93" i="29" s="1"/>
  <c r="C93" i="29"/>
  <c r="D93" i="29"/>
  <c r="E93" i="29"/>
  <c r="F93" i="29"/>
  <c r="G93" i="29"/>
  <c r="H93" i="29"/>
  <c r="I93" i="29"/>
  <c r="J93" i="29"/>
  <c r="K93" i="29"/>
  <c r="L93" i="29"/>
  <c r="M93" i="29"/>
  <c r="N93" i="29"/>
  <c r="P93" i="29" s="1"/>
  <c r="V93" i="29" s="1"/>
  <c r="A94" i="29"/>
  <c r="B94" i="29"/>
  <c r="O94" i="29" s="1"/>
  <c r="Q94" i="29" s="1"/>
  <c r="C94" i="29"/>
  <c r="D94" i="29"/>
  <c r="E94" i="29"/>
  <c r="F94" i="29"/>
  <c r="G94" i="29"/>
  <c r="H94" i="29"/>
  <c r="I94" i="29"/>
  <c r="J94" i="29"/>
  <c r="K94" i="29"/>
  <c r="L94" i="29"/>
  <c r="M94" i="29"/>
  <c r="N94" i="29"/>
  <c r="P94" i="29" s="1"/>
  <c r="V94" i="29" s="1"/>
  <c r="A95" i="29"/>
  <c r="B95" i="29"/>
  <c r="O95" i="29" s="1"/>
  <c r="Q95" i="29" s="1"/>
  <c r="C95" i="29"/>
  <c r="D95" i="29"/>
  <c r="E95" i="29"/>
  <c r="F95" i="29"/>
  <c r="G95" i="29"/>
  <c r="H95" i="29"/>
  <c r="I95" i="29"/>
  <c r="J95" i="29"/>
  <c r="K95" i="29"/>
  <c r="L95" i="29"/>
  <c r="M95" i="29"/>
  <c r="N95" i="29"/>
  <c r="P95" i="29" s="1"/>
  <c r="V95" i="29" s="1"/>
  <c r="A96" i="29"/>
  <c r="B96" i="29"/>
  <c r="O96" i="29" s="1"/>
  <c r="Q96" i="29" s="1"/>
  <c r="C96" i="29"/>
  <c r="D96" i="29"/>
  <c r="E96" i="29"/>
  <c r="F96" i="29"/>
  <c r="G96" i="29"/>
  <c r="H96" i="29"/>
  <c r="I96" i="29"/>
  <c r="J96" i="29"/>
  <c r="K96" i="29"/>
  <c r="L96" i="29"/>
  <c r="M96" i="29"/>
  <c r="N96" i="29"/>
  <c r="P96" i="29" s="1"/>
  <c r="V96" i="29" s="1"/>
  <c r="A97" i="29"/>
  <c r="B97" i="29"/>
  <c r="O97" i="29" s="1"/>
  <c r="Q97" i="29" s="1"/>
  <c r="C97" i="29"/>
  <c r="D97" i="29"/>
  <c r="E97" i="29"/>
  <c r="F97" i="29"/>
  <c r="G97" i="29"/>
  <c r="H97" i="29"/>
  <c r="I97" i="29"/>
  <c r="J97" i="29"/>
  <c r="K97" i="29"/>
  <c r="L97" i="29"/>
  <c r="M97" i="29"/>
  <c r="N97" i="29"/>
  <c r="P97" i="29" s="1"/>
  <c r="V97" i="29" s="1"/>
  <c r="A98" i="29"/>
  <c r="B98" i="29"/>
  <c r="O98" i="29" s="1"/>
  <c r="Q98" i="29" s="1"/>
  <c r="C98" i="29"/>
  <c r="D98" i="29"/>
  <c r="E98" i="29"/>
  <c r="F98" i="29"/>
  <c r="F111" i="29" s="1"/>
  <c r="G98" i="29"/>
  <c r="H98" i="29"/>
  <c r="I98" i="29"/>
  <c r="J98" i="29"/>
  <c r="K98" i="29"/>
  <c r="L98" i="29"/>
  <c r="M98" i="29"/>
  <c r="N98" i="29"/>
  <c r="P98" i="29" s="1"/>
  <c r="V98" i="29" s="1"/>
  <c r="A99" i="29"/>
  <c r="B99" i="29"/>
  <c r="O99" i="29" s="1"/>
  <c r="Q99" i="29" s="1"/>
  <c r="C99" i="29"/>
  <c r="D99" i="29"/>
  <c r="E99" i="29"/>
  <c r="F99" i="29"/>
  <c r="G99" i="29"/>
  <c r="H99" i="29"/>
  <c r="I99" i="29"/>
  <c r="J99" i="29"/>
  <c r="K99" i="29"/>
  <c r="L99" i="29"/>
  <c r="M99" i="29"/>
  <c r="N99" i="29"/>
  <c r="P99" i="29" s="1"/>
  <c r="V99" i="29" s="1"/>
  <c r="A100" i="29"/>
  <c r="B100" i="29"/>
  <c r="O100" i="29" s="1"/>
  <c r="Q100" i="29" s="1"/>
  <c r="W100" i="29" s="1"/>
  <c r="C100" i="29"/>
  <c r="D100" i="29"/>
  <c r="E100" i="29"/>
  <c r="F100" i="29"/>
  <c r="G100" i="29"/>
  <c r="H100" i="29"/>
  <c r="I100" i="29"/>
  <c r="J100" i="29"/>
  <c r="K100" i="29"/>
  <c r="L100" i="29"/>
  <c r="M100" i="29"/>
  <c r="S100" i="29" s="1"/>
  <c r="N100" i="29"/>
  <c r="P100" i="29" s="1"/>
  <c r="A101" i="29"/>
  <c r="B101" i="29"/>
  <c r="O101" i="29" s="1"/>
  <c r="Q101" i="29" s="1"/>
  <c r="W101" i="29" s="1"/>
  <c r="C101" i="29"/>
  <c r="N101" i="29" s="1"/>
  <c r="P101" i="29" s="1"/>
  <c r="V101" i="29" s="1"/>
  <c r="D101" i="29"/>
  <c r="E101" i="29"/>
  <c r="F101" i="29"/>
  <c r="G101" i="29"/>
  <c r="H101" i="29"/>
  <c r="I101" i="29"/>
  <c r="J101" i="29"/>
  <c r="K101" i="29"/>
  <c r="L101" i="29"/>
  <c r="R101" i="29" s="1"/>
  <c r="M101" i="29"/>
  <c r="S101" i="29" s="1"/>
  <c r="A102" i="29"/>
  <c r="B102" i="29"/>
  <c r="O102" i="29" s="1"/>
  <c r="Q102" i="29" s="1"/>
  <c r="C102" i="29"/>
  <c r="D102" i="29"/>
  <c r="E102" i="29"/>
  <c r="F102" i="29"/>
  <c r="G102" i="29"/>
  <c r="H102" i="29"/>
  <c r="I102" i="29"/>
  <c r="J102" i="29"/>
  <c r="K102" i="29"/>
  <c r="L102" i="29"/>
  <c r="M102" i="29"/>
  <c r="N102" i="29"/>
  <c r="P102" i="29" s="1"/>
  <c r="A103" i="29"/>
  <c r="B103" i="29"/>
  <c r="C103" i="29"/>
  <c r="N103" i="29" s="1"/>
  <c r="P103" i="29" s="1"/>
  <c r="V103" i="29" s="1"/>
  <c r="D103" i="29"/>
  <c r="E103" i="29"/>
  <c r="F103" i="29"/>
  <c r="G103" i="29"/>
  <c r="H103" i="29"/>
  <c r="I103" i="29"/>
  <c r="J103" i="29"/>
  <c r="K103" i="29"/>
  <c r="L103" i="29"/>
  <c r="M103" i="29"/>
  <c r="O103" i="29"/>
  <c r="Q103" i="29" s="1"/>
  <c r="A104" i="29"/>
  <c r="B104" i="29"/>
  <c r="C104" i="29"/>
  <c r="N104" i="29" s="1"/>
  <c r="P104" i="29" s="1"/>
  <c r="D104" i="29"/>
  <c r="E104" i="29"/>
  <c r="F104" i="29"/>
  <c r="G104" i="29"/>
  <c r="H104" i="29"/>
  <c r="I104" i="29"/>
  <c r="J104" i="29"/>
  <c r="K104" i="29"/>
  <c r="L104" i="29"/>
  <c r="M104" i="29"/>
  <c r="O104" i="29"/>
  <c r="Q104" i="29" s="1"/>
  <c r="A105" i="29"/>
  <c r="B105" i="29"/>
  <c r="C105" i="29"/>
  <c r="N105" i="29" s="1"/>
  <c r="P105" i="29" s="1"/>
  <c r="V105" i="29" s="1"/>
  <c r="D105" i="29"/>
  <c r="E105" i="29"/>
  <c r="F105" i="29"/>
  <c r="G105" i="29"/>
  <c r="H105" i="29"/>
  <c r="I105" i="29"/>
  <c r="J105" i="29"/>
  <c r="K105" i="29"/>
  <c r="L105" i="29"/>
  <c r="M105" i="29"/>
  <c r="O105" i="29"/>
  <c r="Q105" i="29" s="1"/>
  <c r="A106" i="29"/>
  <c r="B106" i="29"/>
  <c r="C106" i="29"/>
  <c r="N106" i="29" s="1"/>
  <c r="P106" i="29" s="1"/>
  <c r="V106" i="29" s="1"/>
  <c r="D106" i="29"/>
  <c r="E106" i="29"/>
  <c r="F106" i="29"/>
  <c r="G106" i="29"/>
  <c r="G111" i="29" s="1"/>
  <c r="H106" i="29"/>
  <c r="I106" i="29"/>
  <c r="J106" i="29"/>
  <c r="K106" i="29"/>
  <c r="L106" i="29"/>
  <c r="R106" i="29" s="1"/>
  <c r="M106" i="29"/>
  <c r="O106" i="29"/>
  <c r="Q106" i="29" s="1"/>
  <c r="A107" i="29"/>
  <c r="B107" i="29"/>
  <c r="C107" i="29"/>
  <c r="N107" i="29" s="1"/>
  <c r="P107" i="29" s="1"/>
  <c r="V107" i="29" s="1"/>
  <c r="D107" i="29"/>
  <c r="E107" i="29"/>
  <c r="F107" i="29"/>
  <c r="G107" i="29"/>
  <c r="H107" i="29"/>
  <c r="I107" i="29"/>
  <c r="J107" i="29"/>
  <c r="K107" i="29"/>
  <c r="L107" i="29"/>
  <c r="M107" i="29"/>
  <c r="O107" i="29"/>
  <c r="Q107" i="29" s="1"/>
  <c r="A108" i="29"/>
  <c r="B108" i="29"/>
  <c r="C108" i="29"/>
  <c r="N108" i="29" s="1"/>
  <c r="P108" i="29" s="1"/>
  <c r="V108" i="29" s="1"/>
  <c r="D108" i="29"/>
  <c r="E108" i="29"/>
  <c r="F108" i="29"/>
  <c r="G108" i="29"/>
  <c r="H108" i="29"/>
  <c r="I108" i="29"/>
  <c r="J108" i="29"/>
  <c r="K108" i="29"/>
  <c r="L108" i="29"/>
  <c r="R108" i="29" s="1"/>
  <c r="M108" i="29"/>
  <c r="O108" i="29"/>
  <c r="Q108" i="29" s="1"/>
  <c r="A109" i="29"/>
  <c r="B109" i="29"/>
  <c r="C109" i="29"/>
  <c r="N109" i="29" s="1"/>
  <c r="P109" i="29" s="1"/>
  <c r="V109" i="29" s="1"/>
  <c r="D109" i="29"/>
  <c r="E109" i="29"/>
  <c r="F109" i="29"/>
  <c r="G109" i="29"/>
  <c r="H109" i="29"/>
  <c r="I109" i="29"/>
  <c r="J109" i="29"/>
  <c r="K109" i="29"/>
  <c r="L109" i="29"/>
  <c r="M109" i="29"/>
  <c r="O109" i="29"/>
  <c r="Q109" i="29" s="1"/>
  <c r="A110" i="29"/>
  <c r="B110" i="29"/>
  <c r="C110" i="29"/>
  <c r="N110" i="29" s="1"/>
  <c r="P110" i="29" s="1"/>
  <c r="V110" i="29" s="1"/>
  <c r="D110" i="29"/>
  <c r="E110" i="29"/>
  <c r="F110" i="29"/>
  <c r="G110" i="29"/>
  <c r="H110" i="29"/>
  <c r="I110" i="29"/>
  <c r="J110" i="29"/>
  <c r="K110" i="29"/>
  <c r="L110" i="29"/>
  <c r="M110" i="29"/>
  <c r="O110" i="29"/>
  <c r="Q110" i="29" s="1"/>
  <c r="D111" i="29"/>
  <c r="H111" i="29"/>
  <c r="I111" i="29"/>
  <c r="B8" i="28"/>
  <c r="C8" i="28"/>
  <c r="O11" i="28" s="1"/>
  <c r="D8" i="28"/>
  <c r="E8" i="28"/>
  <c r="L12" i="28" s="1"/>
  <c r="F8" i="28"/>
  <c r="G8" i="28"/>
  <c r="H8" i="28"/>
  <c r="I8" i="28"/>
  <c r="J8" i="28"/>
  <c r="K8" i="28"/>
  <c r="A11" i="28"/>
  <c r="B11" i="28"/>
  <c r="N11" i="28" s="1"/>
  <c r="P11" i="28" s="1"/>
  <c r="V11" i="28" s="1"/>
  <c r="C11" i="28"/>
  <c r="D11" i="28"/>
  <c r="E11" i="28"/>
  <c r="F11" i="28"/>
  <c r="G11" i="28"/>
  <c r="H11" i="28"/>
  <c r="I11" i="28"/>
  <c r="J11" i="28"/>
  <c r="K11" i="28"/>
  <c r="L11" i="28"/>
  <c r="A12" i="28"/>
  <c r="B12" i="28"/>
  <c r="C12" i="28"/>
  <c r="D12" i="28"/>
  <c r="E12" i="28"/>
  <c r="F12" i="28"/>
  <c r="G12" i="28"/>
  <c r="H12" i="28"/>
  <c r="I12" i="28"/>
  <c r="J12" i="28"/>
  <c r="K12" i="28"/>
  <c r="N12" i="28"/>
  <c r="P12" i="28" s="1"/>
  <c r="V12" i="28" s="1"/>
  <c r="O12" i="28"/>
  <c r="A13" i="28"/>
  <c r="B13" i="28"/>
  <c r="N13" i="28" s="1"/>
  <c r="P13" i="28" s="1"/>
  <c r="V13" i="28" s="1"/>
  <c r="C13" i="28"/>
  <c r="D13" i="28"/>
  <c r="O13" i="28" s="1"/>
  <c r="Q13" i="28" s="1"/>
  <c r="E13" i="28"/>
  <c r="F13" i="28"/>
  <c r="G13" i="28"/>
  <c r="H13" i="28"/>
  <c r="I13" i="28"/>
  <c r="J13" i="28"/>
  <c r="K13" i="28"/>
  <c r="L13" i="28"/>
  <c r="M13" i="28"/>
  <c r="A14" i="28"/>
  <c r="B14" i="28"/>
  <c r="C14" i="28"/>
  <c r="D14" i="28"/>
  <c r="E14" i="28"/>
  <c r="F14" i="28"/>
  <c r="G14" i="28"/>
  <c r="H14" i="28"/>
  <c r="I14" i="28"/>
  <c r="J14" i="28"/>
  <c r="K14" i="28"/>
  <c r="L14" i="28"/>
  <c r="R14" i="28" s="1"/>
  <c r="M14" i="28"/>
  <c r="S14" i="28" s="1"/>
  <c r="N14" i="28"/>
  <c r="P14" i="28" s="1"/>
  <c r="V14" i="28" s="1"/>
  <c r="Y14" i="28" s="1"/>
  <c r="O14" i="28"/>
  <c r="Q14" i="28" s="1"/>
  <c r="W14" i="28" s="1"/>
  <c r="A15" i="28"/>
  <c r="B15" i="28"/>
  <c r="N15" i="28" s="1"/>
  <c r="P15" i="28" s="1"/>
  <c r="C15" i="28"/>
  <c r="D15" i="28"/>
  <c r="O15" i="28" s="1"/>
  <c r="Q15" i="28" s="1"/>
  <c r="E15" i="28"/>
  <c r="F15" i="28"/>
  <c r="G15" i="28"/>
  <c r="H15" i="28"/>
  <c r="I15" i="28"/>
  <c r="J15" i="28"/>
  <c r="K15" i="28"/>
  <c r="L15" i="28"/>
  <c r="M15" i="28"/>
  <c r="A16" i="28"/>
  <c r="B16" i="28"/>
  <c r="C16" i="28"/>
  <c r="D16" i="28"/>
  <c r="E16" i="28"/>
  <c r="F16" i="28"/>
  <c r="G16" i="28"/>
  <c r="H16" i="28"/>
  <c r="I16" i="28"/>
  <c r="J16" i="28"/>
  <c r="K16" i="28"/>
  <c r="L16" i="28"/>
  <c r="M16" i="28"/>
  <c r="N16" i="28"/>
  <c r="P16" i="28" s="1"/>
  <c r="V16" i="28" s="1"/>
  <c r="Y16" i="28" s="1"/>
  <c r="O16" i="28"/>
  <c r="Q16" i="28" s="1"/>
  <c r="W16" i="28" s="1"/>
  <c r="A17" i="28"/>
  <c r="B17" i="28"/>
  <c r="N17" i="28" s="1"/>
  <c r="P17" i="28" s="1"/>
  <c r="C17" i="28"/>
  <c r="D17" i="28"/>
  <c r="O17" i="28" s="1"/>
  <c r="Q17" i="28" s="1"/>
  <c r="E17" i="28"/>
  <c r="F17" i="28"/>
  <c r="G17" i="28"/>
  <c r="H17" i="28"/>
  <c r="I17" i="28"/>
  <c r="J17" i="28"/>
  <c r="K17" i="28"/>
  <c r="L17" i="28"/>
  <c r="M17" i="28"/>
  <c r="A18" i="28"/>
  <c r="B18" i="28"/>
  <c r="C18" i="28"/>
  <c r="D18" i="28"/>
  <c r="E18" i="28"/>
  <c r="F18" i="28"/>
  <c r="G18" i="28"/>
  <c r="H18" i="28"/>
  <c r="I18" i="28"/>
  <c r="J18" i="28"/>
  <c r="K18" i="28"/>
  <c r="L18" i="28"/>
  <c r="R18" i="28" s="1"/>
  <c r="M18" i="28"/>
  <c r="S18" i="28" s="1"/>
  <c r="N18" i="28"/>
  <c r="P18" i="28" s="1"/>
  <c r="V18" i="28" s="1"/>
  <c r="Y18" i="28" s="1"/>
  <c r="O18" i="28"/>
  <c r="Q18" i="28" s="1"/>
  <c r="W18" i="28" s="1"/>
  <c r="A19" i="28"/>
  <c r="B19" i="28"/>
  <c r="N19" i="28" s="1"/>
  <c r="P19" i="28" s="1"/>
  <c r="C19" i="28"/>
  <c r="D19" i="28"/>
  <c r="O19" i="28" s="1"/>
  <c r="Q19" i="28" s="1"/>
  <c r="E19" i="28"/>
  <c r="F19" i="28"/>
  <c r="G19" i="28"/>
  <c r="H19" i="28"/>
  <c r="I19" i="28"/>
  <c r="J19" i="28"/>
  <c r="K19" i="28"/>
  <c r="L19" i="28"/>
  <c r="M19" i="28"/>
  <c r="A20" i="28"/>
  <c r="B20" i="28"/>
  <c r="C20" i="28"/>
  <c r="D20" i="28"/>
  <c r="E20" i="28"/>
  <c r="F20" i="28"/>
  <c r="G20" i="28"/>
  <c r="H20" i="28"/>
  <c r="I20" i="28"/>
  <c r="J20" i="28"/>
  <c r="K20" i="28"/>
  <c r="L20" i="28"/>
  <c r="M20" i="28"/>
  <c r="N20" i="28"/>
  <c r="P20" i="28" s="1"/>
  <c r="V20" i="28" s="1"/>
  <c r="O20" i="28"/>
  <c r="Q20" i="28" s="1"/>
  <c r="W20" i="28" s="1"/>
  <c r="A21" i="28"/>
  <c r="B21" i="28"/>
  <c r="N21" i="28" s="1"/>
  <c r="P21" i="28" s="1"/>
  <c r="C21" i="28"/>
  <c r="D21" i="28"/>
  <c r="O21" i="28" s="1"/>
  <c r="Q21" i="28" s="1"/>
  <c r="W21" i="28" s="1"/>
  <c r="E21" i="28"/>
  <c r="F21" i="28"/>
  <c r="G21" i="28"/>
  <c r="H21" i="28"/>
  <c r="I21" i="28"/>
  <c r="J21" i="28"/>
  <c r="K21" i="28"/>
  <c r="L21" i="28"/>
  <c r="M21" i="28"/>
  <c r="A22" i="28"/>
  <c r="B22" i="28"/>
  <c r="C22" i="28"/>
  <c r="D22" i="28"/>
  <c r="E22" i="28"/>
  <c r="F22" i="28"/>
  <c r="G22" i="28"/>
  <c r="H22" i="28"/>
  <c r="I22" i="28"/>
  <c r="J22" i="28"/>
  <c r="K22" i="28"/>
  <c r="L22" i="28"/>
  <c r="R22" i="28" s="1"/>
  <c r="M22" i="28"/>
  <c r="S22" i="28" s="1"/>
  <c r="N22" i="28"/>
  <c r="P22" i="28" s="1"/>
  <c r="V22" i="28" s="1"/>
  <c r="O22" i="28"/>
  <c r="Q22" i="28" s="1"/>
  <c r="W22" i="28" s="1"/>
  <c r="A23" i="28"/>
  <c r="B23" i="28"/>
  <c r="N23" i="28" s="1"/>
  <c r="P23" i="28" s="1"/>
  <c r="C23" i="28"/>
  <c r="D23" i="28"/>
  <c r="O23" i="28" s="1"/>
  <c r="Q23" i="28" s="1"/>
  <c r="W23" i="28" s="1"/>
  <c r="E23" i="28"/>
  <c r="F23" i="28"/>
  <c r="G23" i="28"/>
  <c r="H23" i="28"/>
  <c r="I23" i="28"/>
  <c r="J23" i="28"/>
  <c r="K23" i="28"/>
  <c r="L23" i="28"/>
  <c r="M23" i="28"/>
  <c r="A24" i="28"/>
  <c r="B24" i="28"/>
  <c r="C24" i="28"/>
  <c r="D24" i="28"/>
  <c r="E24" i="28"/>
  <c r="F24" i="28"/>
  <c r="G24" i="28"/>
  <c r="H24" i="28"/>
  <c r="I24" i="28"/>
  <c r="N24" i="28" s="1"/>
  <c r="P24" i="28" s="1"/>
  <c r="V24" i="28" s="1"/>
  <c r="Y24" i="28" s="1"/>
  <c r="J24" i="28"/>
  <c r="K24" i="28"/>
  <c r="L24" i="28"/>
  <c r="M24" i="28"/>
  <c r="S24" i="28" s="1"/>
  <c r="O24" i="28"/>
  <c r="Q24" i="28"/>
  <c r="W24" i="28" s="1"/>
  <c r="A25" i="28"/>
  <c r="B25" i="28"/>
  <c r="N25" i="28" s="1"/>
  <c r="P25" i="28" s="1"/>
  <c r="C25" i="28"/>
  <c r="D25" i="28"/>
  <c r="O25" i="28" s="1"/>
  <c r="Q25" i="28" s="1"/>
  <c r="W25" i="28" s="1"/>
  <c r="E25" i="28"/>
  <c r="F25" i="28"/>
  <c r="G25" i="28"/>
  <c r="H25" i="28"/>
  <c r="I25" i="28"/>
  <c r="J25" i="28"/>
  <c r="K25" i="28"/>
  <c r="L25" i="28"/>
  <c r="M25" i="28"/>
  <c r="A26" i="28"/>
  <c r="B26" i="28"/>
  <c r="C26" i="28"/>
  <c r="D26" i="28"/>
  <c r="E26" i="28"/>
  <c r="F26" i="28"/>
  <c r="G26" i="28"/>
  <c r="H26" i="28"/>
  <c r="I26" i="28"/>
  <c r="N26" i="28" s="1"/>
  <c r="P26" i="28" s="1"/>
  <c r="V26" i="28" s="1"/>
  <c r="Y26" i="28" s="1"/>
  <c r="J26" i="28"/>
  <c r="K26" i="28"/>
  <c r="L26" i="28"/>
  <c r="M26" i="28"/>
  <c r="S26" i="28" s="1"/>
  <c r="O26" i="28"/>
  <c r="Q26" i="28"/>
  <c r="W26" i="28" s="1"/>
  <c r="A27" i="28"/>
  <c r="B27" i="28"/>
  <c r="N27" i="28" s="1"/>
  <c r="P27" i="28" s="1"/>
  <c r="C27" i="28"/>
  <c r="D27" i="28"/>
  <c r="O27" i="28" s="1"/>
  <c r="Q27" i="28" s="1"/>
  <c r="W27" i="28" s="1"/>
  <c r="E27" i="28"/>
  <c r="F27" i="28"/>
  <c r="G27" i="28"/>
  <c r="H27" i="28"/>
  <c r="I27" i="28"/>
  <c r="J27" i="28"/>
  <c r="K27" i="28"/>
  <c r="L27" i="28"/>
  <c r="M27" i="28"/>
  <c r="A28" i="28"/>
  <c r="B28" i="28"/>
  <c r="C28" i="28"/>
  <c r="D28" i="28"/>
  <c r="E28" i="28"/>
  <c r="F28" i="28"/>
  <c r="G28" i="28"/>
  <c r="H28" i="28"/>
  <c r="I28" i="28"/>
  <c r="N28" i="28" s="1"/>
  <c r="P28" i="28" s="1"/>
  <c r="V28" i="28" s="1"/>
  <c r="Y28" i="28" s="1"/>
  <c r="J28" i="28"/>
  <c r="K28" i="28"/>
  <c r="L28" i="28"/>
  <c r="M28" i="28"/>
  <c r="S28" i="28" s="1"/>
  <c r="O28" i="28"/>
  <c r="Q28" i="28"/>
  <c r="W28" i="28" s="1"/>
  <c r="A29" i="28"/>
  <c r="B29" i="28"/>
  <c r="N29" i="28" s="1"/>
  <c r="P29" i="28" s="1"/>
  <c r="C29" i="28"/>
  <c r="D29" i="28"/>
  <c r="O29" i="28" s="1"/>
  <c r="Q29" i="28" s="1"/>
  <c r="W29" i="28" s="1"/>
  <c r="E29" i="28"/>
  <c r="F29" i="28"/>
  <c r="G29" i="28"/>
  <c r="H29" i="28"/>
  <c r="I29" i="28"/>
  <c r="J29" i="28"/>
  <c r="K29" i="28"/>
  <c r="L29" i="28"/>
  <c r="M29" i="28"/>
  <c r="A30" i="28"/>
  <c r="B30" i="28"/>
  <c r="C30" i="28"/>
  <c r="D30" i="28"/>
  <c r="E30" i="28"/>
  <c r="F30" i="28"/>
  <c r="G30" i="28"/>
  <c r="H30" i="28"/>
  <c r="I30" i="28"/>
  <c r="N30" i="28" s="1"/>
  <c r="P30" i="28" s="1"/>
  <c r="V30" i="28" s="1"/>
  <c r="Y30" i="28" s="1"/>
  <c r="J30" i="28"/>
  <c r="K30" i="28"/>
  <c r="L30" i="28"/>
  <c r="M30" i="28"/>
  <c r="S30" i="28" s="1"/>
  <c r="O30" i="28"/>
  <c r="Q30" i="28"/>
  <c r="W30" i="28" s="1"/>
  <c r="A31" i="28"/>
  <c r="B31" i="28"/>
  <c r="N31" i="28" s="1"/>
  <c r="P31" i="28" s="1"/>
  <c r="C31" i="28"/>
  <c r="D31" i="28"/>
  <c r="O31" i="28" s="1"/>
  <c r="Q31" i="28" s="1"/>
  <c r="W31" i="28" s="1"/>
  <c r="E31" i="28"/>
  <c r="F31" i="28"/>
  <c r="G31" i="28"/>
  <c r="H31" i="28"/>
  <c r="I31" i="28"/>
  <c r="J31" i="28"/>
  <c r="K31" i="28"/>
  <c r="L31" i="28"/>
  <c r="M31" i="28"/>
  <c r="A32" i="28"/>
  <c r="B32" i="28"/>
  <c r="C32" i="28"/>
  <c r="D32" i="28"/>
  <c r="E32" i="28"/>
  <c r="F32" i="28"/>
  <c r="G32" i="28"/>
  <c r="H32" i="28"/>
  <c r="I32" i="28"/>
  <c r="N32" i="28" s="1"/>
  <c r="P32" i="28" s="1"/>
  <c r="V32" i="28" s="1"/>
  <c r="Y32" i="28" s="1"/>
  <c r="J32" i="28"/>
  <c r="K32" i="28"/>
  <c r="L32" i="28"/>
  <c r="M32" i="28"/>
  <c r="S32" i="28" s="1"/>
  <c r="O32" i="28"/>
  <c r="Q32" i="28"/>
  <c r="W32" i="28" s="1"/>
  <c r="A33" i="28"/>
  <c r="B33" i="28"/>
  <c r="N33" i="28" s="1"/>
  <c r="P33" i="28" s="1"/>
  <c r="C33" i="28"/>
  <c r="D33" i="28"/>
  <c r="O33" i="28" s="1"/>
  <c r="Q33" i="28" s="1"/>
  <c r="W33" i="28" s="1"/>
  <c r="E33" i="28"/>
  <c r="F33" i="28"/>
  <c r="G33" i="28"/>
  <c r="H33" i="28"/>
  <c r="I33" i="28"/>
  <c r="J33" i="28"/>
  <c r="K33" i="28"/>
  <c r="L33" i="28"/>
  <c r="M33" i="28"/>
  <c r="A34" i="28"/>
  <c r="B34" i="28"/>
  <c r="C34" i="28"/>
  <c r="D34" i="28"/>
  <c r="E34" i="28"/>
  <c r="F34" i="28"/>
  <c r="G34" i="28"/>
  <c r="H34" i="28"/>
  <c r="I34" i="28"/>
  <c r="N34" i="28" s="1"/>
  <c r="P34" i="28" s="1"/>
  <c r="V34" i="28" s="1"/>
  <c r="Y34" i="28" s="1"/>
  <c r="J34" i="28"/>
  <c r="K34" i="28"/>
  <c r="L34" i="28"/>
  <c r="M34" i="28"/>
  <c r="S34" i="28" s="1"/>
  <c r="O34" i="28"/>
  <c r="Q34" i="28"/>
  <c r="W34" i="28" s="1"/>
  <c r="A35" i="28"/>
  <c r="B35" i="28"/>
  <c r="N35" i="28" s="1"/>
  <c r="P35" i="28" s="1"/>
  <c r="C35" i="28"/>
  <c r="D35" i="28"/>
  <c r="O35" i="28" s="1"/>
  <c r="Q35" i="28" s="1"/>
  <c r="W35" i="28" s="1"/>
  <c r="E35" i="28"/>
  <c r="F35" i="28"/>
  <c r="G35" i="28"/>
  <c r="H35" i="28"/>
  <c r="I35" i="28"/>
  <c r="J35" i="28"/>
  <c r="K35" i="28"/>
  <c r="L35" i="28"/>
  <c r="M35" i="28"/>
  <c r="A36" i="28"/>
  <c r="B36" i="28"/>
  <c r="C36" i="28"/>
  <c r="D36" i="28"/>
  <c r="E36" i="28"/>
  <c r="O36" i="28" s="1"/>
  <c r="F36" i="28"/>
  <c r="G36" i="28"/>
  <c r="H36" i="28"/>
  <c r="I36" i="28"/>
  <c r="N36" i="28" s="1"/>
  <c r="P36" i="28" s="1"/>
  <c r="V36" i="28" s="1"/>
  <c r="Y36" i="28" s="1"/>
  <c r="J36" i="28"/>
  <c r="K36" i="28"/>
  <c r="L36" i="28"/>
  <c r="R36" i="28" s="1"/>
  <c r="M36" i="28"/>
  <c r="Q36" i="28"/>
  <c r="W36" i="28" s="1"/>
  <c r="A37" i="28"/>
  <c r="B37" i="28"/>
  <c r="N37" i="28" s="1"/>
  <c r="P37" i="28" s="1"/>
  <c r="C37" i="28"/>
  <c r="D37" i="28"/>
  <c r="E37" i="28"/>
  <c r="F37" i="28"/>
  <c r="G37" i="28"/>
  <c r="H37" i="28"/>
  <c r="I37" i="28"/>
  <c r="J37" i="28"/>
  <c r="K37" i="28"/>
  <c r="L37" i="28"/>
  <c r="M37" i="28"/>
  <c r="A38" i="28"/>
  <c r="B38" i="28"/>
  <c r="C38" i="28"/>
  <c r="D38" i="28"/>
  <c r="E38" i="28"/>
  <c r="O38" i="28" s="1"/>
  <c r="Q38" i="28" s="1"/>
  <c r="W38" i="28" s="1"/>
  <c r="F38" i="28"/>
  <c r="G38" i="28"/>
  <c r="H38" i="28"/>
  <c r="I38" i="28"/>
  <c r="N38" i="28" s="1"/>
  <c r="P38" i="28" s="1"/>
  <c r="V38" i="28" s="1"/>
  <c r="J38" i="28"/>
  <c r="K38" i="28"/>
  <c r="L38" i="28"/>
  <c r="M38" i="28"/>
  <c r="A39" i="28"/>
  <c r="B39" i="28"/>
  <c r="C39" i="28"/>
  <c r="D39" i="28"/>
  <c r="O39" i="28" s="1"/>
  <c r="Q39" i="28" s="1"/>
  <c r="W39" i="28" s="1"/>
  <c r="E39" i="28"/>
  <c r="F39" i="28"/>
  <c r="G39" i="28"/>
  <c r="H39" i="28"/>
  <c r="I39" i="28"/>
  <c r="J39" i="28"/>
  <c r="K39" i="28"/>
  <c r="L39" i="28"/>
  <c r="M39" i="28"/>
  <c r="A40" i="28"/>
  <c r="B40" i="28"/>
  <c r="C40" i="28"/>
  <c r="D40" i="28"/>
  <c r="E40" i="28"/>
  <c r="O40" i="28" s="1"/>
  <c r="Q40" i="28" s="1"/>
  <c r="W40" i="28" s="1"/>
  <c r="F40" i="28"/>
  <c r="G40" i="28"/>
  <c r="H40" i="28"/>
  <c r="I40" i="28"/>
  <c r="N40" i="28" s="1"/>
  <c r="P40" i="28" s="1"/>
  <c r="V40" i="28" s="1"/>
  <c r="Y40" i="28" s="1"/>
  <c r="J40" i="28"/>
  <c r="K40" i="28"/>
  <c r="L40" i="28"/>
  <c r="M40" i="28"/>
  <c r="A41" i="28"/>
  <c r="B41" i="28"/>
  <c r="C41" i="28"/>
  <c r="D41" i="28"/>
  <c r="E41" i="28"/>
  <c r="F41" i="28"/>
  <c r="G41" i="28"/>
  <c r="H41" i="28"/>
  <c r="I41" i="28"/>
  <c r="J41" i="28"/>
  <c r="K41" i="28"/>
  <c r="L41" i="28"/>
  <c r="M41" i="28"/>
  <c r="A42" i="28"/>
  <c r="B42" i="28"/>
  <c r="C42" i="28"/>
  <c r="D42" i="28"/>
  <c r="E42" i="28"/>
  <c r="O42" i="28" s="1"/>
  <c r="Q42" i="28" s="1"/>
  <c r="W42" i="28" s="1"/>
  <c r="F42" i="28"/>
  <c r="G42" i="28"/>
  <c r="N42" i="28" s="1"/>
  <c r="P42" i="28" s="1"/>
  <c r="V42" i="28" s="1"/>
  <c r="Y42" i="28" s="1"/>
  <c r="H42" i="28"/>
  <c r="I42" i="28"/>
  <c r="J42" i="28"/>
  <c r="K42" i="28"/>
  <c r="L42" i="28"/>
  <c r="M42" i="28"/>
  <c r="A43" i="28"/>
  <c r="B43" i="28"/>
  <c r="C43" i="28"/>
  <c r="D43" i="28"/>
  <c r="E43" i="28"/>
  <c r="F43" i="28"/>
  <c r="G43" i="28"/>
  <c r="H43" i="28"/>
  <c r="I43" i="28"/>
  <c r="J43" i="28"/>
  <c r="K43" i="28"/>
  <c r="L43" i="28"/>
  <c r="M43" i="28"/>
  <c r="A44" i="28"/>
  <c r="B44" i="28"/>
  <c r="C44" i="28"/>
  <c r="D44" i="28"/>
  <c r="E44" i="28"/>
  <c r="O44" i="28" s="1"/>
  <c r="Q44" i="28" s="1"/>
  <c r="W44" i="28" s="1"/>
  <c r="F44" i="28"/>
  <c r="G44" i="28"/>
  <c r="N44" i="28" s="1"/>
  <c r="P44" i="28" s="1"/>
  <c r="V44" i="28" s="1"/>
  <c r="H44" i="28"/>
  <c r="I44" i="28"/>
  <c r="J44" i="28"/>
  <c r="K44" i="28"/>
  <c r="L44" i="28"/>
  <c r="M44" i="28"/>
  <c r="A45" i="28"/>
  <c r="B45" i="28"/>
  <c r="C45" i="28"/>
  <c r="D45" i="28"/>
  <c r="E45" i="28"/>
  <c r="F45" i="28"/>
  <c r="G45" i="28"/>
  <c r="H45" i="28"/>
  <c r="I45" i="28"/>
  <c r="J45" i="28"/>
  <c r="K45" i="28"/>
  <c r="L45" i="28"/>
  <c r="M45" i="28"/>
  <c r="A46" i="28"/>
  <c r="B46" i="28"/>
  <c r="C46" i="28"/>
  <c r="D46" i="28"/>
  <c r="E46" i="28"/>
  <c r="F46" i="28"/>
  <c r="G46" i="28"/>
  <c r="N46" i="28" s="1"/>
  <c r="P46" i="28" s="1"/>
  <c r="V46" i="28" s="1"/>
  <c r="H46" i="28"/>
  <c r="I46" i="28"/>
  <c r="J46" i="28"/>
  <c r="K46" i="28"/>
  <c r="L46" i="28"/>
  <c r="M46" i="28"/>
  <c r="O46" i="28"/>
  <c r="Q46" i="28" s="1"/>
  <c r="W46" i="28" s="1"/>
  <c r="A47" i="28"/>
  <c r="B47" i="28"/>
  <c r="C47" i="28"/>
  <c r="D47" i="28"/>
  <c r="E47" i="28"/>
  <c r="F47" i="28"/>
  <c r="G47" i="28"/>
  <c r="H47" i="28"/>
  <c r="I47" i="28"/>
  <c r="J47" i="28"/>
  <c r="K47" i="28"/>
  <c r="L47" i="28"/>
  <c r="M47" i="28"/>
  <c r="A48" i="28"/>
  <c r="B48" i="28"/>
  <c r="C48" i="28"/>
  <c r="D48" i="28"/>
  <c r="E48" i="28"/>
  <c r="F48" i="28"/>
  <c r="G48" i="28"/>
  <c r="N48" i="28" s="1"/>
  <c r="P48" i="28" s="1"/>
  <c r="V48" i="28" s="1"/>
  <c r="Y48" i="28" s="1"/>
  <c r="H48" i="28"/>
  <c r="I48" i="28"/>
  <c r="J48" i="28"/>
  <c r="K48" i="28"/>
  <c r="L48" i="28"/>
  <c r="M48" i="28"/>
  <c r="O48" i="28"/>
  <c r="Q48" i="28" s="1"/>
  <c r="W48" i="28" s="1"/>
  <c r="A49" i="28"/>
  <c r="B49" i="28"/>
  <c r="C49" i="28"/>
  <c r="D49" i="28"/>
  <c r="E49" i="28"/>
  <c r="F49" i="28"/>
  <c r="G49" i="28"/>
  <c r="H49" i="28"/>
  <c r="I49" i="28"/>
  <c r="J49" i="28"/>
  <c r="K49" i="28"/>
  <c r="L49" i="28"/>
  <c r="M49" i="28"/>
  <c r="A50" i="28"/>
  <c r="B50" i="28"/>
  <c r="C50" i="28"/>
  <c r="D50" i="28"/>
  <c r="E50" i="28"/>
  <c r="F50" i="28"/>
  <c r="G50" i="28"/>
  <c r="N50" i="28" s="1"/>
  <c r="P50" i="28" s="1"/>
  <c r="V50" i="28" s="1"/>
  <c r="H50" i="28"/>
  <c r="I50" i="28"/>
  <c r="J50" i="28"/>
  <c r="K50" i="28"/>
  <c r="L50" i="28"/>
  <c r="M50" i="28"/>
  <c r="O50" i="28"/>
  <c r="Q50" i="28" s="1"/>
  <c r="W50" i="28" s="1"/>
  <c r="A51" i="28"/>
  <c r="B51" i="28"/>
  <c r="C51" i="28"/>
  <c r="D51" i="28"/>
  <c r="E51" i="28"/>
  <c r="F51" i="28"/>
  <c r="G51" i="28"/>
  <c r="H51" i="28"/>
  <c r="I51" i="28"/>
  <c r="J51" i="28"/>
  <c r="K51" i="28"/>
  <c r="L51" i="28"/>
  <c r="M51" i="28"/>
  <c r="A52" i="28"/>
  <c r="B52" i="28"/>
  <c r="C52" i="28"/>
  <c r="D52" i="28"/>
  <c r="E52" i="28"/>
  <c r="F52" i="28"/>
  <c r="G52" i="28"/>
  <c r="N52" i="28" s="1"/>
  <c r="P52" i="28" s="1"/>
  <c r="V52" i="28" s="1"/>
  <c r="H52" i="28"/>
  <c r="I52" i="28"/>
  <c r="J52" i="28"/>
  <c r="K52" i="28"/>
  <c r="L52" i="28"/>
  <c r="M52" i="28"/>
  <c r="O52" i="28"/>
  <c r="Q52" i="28" s="1"/>
  <c r="W52" i="28" s="1"/>
  <c r="A53" i="28"/>
  <c r="B53" i="28"/>
  <c r="C53" i="28"/>
  <c r="N53" i="28" s="1"/>
  <c r="P53" i="28" s="1"/>
  <c r="D53" i="28"/>
  <c r="E53" i="28"/>
  <c r="F53" i="28"/>
  <c r="G53" i="28"/>
  <c r="H53" i="28"/>
  <c r="I53" i="28"/>
  <c r="J53" i="28"/>
  <c r="K53" i="28"/>
  <c r="L53" i="28"/>
  <c r="M53" i="28"/>
  <c r="S53" i="28" s="1"/>
  <c r="O53" i="28"/>
  <c r="Q53" i="28" s="1"/>
  <c r="W53" i="28" s="1"/>
  <c r="A54" i="28"/>
  <c r="B54" i="28"/>
  <c r="C54" i="28"/>
  <c r="N54" i="28" s="1"/>
  <c r="P54" i="28" s="1"/>
  <c r="D54" i="28"/>
  <c r="E54" i="28"/>
  <c r="O54" i="28" s="1"/>
  <c r="Q54" i="28" s="1"/>
  <c r="W54" i="28" s="1"/>
  <c r="F54" i="28"/>
  <c r="G54" i="28"/>
  <c r="H54" i="28"/>
  <c r="I54" i="28"/>
  <c r="J54" i="28"/>
  <c r="K54" i="28"/>
  <c r="L54" i="28"/>
  <c r="M54" i="28"/>
  <c r="S54" i="28" s="1"/>
  <c r="A55" i="28"/>
  <c r="B55" i="28"/>
  <c r="C55" i="28"/>
  <c r="N55" i="28" s="1"/>
  <c r="P55" i="28" s="1"/>
  <c r="D55" i="28"/>
  <c r="E55" i="28"/>
  <c r="F55" i="28"/>
  <c r="G55" i="28"/>
  <c r="H55" i="28"/>
  <c r="I55" i="28"/>
  <c r="J55" i="28"/>
  <c r="K55" i="28"/>
  <c r="L55" i="28"/>
  <c r="M55" i="28"/>
  <c r="S55" i="28" s="1"/>
  <c r="O55" i="28"/>
  <c r="Q55" i="28"/>
  <c r="W55" i="28" s="1"/>
  <c r="A56" i="28"/>
  <c r="B56" i="28"/>
  <c r="C56" i="28"/>
  <c r="N56" i="28" s="1"/>
  <c r="P56" i="28" s="1"/>
  <c r="D56" i="28"/>
  <c r="E56" i="28"/>
  <c r="O56" i="28" s="1"/>
  <c r="Q56" i="28" s="1"/>
  <c r="W56" i="28" s="1"/>
  <c r="F56" i="28"/>
  <c r="G56" i="28"/>
  <c r="H56" i="28"/>
  <c r="I56" i="28"/>
  <c r="J56" i="28"/>
  <c r="K56" i="28"/>
  <c r="L56" i="28"/>
  <c r="M56" i="28"/>
  <c r="S56" i="28" s="1"/>
  <c r="A57" i="28"/>
  <c r="B57" i="28"/>
  <c r="N57" i="28" s="1"/>
  <c r="P57" i="28" s="1"/>
  <c r="C57" i="28"/>
  <c r="D57" i="28"/>
  <c r="E57" i="28"/>
  <c r="F57" i="28"/>
  <c r="G57" i="28"/>
  <c r="H57" i="28"/>
  <c r="I57" i="28"/>
  <c r="J57" i="28"/>
  <c r="K57" i="28"/>
  <c r="L57" i="28"/>
  <c r="M57" i="28"/>
  <c r="O57" i="28"/>
  <c r="Q57" i="28"/>
  <c r="W57" i="28" s="1"/>
  <c r="A58" i="28"/>
  <c r="B58" i="28"/>
  <c r="C58" i="28"/>
  <c r="N58" i="28" s="1"/>
  <c r="P58" i="28" s="1"/>
  <c r="D58" i="28"/>
  <c r="E58" i="28"/>
  <c r="F58" i="28"/>
  <c r="G58" i="28"/>
  <c r="H58" i="28"/>
  <c r="I58" i="28"/>
  <c r="J58" i="28"/>
  <c r="K58" i="28"/>
  <c r="L58" i="28"/>
  <c r="M58" i="28"/>
  <c r="A59" i="28"/>
  <c r="B59" i="28"/>
  <c r="N59" i="28" s="1"/>
  <c r="P59" i="28" s="1"/>
  <c r="C59" i="28"/>
  <c r="D59" i="28"/>
  <c r="E59" i="28"/>
  <c r="F59" i="28"/>
  <c r="G59" i="28"/>
  <c r="H59" i="28"/>
  <c r="I59" i="28"/>
  <c r="J59" i="28"/>
  <c r="K59" i="28"/>
  <c r="L59" i="28"/>
  <c r="M59" i="28"/>
  <c r="O59" i="28"/>
  <c r="Q59" i="28" s="1"/>
  <c r="W59" i="28" s="1"/>
  <c r="A60" i="28"/>
  <c r="B60" i="28"/>
  <c r="C60" i="28"/>
  <c r="D60" i="28"/>
  <c r="E60" i="28"/>
  <c r="O60" i="28" s="1"/>
  <c r="Q60" i="28" s="1"/>
  <c r="W60" i="28" s="1"/>
  <c r="F60" i="28"/>
  <c r="G60" i="28"/>
  <c r="H60" i="28"/>
  <c r="I60" i="28"/>
  <c r="J60" i="28"/>
  <c r="K60" i="28"/>
  <c r="L60" i="28"/>
  <c r="M60" i="28"/>
  <c r="S60" i="28" s="1"/>
  <c r="A61" i="28"/>
  <c r="B61" i="28"/>
  <c r="C61" i="28"/>
  <c r="D61" i="28"/>
  <c r="E61" i="28"/>
  <c r="F61" i="28"/>
  <c r="G61" i="28"/>
  <c r="H61" i="28"/>
  <c r="I61" i="28"/>
  <c r="J61" i="28"/>
  <c r="K61" i="28"/>
  <c r="L61" i="28"/>
  <c r="M61" i="28"/>
  <c r="O61" i="28"/>
  <c r="Q61" i="28"/>
  <c r="W61" i="28" s="1"/>
  <c r="A62" i="28"/>
  <c r="B62" i="28"/>
  <c r="C62" i="28"/>
  <c r="D62" i="28"/>
  <c r="E62" i="28"/>
  <c r="O62" i="28" s="1"/>
  <c r="Q62" i="28" s="1"/>
  <c r="W62" i="28" s="1"/>
  <c r="F62" i="28"/>
  <c r="G62" i="28"/>
  <c r="H62" i="28"/>
  <c r="I62" i="28"/>
  <c r="J62" i="28"/>
  <c r="K62" i="28"/>
  <c r="L62" i="28"/>
  <c r="M62" i="28"/>
  <c r="S62" i="28" s="1"/>
  <c r="A63" i="28"/>
  <c r="B63" i="28"/>
  <c r="C63" i="28"/>
  <c r="D63" i="28"/>
  <c r="E63" i="28"/>
  <c r="O63" i="28" s="1"/>
  <c r="Q63" i="28" s="1"/>
  <c r="W63" i="28" s="1"/>
  <c r="F63" i="28"/>
  <c r="G63" i="28"/>
  <c r="H63" i="28"/>
  <c r="I63" i="28"/>
  <c r="J63" i="28"/>
  <c r="K63" i="28"/>
  <c r="L63" i="28"/>
  <c r="M63" i="28"/>
  <c r="A64" i="28"/>
  <c r="B64" i="28"/>
  <c r="C64" i="28"/>
  <c r="D64" i="28"/>
  <c r="E64" i="28"/>
  <c r="O64" i="28" s="1"/>
  <c r="Q64" i="28" s="1"/>
  <c r="W64" i="28" s="1"/>
  <c r="F64" i="28"/>
  <c r="G64" i="28"/>
  <c r="H64" i="28"/>
  <c r="I64" i="28"/>
  <c r="J64" i="28"/>
  <c r="K64" i="28"/>
  <c r="L64" i="28"/>
  <c r="M64" i="28"/>
  <c r="S64" i="28" s="1"/>
  <c r="A65" i="28"/>
  <c r="B65" i="28"/>
  <c r="C65" i="28"/>
  <c r="D65" i="28"/>
  <c r="E65" i="28"/>
  <c r="F65" i="28"/>
  <c r="G65" i="28"/>
  <c r="H65" i="28"/>
  <c r="I65" i="28"/>
  <c r="J65" i="28"/>
  <c r="K65" i="28"/>
  <c r="L65" i="28"/>
  <c r="M65" i="28"/>
  <c r="O65" i="28"/>
  <c r="Q65" i="28"/>
  <c r="W65" i="28" s="1"/>
  <c r="A66" i="28"/>
  <c r="B66" i="28"/>
  <c r="C66" i="28"/>
  <c r="D66" i="28"/>
  <c r="E66" i="28"/>
  <c r="O66" i="28" s="1"/>
  <c r="Q66" i="28" s="1"/>
  <c r="W66" i="28" s="1"/>
  <c r="F66" i="28"/>
  <c r="G66" i="28"/>
  <c r="H66" i="28"/>
  <c r="I66" i="28"/>
  <c r="J66" i="28"/>
  <c r="K66" i="28"/>
  <c r="L66" i="28"/>
  <c r="M66" i="28"/>
  <c r="S66" i="28" s="1"/>
  <c r="A67" i="28"/>
  <c r="B67" i="28"/>
  <c r="C67" i="28"/>
  <c r="D67" i="28"/>
  <c r="E67" i="28"/>
  <c r="O67" i="28" s="1"/>
  <c r="Q67" i="28" s="1"/>
  <c r="W67" i="28" s="1"/>
  <c r="F67" i="28"/>
  <c r="G67" i="28"/>
  <c r="H67" i="28"/>
  <c r="I67" i="28"/>
  <c r="J67" i="28"/>
  <c r="K67" i="28"/>
  <c r="L67" i="28"/>
  <c r="M67" i="28"/>
  <c r="A68" i="28"/>
  <c r="B68" i="28"/>
  <c r="C68" i="28"/>
  <c r="D68" i="28"/>
  <c r="E68" i="28"/>
  <c r="O68" i="28" s="1"/>
  <c r="Q68" i="28" s="1"/>
  <c r="W68" i="28" s="1"/>
  <c r="F68" i="28"/>
  <c r="G68" i="28"/>
  <c r="H68" i="28"/>
  <c r="I68" i="28"/>
  <c r="J68" i="28"/>
  <c r="K68" i="28"/>
  <c r="L68" i="28"/>
  <c r="M68" i="28"/>
  <c r="S68" i="28" s="1"/>
  <c r="A69" i="28"/>
  <c r="B69" i="28"/>
  <c r="C69" i="28"/>
  <c r="D69" i="28"/>
  <c r="E69" i="28"/>
  <c r="F69" i="28"/>
  <c r="G69" i="28"/>
  <c r="H69" i="28"/>
  <c r="I69" i="28"/>
  <c r="J69" i="28"/>
  <c r="K69" i="28"/>
  <c r="L69" i="28"/>
  <c r="M69" i="28"/>
  <c r="O69" i="28"/>
  <c r="Q69" i="28"/>
  <c r="W69" i="28" s="1"/>
  <c r="A70" i="28"/>
  <c r="B70" i="28"/>
  <c r="C70" i="28"/>
  <c r="D70" i="28"/>
  <c r="E70" i="28"/>
  <c r="O70" i="28" s="1"/>
  <c r="Q70" i="28" s="1"/>
  <c r="W70" i="28" s="1"/>
  <c r="F70" i="28"/>
  <c r="G70" i="28"/>
  <c r="H70" i="28"/>
  <c r="I70" i="28"/>
  <c r="J70" i="28"/>
  <c r="K70" i="28"/>
  <c r="L70" i="28"/>
  <c r="M70" i="28"/>
  <c r="S70" i="28" s="1"/>
  <c r="A71" i="28"/>
  <c r="B71" i="28"/>
  <c r="C71" i="28"/>
  <c r="D71" i="28"/>
  <c r="E71" i="28"/>
  <c r="O71" i="28" s="1"/>
  <c r="Q71" i="28" s="1"/>
  <c r="W71" i="28" s="1"/>
  <c r="F71" i="28"/>
  <c r="G71" i="28"/>
  <c r="H71" i="28"/>
  <c r="I71" i="28"/>
  <c r="J71" i="28"/>
  <c r="K71" i="28"/>
  <c r="L71" i="28"/>
  <c r="M71" i="28"/>
  <c r="A72" i="28"/>
  <c r="B72" i="28"/>
  <c r="C72" i="28"/>
  <c r="D72" i="28"/>
  <c r="E72" i="28"/>
  <c r="O72" i="28" s="1"/>
  <c r="Q72" i="28" s="1"/>
  <c r="W72" i="28" s="1"/>
  <c r="F72" i="28"/>
  <c r="G72" i="28"/>
  <c r="H72" i="28"/>
  <c r="I72" i="28"/>
  <c r="J72" i="28"/>
  <c r="K72" i="28"/>
  <c r="L72" i="28"/>
  <c r="M72" i="28"/>
  <c r="S72" i="28" s="1"/>
  <c r="A73" i="28"/>
  <c r="B73" i="28"/>
  <c r="C73" i="28"/>
  <c r="D73" i="28"/>
  <c r="E73" i="28"/>
  <c r="F73" i="28"/>
  <c r="G73" i="28"/>
  <c r="H73" i="28"/>
  <c r="I73" i="28"/>
  <c r="J73" i="28"/>
  <c r="K73" i="28"/>
  <c r="L73" i="28"/>
  <c r="M73" i="28"/>
  <c r="O73" i="28"/>
  <c r="Q73" i="28"/>
  <c r="W73" i="28" s="1"/>
  <c r="A74" i="28"/>
  <c r="B74" i="28"/>
  <c r="C74" i="28"/>
  <c r="D74" i="28"/>
  <c r="E74" i="28"/>
  <c r="F74" i="28"/>
  <c r="G74" i="28"/>
  <c r="H74" i="28"/>
  <c r="I74" i="28"/>
  <c r="J74" i="28"/>
  <c r="K74" i="28"/>
  <c r="L74" i="28"/>
  <c r="M74" i="28"/>
  <c r="O74" i="28"/>
  <c r="Q74" i="28" s="1"/>
  <c r="A75" i="28"/>
  <c r="B75" i="28"/>
  <c r="N75" i="28" s="1"/>
  <c r="P75" i="28" s="1"/>
  <c r="C75" i="28"/>
  <c r="D75" i="28"/>
  <c r="E75" i="28"/>
  <c r="F75" i="28"/>
  <c r="G75" i="28"/>
  <c r="H75" i="28"/>
  <c r="I75" i="28"/>
  <c r="J75" i="28"/>
  <c r="K75" i="28"/>
  <c r="O75" i="28" s="1"/>
  <c r="Q75" i="28" s="1"/>
  <c r="L75" i="28"/>
  <c r="M75" i="28"/>
  <c r="A76" i="28"/>
  <c r="B76" i="28"/>
  <c r="C76" i="28"/>
  <c r="N76" i="28" s="1"/>
  <c r="P76" i="28" s="1"/>
  <c r="V76" i="28" s="1"/>
  <c r="D76" i="28"/>
  <c r="E76" i="28"/>
  <c r="F76" i="28"/>
  <c r="G76" i="28"/>
  <c r="H76" i="28"/>
  <c r="I76" i="28"/>
  <c r="J76" i="28"/>
  <c r="K76" i="28"/>
  <c r="O76" i="28" s="1"/>
  <c r="Q76" i="28" s="1"/>
  <c r="W76" i="28" s="1"/>
  <c r="L76" i="28"/>
  <c r="M76" i="28"/>
  <c r="A77" i="28"/>
  <c r="B77" i="28"/>
  <c r="C77" i="28"/>
  <c r="D77" i="28"/>
  <c r="E77" i="28"/>
  <c r="O77" i="28" s="1"/>
  <c r="Q77" i="28" s="1"/>
  <c r="W77" i="28" s="1"/>
  <c r="F77" i="28"/>
  <c r="G77" i="28"/>
  <c r="H77" i="28"/>
  <c r="I77" i="28"/>
  <c r="J77" i="28"/>
  <c r="K77" i="28"/>
  <c r="L77" i="28"/>
  <c r="M77" i="28"/>
  <c r="S77" i="28" s="1"/>
  <c r="A78" i="28"/>
  <c r="B78" i="28"/>
  <c r="C78" i="28"/>
  <c r="D78" i="28"/>
  <c r="O78" i="28" s="1"/>
  <c r="Q78" i="28" s="1"/>
  <c r="W78" i="28" s="1"/>
  <c r="E78" i="28"/>
  <c r="F78" i="28"/>
  <c r="G78" i="28"/>
  <c r="H78" i="28"/>
  <c r="I78" i="28"/>
  <c r="J78" i="28"/>
  <c r="K78" i="28"/>
  <c r="L78" i="28"/>
  <c r="M78" i="28"/>
  <c r="N78" i="28"/>
  <c r="A79" i="28"/>
  <c r="B79" i="28"/>
  <c r="N79" i="28" s="1"/>
  <c r="P79" i="28" s="1"/>
  <c r="C79" i="28"/>
  <c r="D79" i="28"/>
  <c r="O79" i="28" s="1"/>
  <c r="Q79" i="28" s="1"/>
  <c r="W79" i="28" s="1"/>
  <c r="E79" i="28"/>
  <c r="F79" i="28"/>
  <c r="G79" i="28"/>
  <c r="H79" i="28"/>
  <c r="I79" i="28"/>
  <c r="J79" i="28"/>
  <c r="K79" i="28"/>
  <c r="L79" i="28"/>
  <c r="M79" i="28"/>
  <c r="S79" i="28" s="1"/>
  <c r="A80" i="28"/>
  <c r="B80" i="28"/>
  <c r="C80" i="28"/>
  <c r="D80" i="28"/>
  <c r="E80" i="28"/>
  <c r="O80" i="28" s="1"/>
  <c r="F80" i="28"/>
  <c r="G80" i="28"/>
  <c r="N80" i="28" s="1"/>
  <c r="P80" i="28" s="1"/>
  <c r="V80" i="28" s="1"/>
  <c r="H80" i="28"/>
  <c r="I80" i="28"/>
  <c r="J80" i="28"/>
  <c r="K80" i="28"/>
  <c r="L80" i="28"/>
  <c r="M80" i="28"/>
  <c r="A81" i="28"/>
  <c r="B81" i="28"/>
  <c r="N81" i="28" s="1"/>
  <c r="P81" i="28" s="1"/>
  <c r="C81" i="28"/>
  <c r="D81" i="28"/>
  <c r="E81" i="28"/>
  <c r="F81" i="28"/>
  <c r="G81" i="28"/>
  <c r="H81" i="28"/>
  <c r="I81" i="28"/>
  <c r="J81" i="28"/>
  <c r="K81" i="28"/>
  <c r="L81" i="28"/>
  <c r="M81" i="28"/>
  <c r="A82" i="28"/>
  <c r="B82" i="28"/>
  <c r="C82" i="28"/>
  <c r="D82" i="28"/>
  <c r="E82" i="28"/>
  <c r="O82" i="28" s="1"/>
  <c r="Q82" i="28" s="1"/>
  <c r="W82" i="28" s="1"/>
  <c r="F82" i="28"/>
  <c r="G82" i="28"/>
  <c r="N82" i="28" s="1"/>
  <c r="P82" i="28" s="1"/>
  <c r="V82" i="28" s="1"/>
  <c r="H82" i="28"/>
  <c r="I82" i="28"/>
  <c r="J82" i="28"/>
  <c r="K82" i="28"/>
  <c r="L82" i="28"/>
  <c r="M82" i="28"/>
  <c r="A83" i="28"/>
  <c r="B83" i="28"/>
  <c r="C83" i="28"/>
  <c r="D83" i="28"/>
  <c r="E83" i="28"/>
  <c r="F83" i="28"/>
  <c r="G83" i="28"/>
  <c r="H83" i="28"/>
  <c r="I83" i="28"/>
  <c r="J83" i="28"/>
  <c r="K83" i="28"/>
  <c r="L83" i="28"/>
  <c r="M83" i="28"/>
  <c r="A84" i="28"/>
  <c r="B84" i="28"/>
  <c r="C84" i="28"/>
  <c r="D84" i="28"/>
  <c r="E84" i="28"/>
  <c r="F84" i="28"/>
  <c r="G84" i="28"/>
  <c r="H84" i="28"/>
  <c r="I84" i="28"/>
  <c r="J84" i="28"/>
  <c r="K84" i="28"/>
  <c r="L84" i="28"/>
  <c r="M84" i="28"/>
  <c r="O84" i="28"/>
  <c r="Q84" i="28"/>
  <c r="W84" i="28"/>
  <c r="A85" i="28"/>
  <c r="B85" i="28"/>
  <c r="C85" i="28"/>
  <c r="D85" i="28"/>
  <c r="E85" i="28"/>
  <c r="F85" i="28"/>
  <c r="G85" i="28"/>
  <c r="H85" i="28"/>
  <c r="I85" i="28"/>
  <c r="J85" i="28"/>
  <c r="K85" i="28"/>
  <c r="L85" i="28"/>
  <c r="M85" i="28"/>
  <c r="A86" i="28"/>
  <c r="B86" i="28"/>
  <c r="C86" i="28"/>
  <c r="D86" i="28"/>
  <c r="E86" i="28"/>
  <c r="O86" i="28" s="1"/>
  <c r="Q86" i="28" s="1"/>
  <c r="W86" i="28" s="1"/>
  <c r="F86" i="28"/>
  <c r="G86" i="28"/>
  <c r="N86" i="28" s="1"/>
  <c r="P86" i="28" s="1"/>
  <c r="V86" i="28" s="1"/>
  <c r="H86" i="28"/>
  <c r="I86" i="28"/>
  <c r="J86" i="28"/>
  <c r="K86" i="28"/>
  <c r="L86" i="28"/>
  <c r="M86" i="28"/>
  <c r="A87" i="28"/>
  <c r="B87" i="28"/>
  <c r="C87" i="28"/>
  <c r="D87" i="28"/>
  <c r="E87" i="28"/>
  <c r="F87" i="28"/>
  <c r="G87" i="28"/>
  <c r="H87" i="28"/>
  <c r="I87" i="28"/>
  <c r="J87" i="28"/>
  <c r="K87" i="28"/>
  <c r="L87" i="28"/>
  <c r="M87" i="28"/>
  <c r="A88" i="28"/>
  <c r="B88" i="28"/>
  <c r="C88" i="28"/>
  <c r="D88" i="28"/>
  <c r="E88" i="28"/>
  <c r="F88" i="28"/>
  <c r="G88" i="28"/>
  <c r="H88" i="28"/>
  <c r="I88" i="28"/>
  <c r="J88" i="28"/>
  <c r="K88" i="28"/>
  <c r="L88" i="28"/>
  <c r="M88" i="28"/>
  <c r="O88" i="28"/>
  <c r="Q88" i="28"/>
  <c r="W88" i="28"/>
  <c r="A89" i="28"/>
  <c r="B89" i="28"/>
  <c r="C89" i="28"/>
  <c r="D89" i="28"/>
  <c r="E89" i="28"/>
  <c r="F89" i="28"/>
  <c r="G89" i="28"/>
  <c r="H89" i="28"/>
  <c r="I89" i="28"/>
  <c r="J89" i="28"/>
  <c r="K89" i="28"/>
  <c r="L89" i="28"/>
  <c r="M89" i="28"/>
  <c r="A90" i="28"/>
  <c r="B90" i="28"/>
  <c r="C90" i="28"/>
  <c r="D90" i="28"/>
  <c r="E90" i="28"/>
  <c r="O90" i="28" s="1"/>
  <c r="Q90" i="28" s="1"/>
  <c r="W90" i="28" s="1"/>
  <c r="F90" i="28"/>
  <c r="G90" i="28"/>
  <c r="N90" i="28" s="1"/>
  <c r="P90" i="28" s="1"/>
  <c r="V90" i="28" s="1"/>
  <c r="Y90" i="28" s="1"/>
  <c r="H90" i="28"/>
  <c r="I90" i="28"/>
  <c r="J90" i="28"/>
  <c r="K90" i="28"/>
  <c r="L90" i="28"/>
  <c r="M90" i="28"/>
  <c r="A91" i="28"/>
  <c r="B91" i="28"/>
  <c r="C91" i="28"/>
  <c r="D91" i="28"/>
  <c r="E91" i="28"/>
  <c r="F91" i="28"/>
  <c r="G91" i="28"/>
  <c r="H91" i="28"/>
  <c r="I91" i="28"/>
  <c r="J91" i="28"/>
  <c r="K91" i="28"/>
  <c r="L91" i="28"/>
  <c r="M91" i="28"/>
  <c r="A92" i="28"/>
  <c r="B92" i="28"/>
  <c r="C92" i="28"/>
  <c r="D92" i="28"/>
  <c r="E92" i="28"/>
  <c r="F92" i="28"/>
  <c r="G92" i="28"/>
  <c r="N92" i="28" s="1"/>
  <c r="P92" i="28" s="1"/>
  <c r="V92" i="28" s="1"/>
  <c r="Y92" i="28" s="1"/>
  <c r="H92" i="28"/>
  <c r="I92" i="28"/>
  <c r="J92" i="28"/>
  <c r="K92" i="28"/>
  <c r="L92" i="28"/>
  <c r="M92" i="28"/>
  <c r="O92" i="28"/>
  <c r="Q92" i="28"/>
  <c r="W92" i="28"/>
  <c r="A93" i="28"/>
  <c r="B93" i="28"/>
  <c r="C93" i="28"/>
  <c r="D93" i="28"/>
  <c r="E93" i="28"/>
  <c r="F93" i="28"/>
  <c r="G93" i="28"/>
  <c r="H93" i="28"/>
  <c r="I93" i="28"/>
  <c r="J93" i="28"/>
  <c r="K93" i="28"/>
  <c r="L93" i="28"/>
  <c r="M93" i="28"/>
  <c r="A94" i="28"/>
  <c r="B94" i="28"/>
  <c r="C94" i="28"/>
  <c r="D94" i="28"/>
  <c r="E94" i="28"/>
  <c r="F94" i="28"/>
  <c r="G94" i="28"/>
  <c r="N94" i="28" s="1"/>
  <c r="P94" i="28" s="1"/>
  <c r="V94" i="28" s="1"/>
  <c r="Y94" i="28" s="1"/>
  <c r="H94" i="28"/>
  <c r="I94" i="28"/>
  <c r="J94" i="28"/>
  <c r="K94" i="28"/>
  <c r="L94" i="28"/>
  <c r="M94" i="28"/>
  <c r="O94" i="28"/>
  <c r="Q94" i="28"/>
  <c r="W94" i="28"/>
  <c r="A95" i="28"/>
  <c r="B95" i="28"/>
  <c r="C95" i="28"/>
  <c r="D95" i="28"/>
  <c r="E95" i="28"/>
  <c r="F95" i="28"/>
  <c r="G95" i="28"/>
  <c r="H95" i="28"/>
  <c r="I95" i="28"/>
  <c r="J95" i="28"/>
  <c r="K95" i="28"/>
  <c r="L95" i="28"/>
  <c r="M95" i="28"/>
  <c r="A96" i="28"/>
  <c r="B96" i="28"/>
  <c r="C96" i="28"/>
  <c r="D96" i="28"/>
  <c r="E96" i="28"/>
  <c r="F96" i="28"/>
  <c r="G96" i="28"/>
  <c r="N96" i="28" s="1"/>
  <c r="P96" i="28" s="1"/>
  <c r="V96" i="28" s="1"/>
  <c r="Y96" i="28" s="1"/>
  <c r="H96" i="28"/>
  <c r="I96" i="28"/>
  <c r="J96" i="28"/>
  <c r="K96" i="28"/>
  <c r="L96" i="28"/>
  <c r="M96" i="28"/>
  <c r="O96" i="28"/>
  <c r="Q96" i="28" s="1"/>
  <c r="W96" i="28" s="1"/>
  <c r="A97" i="28"/>
  <c r="B97" i="28"/>
  <c r="C97" i="28"/>
  <c r="D97" i="28"/>
  <c r="E97" i="28"/>
  <c r="F97" i="28"/>
  <c r="G97" i="28"/>
  <c r="H97" i="28"/>
  <c r="I97" i="28"/>
  <c r="J97" i="28"/>
  <c r="K97" i="28"/>
  <c r="L97" i="28"/>
  <c r="M97" i="28"/>
  <c r="A98" i="28"/>
  <c r="B98" i="28"/>
  <c r="C98" i="28"/>
  <c r="D98" i="28"/>
  <c r="E98" i="28"/>
  <c r="F98" i="28"/>
  <c r="G98" i="28"/>
  <c r="N98" i="28" s="1"/>
  <c r="P98" i="28" s="1"/>
  <c r="V98" i="28" s="1"/>
  <c r="Y98" i="28" s="1"/>
  <c r="H98" i="28"/>
  <c r="I98" i="28"/>
  <c r="J98" i="28"/>
  <c r="K98" i="28"/>
  <c r="L98" i="28"/>
  <c r="M98" i="28"/>
  <c r="O98" i="28"/>
  <c r="Q98" i="28" s="1"/>
  <c r="W98" i="28" s="1"/>
  <c r="A99" i="28"/>
  <c r="B99" i="28"/>
  <c r="C99" i="28"/>
  <c r="D99" i="28"/>
  <c r="E99" i="28"/>
  <c r="F99" i="28"/>
  <c r="G99" i="28"/>
  <c r="H99" i="28"/>
  <c r="I99" i="28"/>
  <c r="J99" i="28"/>
  <c r="K99" i="28"/>
  <c r="L99" i="28"/>
  <c r="M99" i="28"/>
  <c r="A100" i="28"/>
  <c r="B100" i="28"/>
  <c r="C100" i="28"/>
  <c r="D100" i="28"/>
  <c r="E100" i="28"/>
  <c r="F100" i="28"/>
  <c r="G100" i="28"/>
  <c r="N100" i="28" s="1"/>
  <c r="P100" i="28" s="1"/>
  <c r="V100" i="28" s="1"/>
  <c r="Y100" i="28" s="1"/>
  <c r="H100" i="28"/>
  <c r="I100" i="28"/>
  <c r="J100" i="28"/>
  <c r="K100" i="28"/>
  <c r="L100" i="28"/>
  <c r="M100" i="28"/>
  <c r="O100" i="28"/>
  <c r="Q100" i="28" s="1"/>
  <c r="W100" i="28" s="1"/>
  <c r="A101" i="28"/>
  <c r="B101" i="28"/>
  <c r="C101" i="28"/>
  <c r="D101" i="28"/>
  <c r="E101" i="28"/>
  <c r="F101" i="28"/>
  <c r="G101" i="28"/>
  <c r="H101" i="28"/>
  <c r="I101" i="28"/>
  <c r="J101" i="28"/>
  <c r="K101" i="28"/>
  <c r="L101" i="28"/>
  <c r="M101" i="28"/>
  <c r="A102" i="28"/>
  <c r="B102" i="28"/>
  <c r="C102" i="28"/>
  <c r="D102" i="28"/>
  <c r="E102" i="28"/>
  <c r="F102" i="28"/>
  <c r="G102" i="28"/>
  <c r="N102" i="28" s="1"/>
  <c r="P102" i="28" s="1"/>
  <c r="V102" i="28" s="1"/>
  <c r="Y102" i="28" s="1"/>
  <c r="H102" i="28"/>
  <c r="I102" i="28"/>
  <c r="I111" i="28" s="1"/>
  <c r="J102" i="28"/>
  <c r="K102" i="28"/>
  <c r="L102" i="28"/>
  <c r="M102" i="28"/>
  <c r="O102" i="28"/>
  <c r="Q102" i="28" s="1"/>
  <c r="W102" i="28" s="1"/>
  <c r="A103" i="28"/>
  <c r="B103" i="28"/>
  <c r="C103" i="28"/>
  <c r="C111" i="28" s="1"/>
  <c r="D103" i="28"/>
  <c r="E103" i="28"/>
  <c r="F103" i="28"/>
  <c r="G103" i="28"/>
  <c r="H103" i="28"/>
  <c r="I103" i="28"/>
  <c r="J103" i="28"/>
  <c r="K103" i="28"/>
  <c r="K111" i="28" s="1"/>
  <c r="L103" i="28"/>
  <c r="M103" i="28"/>
  <c r="A104" i="28"/>
  <c r="B104" i="28"/>
  <c r="C104" i="28"/>
  <c r="D104" i="28"/>
  <c r="O104" i="28" s="1"/>
  <c r="Q104" i="28" s="1"/>
  <c r="W104" i="28" s="1"/>
  <c r="E104" i="28"/>
  <c r="F104" i="28"/>
  <c r="G104" i="28"/>
  <c r="H104" i="28"/>
  <c r="I104" i="28"/>
  <c r="N104" i="28" s="1"/>
  <c r="P104" i="28" s="1"/>
  <c r="V104" i="28" s="1"/>
  <c r="Y104" i="28" s="1"/>
  <c r="J104" i="28"/>
  <c r="K104" i="28"/>
  <c r="L104" i="28"/>
  <c r="M104" i="28"/>
  <c r="A105" i="28"/>
  <c r="B105" i="28"/>
  <c r="C105" i="28"/>
  <c r="D105" i="28"/>
  <c r="D111" i="28" s="1"/>
  <c r="E105" i="28"/>
  <c r="F105" i="28"/>
  <c r="G105" i="28"/>
  <c r="H105" i="28"/>
  <c r="I105" i="28"/>
  <c r="J105" i="28"/>
  <c r="K105" i="28"/>
  <c r="L105" i="28"/>
  <c r="M105" i="28"/>
  <c r="A106" i="28"/>
  <c r="B106" i="28"/>
  <c r="C106" i="28"/>
  <c r="D106" i="28"/>
  <c r="O106" i="28" s="1"/>
  <c r="Q106" i="28" s="1"/>
  <c r="W106" i="28" s="1"/>
  <c r="E106" i="28"/>
  <c r="F106" i="28"/>
  <c r="G106" i="28"/>
  <c r="H106" i="28"/>
  <c r="I106" i="28"/>
  <c r="N106" i="28" s="1"/>
  <c r="P106" i="28" s="1"/>
  <c r="V106" i="28" s="1"/>
  <c r="J106" i="28"/>
  <c r="K106" i="28"/>
  <c r="L106" i="28"/>
  <c r="M106" i="28"/>
  <c r="A107" i="28"/>
  <c r="B107" i="28"/>
  <c r="C107" i="28"/>
  <c r="D107" i="28"/>
  <c r="E107" i="28"/>
  <c r="F107" i="28"/>
  <c r="G107" i="28"/>
  <c r="H107" i="28"/>
  <c r="I107" i="28"/>
  <c r="J107" i="28"/>
  <c r="K107" i="28"/>
  <c r="L107" i="28"/>
  <c r="M107" i="28"/>
  <c r="A108" i="28"/>
  <c r="B108" i="28"/>
  <c r="C108" i="28"/>
  <c r="D108" i="28"/>
  <c r="O108" i="28" s="1"/>
  <c r="Q108" i="28" s="1"/>
  <c r="W108" i="28" s="1"/>
  <c r="E108" i="28"/>
  <c r="F108" i="28"/>
  <c r="G108" i="28"/>
  <c r="H108" i="28"/>
  <c r="I108" i="28"/>
  <c r="N108" i="28" s="1"/>
  <c r="P108" i="28" s="1"/>
  <c r="V108" i="28" s="1"/>
  <c r="Y108" i="28" s="1"/>
  <c r="J108" i="28"/>
  <c r="K108" i="28"/>
  <c r="L108" i="28"/>
  <c r="M108" i="28"/>
  <c r="A109" i="28"/>
  <c r="B109" i="28"/>
  <c r="C109" i="28"/>
  <c r="D109" i="28"/>
  <c r="E109" i="28"/>
  <c r="F109" i="28"/>
  <c r="G109" i="28"/>
  <c r="H109" i="28"/>
  <c r="I109" i="28"/>
  <c r="J109" i="28"/>
  <c r="K109" i="28"/>
  <c r="L109" i="28"/>
  <c r="M109" i="28"/>
  <c r="A110" i="28"/>
  <c r="B110" i="28"/>
  <c r="N110" i="28" s="1"/>
  <c r="P110" i="28" s="1"/>
  <c r="V110" i="28" s="1"/>
  <c r="Y110" i="28" s="1"/>
  <c r="C110" i="28"/>
  <c r="D110" i="28"/>
  <c r="O110" i="28" s="1"/>
  <c r="Q110" i="28" s="1"/>
  <c r="W110" i="28" s="1"/>
  <c r="E110" i="28"/>
  <c r="F110" i="28"/>
  <c r="G110" i="28"/>
  <c r="H110" i="28"/>
  <c r="I110" i="28"/>
  <c r="J110" i="28"/>
  <c r="K110" i="28"/>
  <c r="L110" i="28"/>
  <c r="M110" i="28"/>
  <c r="S110" i="28" s="1"/>
  <c r="B111" i="28"/>
  <c r="F111" i="28"/>
  <c r="G111" i="28"/>
  <c r="H111" i="28"/>
  <c r="J111" i="28"/>
  <c r="B8" i="27"/>
  <c r="C8" i="27"/>
  <c r="O12" i="27" s="1"/>
  <c r="Q12" i="27" s="1"/>
  <c r="W12" i="27" s="1"/>
  <c r="D8" i="27"/>
  <c r="L12" i="27" s="1"/>
  <c r="E8" i="27"/>
  <c r="F8" i="27"/>
  <c r="G8" i="27"/>
  <c r="L14" i="27" s="1"/>
  <c r="H8" i="27"/>
  <c r="I8" i="27"/>
  <c r="J8" i="27"/>
  <c r="K8" i="27"/>
  <c r="A11" i="27"/>
  <c r="B11" i="27"/>
  <c r="C11" i="27"/>
  <c r="D11" i="27"/>
  <c r="E11" i="27"/>
  <c r="F11" i="27"/>
  <c r="G11" i="27"/>
  <c r="H11" i="27"/>
  <c r="I11" i="27"/>
  <c r="J11" i="27"/>
  <c r="K11" i="27"/>
  <c r="L11" i="27"/>
  <c r="N11" i="27"/>
  <c r="P11" i="27" s="1"/>
  <c r="V11" i="27" s="1"/>
  <c r="A12" i="27"/>
  <c r="B12" i="27"/>
  <c r="N12" i="27" s="1"/>
  <c r="P12" i="27" s="1"/>
  <c r="V12" i="27" s="1"/>
  <c r="Y12" i="27" s="1"/>
  <c r="C12" i="27"/>
  <c r="D12" i="27"/>
  <c r="E12" i="27"/>
  <c r="F12" i="27"/>
  <c r="G12" i="27"/>
  <c r="H12" i="27"/>
  <c r="I12" i="27"/>
  <c r="J12" i="27"/>
  <c r="K12" i="27"/>
  <c r="M12" i="27"/>
  <c r="S12" i="27" s="1"/>
  <c r="A13" i="27"/>
  <c r="B13" i="27"/>
  <c r="C13" i="27"/>
  <c r="D13" i="27"/>
  <c r="E13" i="27"/>
  <c r="F13" i="27"/>
  <c r="G13" i="27"/>
  <c r="H13" i="27"/>
  <c r="I13" i="27"/>
  <c r="J13" i="27"/>
  <c r="K13" i="27"/>
  <c r="L13" i="27"/>
  <c r="R13" i="27" s="1"/>
  <c r="M13" i="27"/>
  <c r="N13" i="27"/>
  <c r="P13" i="27" s="1"/>
  <c r="V13" i="27" s="1"/>
  <c r="A14" i="27"/>
  <c r="B14" i="27"/>
  <c r="N14" i="27" s="1"/>
  <c r="C14" i="27"/>
  <c r="D14" i="27"/>
  <c r="E14" i="27"/>
  <c r="F14" i="27"/>
  <c r="G14" i="27"/>
  <c r="H14" i="27"/>
  <c r="I14" i="27"/>
  <c r="J14" i="27"/>
  <c r="K14" i="27"/>
  <c r="M14" i="27"/>
  <c r="A15" i="27"/>
  <c r="B15" i="27"/>
  <c r="C15" i="27"/>
  <c r="D15" i="27"/>
  <c r="E15" i="27"/>
  <c r="F15" i="27"/>
  <c r="G15" i="27"/>
  <c r="H15" i="27"/>
  <c r="I15" i="27"/>
  <c r="J15" i="27"/>
  <c r="K15" i="27"/>
  <c r="L15" i="27"/>
  <c r="R15" i="27" s="1"/>
  <c r="M15" i="27"/>
  <c r="N15" i="27"/>
  <c r="P15" i="27" s="1"/>
  <c r="V15" i="27" s="1"/>
  <c r="A16" i="27"/>
  <c r="B16" i="27"/>
  <c r="N16" i="27" s="1"/>
  <c r="P16" i="27" s="1"/>
  <c r="C16" i="27"/>
  <c r="D16" i="27"/>
  <c r="E16" i="27"/>
  <c r="F16" i="27"/>
  <c r="G16" i="27"/>
  <c r="H16" i="27"/>
  <c r="I16" i="27"/>
  <c r="J16" i="27"/>
  <c r="K16" i="27"/>
  <c r="L16" i="27"/>
  <c r="M16" i="27"/>
  <c r="A17" i="27"/>
  <c r="B17" i="27"/>
  <c r="C17" i="27"/>
  <c r="D17" i="27"/>
  <c r="E17" i="27"/>
  <c r="F17" i="27"/>
  <c r="G17" i="27"/>
  <c r="H17" i="27"/>
  <c r="I17" i="27"/>
  <c r="N17" i="27" s="1"/>
  <c r="P17" i="27" s="1"/>
  <c r="V17" i="27" s="1"/>
  <c r="J17" i="27"/>
  <c r="K17" i="27"/>
  <c r="L17" i="27"/>
  <c r="M17" i="27"/>
  <c r="A18" i="27"/>
  <c r="B18" i="27"/>
  <c r="N18" i="27" s="1"/>
  <c r="P18" i="27" s="1"/>
  <c r="C18" i="27"/>
  <c r="D18" i="27"/>
  <c r="E18" i="27"/>
  <c r="F18" i="27"/>
  <c r="G18" i="27"/>
  <c r="H18" i="27"/>
  <c r="I18" i="27"/>
  <c r="J18" i="27"/>
  <c r="K18" i="27"/>
  <c r="L18" i="27"/>
  <c r="M18" i="27"/>
  <c r="A19" i="27"/>
  <c r="B19" i="27"/>
  <c r="C19" i="27"/>
  <c r="D19" i="27"/>
  <c r="E19" i="27"/>
  <c r="F19" i="27"/>
  <c r="G19" i="27"/>
  <c r="H19" i="27"/>
  <c r="I19" i="27"/>
  <c r="N19" i="27" s="1"/>
  <c r="P19" i="27" s="1"/>
  <c r="V19" i="27" s="1"/>
  <c r="J19" i="27"/>
  <c r="K19" i="27"/>
  <c r="L19" i="27"/>
  <c r="R19" i="27" s="1"/>
  <c r="M19" i="27"/>
  <c r="A20" i="27"/>
  <c r="B20" i="27"/>
  <c r="N20" i="27" s="1"/>
  <c r="P20" i="27" s="1"/>
  <c r="C20" i="27"/>
  <c r="D20" i="27"/>
  <c r="E20" i="27"/>
  <c r="F20" i="27"/>
  <c r="G20" i="27"/>
  <c r="H20" i="27"/>
  <c r="I20" i="27"/>
  <c r="J20" i="27"/>
  <c r="K20" i="27"/>
  <c r="L20" i="27"/>
  <c r="M20" i="27"/>
  <c r="A21" i="27"/>
  <c r="B21" i="27"/>
  <c r="C21" i="27"/>
  <c r="D21" i="27"/>
  <c r="E21" i="27"/>
  <c r="F21" i="27"/>
  <c r="G21" i="27"/>
  <c r="H21" i="27"/>
  <c r="I21" i="27"/>
  <c r="N21" i="27" s="1"/>
  <c r="P21" i="27" s="1"/>
  <c r="V21" i="27" s="1"/>
  <c r="J21" i="27"/>
  <c r="K21" i="27"/>
  <c r="L21" i="27"/>
  <c r="M21" i="27"/>
  <c r="A22" i="27"/>
  <c r="B22" i="27"/>
  <c r="N22" i="27" s="1"/>
  <c r="P22" i="27" s="1"/>
  <c r="C22" i="27"/>
  <c r="D22" i="27"/>
  <c r="E22" i="27"/>
  <c r="F22" i="27"/>
  <c r="G22" i="27"/>
  <c r="H22" i="27"/>
  <c r="I22" i="27"/>
  <c r="J22" i="27"/>
  <c r="K22" i="27"/>
  <c r="L22" i="27"/>
  <c r="M22" i="27"/>
  <c r="A23" i="27"/>
  <c r="B23" i="27"/>
  <c r="C23" i="27"/>
  <c r="D23" i="27"/>
  <c r="E23" i="27"/>
  <c r="F23" i="27"/>
  <c r="G23" i="27"/>
  <c r="H23" i="27"/>
  <c r="I23" i="27"/>
  <c r="N23" i="27" s="1"/>
  <c r="P23" i="27" s="1"/>
  <c r="V23" i="27" s="1"/>
  <c r="J23" i="27"/>
  <c r="K23" i="27"/>
  <c r="L23" i="27"/>
  <c r="M23" i="27"/>
  <c r="A24" i="27"/>
  <c r="B24" i="27"/>
  <c r="N24" i="27" s="1"/>
  <c r="P24" i="27" s="1"/>
  <c r="C24" i="27"/>
  <c r="D24" i="27"/>
  <c r="O24" i="27" s="1"/>
  <c r="Q24" i="27" s="1"/>
  <c r="W24" i="27" s="1"/>
  <c r="E24" i="27"/>
  <c r="F24" i="27"/>
  <c r="G24" i="27"/>
  <c r="H24" i="27"/>
  <c r="I24" i="27"/>
  <c r="J24" i="27"/>
  <c r="K24" i="27"/>
  <c r="L24" i="27"/>
  <c r="M24" i="27"/>
  <c r="A25" i="27"/>
  <c r="B25" i="27"/>
  <c r="C25" i="27"/>
  <c r="D25" i="27"/>
  <c r="O25" i="27" s="1"/>
  <c r="Q25" i="27" s="1"/>
  <c r="W25" i="27" s="1"/>
  <c r="E25" i="27"/>
  <c r="F25" i="27"/>
  <c r="G25" i="27"/>
  <c r="H25" i="27"/>
  <c r="I25" i="27"/>
  <c r="N25" i="27" s="1"/>
  <c r="P25" i="27" s="1"/>
  <c r="V25" i="27" s="1"/>
  <c r="Y25" i="27" s="1"/>
  <c r="J25" i="27"/>
  <c r="K25" i="27"/>
  <c r="L25" i="27"/>
  <c r="M25" i="27"/>
  <c r="S25" i="27" s="1"/>
  <c r="A26" i="27"/>
  <c r="B26" i="27"/>
  <c r="N26" i="27" s="1"/>
  <c r="P26" i="27" s="1"/>
  <c r="C26" i="27"/>
  <c r="D26" i="27"/>
  <c r="O26" i="27" s="1"/>
  <c r="Q26" i="27" s="1"/>
  <c r="W26" i="27" s="1"/>
  <c r="E26" i="27"/>
  <c r="F26" i="27"/>
  <c r="G26" i="27"/>
  <c r="H26" i="27"/>
  <c r="I26" i="27"/>
  <c r="J26" i="27"/>
  <c r="K26" i="27"/>
  <c r="L26" i="27"/>
  <c r="M26" i="27"/>
  <c r="A27" i="27"/>
  <c r="B27" i="27"/>
  <c r="C27" i="27"/>
  <c r="D27" i="27"/>
  <c r="O27" i="27" s="1"/>
  <c r="Q27" i="27" s="1"/>
  <c r="W27" i="27" s="1"/>
  <c r="E27" i="27"/>
  <c r="F27" i="27"/>
  <c r="G27" i="27"/>
  <c r="H27" i="27"/>
  <c r="I27" i="27"/>
  <c r="N27" i="27" s="1"/>
  <c r="P27" i="27" s="1"/>
  <c r="V27" i="27" s="1"/>
  <c r="J27" i="27"/>
  <c r="K27" i="27"/>
  <c r="L27" i="27"/>
  <c r="R27" i="27" s="1"/>
  <c r="M27" i="27"/>
  <c r="S27" i="27" s="1"/>
  <c r="A28" i="27"/>
  <c r="B28" i="27"/>
  <c r="N28" i="27" s="1"/>
  <c r="P28" i="27" s="1"/>
  <c r="C28" i="27"/>
  <c r="D28" i="27"/>
  <c r="O28" i="27" s="1"/>
  <c r="Q28" i="27" s="1"/>
  <c r="W28" i="27" s="1"/>
  <c r="E28" i="27"/>
  <c r="F28" i="27"/>
  <c r="G28" i="27"/>
  <c r="H28" i="27"/>
  <c r="I28" i="27"/>
  <c r="J28" i="27"/>
  <c r="K28" i="27"/>
  <c r="L28" i="27"/>
  <c r="M28" i="27"/>
  <c r="A29" i="27"/>
  <c r="B29" i="27"/>
  <c r="C29" i="27"/>
  <c r="D29" i="27"/>
  <c r="O29" i="27" s="1"/>
  <c r="Q29" i="27" s="1"/>
  <c r="W29" i="27" s="1"/>
  <c r="E29" i="27"/>
  <c r="F29" i="27"/>
  <c r="G29" i="27"/>
  <c r="H29" i="27"/>
  <c r="I29" i="27"/>
  <c r="N29" i="27" s="1"/>
  <c r="P29" i="27" s="1"/>
  <c r="V29" i="27" s="1"/>
  <c r="J29" i="27"/>
  <c r="K29" i="27"/>
  <c r="L29" i="27"/>
  <c r="R29" i="27" s="1"/>
  <c r="M29" i="27"/>
  <c r="A30" i="27"/>
  <c r="B30" i="27"/>
  <c r="N30" i="27" s="1"/>
  <c r="P30" i="27" s="1"/>
  <c r="C30" i="27"/>
  <c r="D30" i="27"/>
  <c r="O30" i="27" s="1"/>
  <c r="Q30" i="27" s="1"/>
  <c r="W30" i="27" s="1"/>
  <c r="E30" i="27"/>
  <c r="F30" i="27"/>
  <c r="G30" i="27"/>
  <c r="H30" i="27"/>
  <c r="I30" i="27"/>
  <c r="J30" i="27"/>
  <c r="K30" i="27"/>
  <c r="L30" i="27"/>
  <c r="M30" i="27"/>
  <c r="A31" i="27"/>
  <c r="B31" i="27"/>
  <c r="C31" i="27"/>
  <c r="D31" i="27"/>
  <c r="O31" i="27" s="1"/>
  <c r="Q31" i="27" s="1"/>
  <c r="W31" i="27" s="1"/>
  <c r="Y31" i="27" s="1"/>
  <c r="E31" i="27"/>
  <c r="F31" i="27"/>
  <c r="G31" i="27"/>
  <c r="H31" i="27"/>
  <c r="I31" i="27"/>
  <c r="N31" i="27" s="1"/>
  <c r="P31" i="27" s="1"/>
  <c r="V31" i="27" s="1"/>
  <c r="J31" i="27"/>
  <c r="K31" i="27"/>
  <c r="L31" i="27"/>
  <c r="R31" i="27" s="1"/>
  <c r="M31" i="27"/>
  <c r="A32" i="27"/>
  <c r="B32" i="27"/>
  <c r="C32" i="27"/>
  <c r="D32" i="27"/>
  <c r="O32" i="27" s="1"/>
  <c r="E32" i="27"/>
  <c r="F32" i="27"/>
  <c r="G32" i="27"/>
  <c r="H32" i="27"/>
  <c r="I32" i="27"/>
  <c r="J32" i="27"/>
  <c r="K32" i="27"/>
  <c r="L32" i="27"/>
  <c r="M32" i="27"/>
  <c r="Q32" i="27"/>
  <c r="W32" i="27" s="1"/>
  <c r="A33" i="27"/>
  <c r="B33" i="27"/>
  <c r="C33" i="27"/>
  <c r="D33" i="27"/>
  <c r="E33" i="27"/>
  <c r="F33" i="27"/>
  <c r="G33" i="27"/>
  <c r="H33" i="27"/>
  <c r="I33" i="27"/>
  <c r="N33" i="27" s="1"/>
  <c r="J33" i="27"/>
  <c r="K33" i="27"/>
  <c r="L33" i="27"/>
  <c r="M33" i="27"/>
  <c r="A34" i="27"/>
  <c r="B34" i="27"/>
  <c r="N34" i="27" s="1"/>
  <c r="P34" i="27" s="1"/>
  <c r="C34" i="27"/>
  <c r="D34" i="27"/>
  <c r="E34" i="27"/>
  <c r="F34" i="27"/>
  <c r="G34" i="27"/>
  <c r="H34" i="27"/>
  <c r="I34" i="27"/>
  <c r="J34" i="27"/>
  <c r="K34" i="27"/>
  <c r="L34" i="27"/>
  <c r="M34" i="27"/>
  <c r="A35" i="27"/>
  <c r="B35" i="27"/>
  <c r="C35" i="27"/>
  <c r="D35" i="27"/>
  <c r="E35" i="27"/>
  <c r="F35" i="27"/>
  <c r="G35" i="27"/>
  <c r="H35" i="27"/>
  <c r="I35" i="27"/>
  <c r="N35" i="27" s="1"/>
  <c r="P35" i="27" s="1"/>
  <c r="V35" i="27" s="1"/>
  <c r="J35" i="27"/>
  <c r="K35" i="27"/>
  <c r="L35" i="27"/>
  <c r="M35" i="27"/>
  <c r="A36" i="27"/>
  <c r="B36" i="27"/>
  <c r="N36" i="27" s="1"/>
  <c r="P36" i="27" s="1"/>
  <c r="C36" i="27"/>
  <c r="D36" i="27"/>
  <c r="E36" i="27"/>
  <c r="F36" i="27"/>
  <c r="G36" i="27"/>
  <c r="H36" i="27"/>
  <c r="I36" i="27"/>
  <c r="J36" i="27"/>
  <c r="K36" i="27"/>
  <c r="L36" i="27"/>
  <c r="M36" i="27"/>
  <c r="A37" i="27"/>
  <c r="B37" i="27"/>
  <c r="C37" i="27"/>
  <c r="D37" i="27"/>
  <c r="E37" i="27"/>
  <c r="F37" i="27"/>
  <c r="G37" i="27"/>
  <c r="H37" i="27"/>
  <c r="I37" i="27"/>
  <c r="N37" i="27" s="1"/>
  <c r="P37" i="27" s="1"/>
  <c r="V37" i="27" s="1"/>
  <c r="J37" i="27"/>
  <c r="K37" i="27"/>
  <c r="L37" i="27"/>
  <c r="M37" i="27"/>
  <c r="A38" i="27"/>
  <c r="B38" i="27"/>
  <c r="N38" i="27" s="1"/>
  <c r="P38" i="27" s="1"/>
  <c r="C38" i="27"/>
  <c r="D38" i="27"/>
  <c r="E38" i="27"/>
  <c r="F38" i="27"/>
  <c r="G38" i="27"/>
  <c r="H38" i="27"/>
  <c r="I38" i="27"/>
  <c r="J38" i="27"/>
  <c r="K38" i="27"/>
  <c r="L38" i="27"/>
  <c r="M38" i="27"/>
  <c r="A39" i="27"/>
  <c r="B39" i="27"/>
  <c r="C39" i="27"/>
  <c r="D39" i="27"/>
  <c r="E39" i="27"/>
  <c r="F39" i="27"/>
  <c r="G39" i="27"/>
  <c r="H39" i="27"/>
  <c r="N39" i="27" s="1"/>
  <c r="P39" i="27" s="1"/>
  <c r="V39" i="27" s="1"/>
  <c r="I39" i="27"/>
  <c r="J39" i="27"/>
  <c r="K39" i="27"/>
  <c r="L39" i="27"/>
  <c r="M39" i="27"/>
  <c r="A40" i="27"/>
  <c r="B40" i="27"/>
  <c r="C40" i="27"/>
  <c r="D40" i="27"/>
  <c r="E40" i="27"/>
  <c r="F40" i="27"/>
  <c r="G40" i="27"/>
  <c r="H40" i="27"/>
  <c r="I40" i="27"/>
  <c r="N40" i="27" s="1"/>
  <c r="P40" i="27" s="1"/>
  <c r="J40" i="27"/>
  <c r="K40" i="27"/>
  <c r="L40" i="27"/>
  <c r="M40" i="27"/>
  <c r="A41" i="27"/>
  <c r="B41" i="27"/>
  <c r="C41" i="27"/>
  <c r="D41" i="27"/>
  <c r="E41" i="27"/>
  <c r="F41" i="27"/>
  <c r="G41" i="27"/>
  <c r="H41" i="27"/>
  <c r="I41" i="27"/>
  <c r="N41" i="27" s="1"/>
  <c r="J41" i="27"/>
  <c r="K41" i="27"/>
  <c r="L41" i="27"/>
  <c r="M41" i="27"/>
  <c r="P41" i="27"/>
  <c r="V41" i="27" s="1"/>
  <c r="A42" i="27"/>
  <c r="B42" i="27"/>
  <c r="C42" i="27"/>
  <c r="D42" i="27"/>
  <c r="E42" i="27"/>
  <c r="F42" i="27"/>
  <c r="G42" i="27"/>
  <c r="H42" i="27"/>
  <c r="I42" i="27"/>
  <c r="N42" i="27" s="1"/>
  <c r="P42" i="27" s="1"/>
  <c r="J42" i="27"/>
  <c r="K42" i="27"/>
  <c r="L42" i="27"/>
  <c r="M42" i="27"/>
  <c r="A43" i="27"/>
  <c r="B43" i="27"/>
  <c r="C43" i="27"/>
  <c r="D43" i="27"/>
  <c r="E43" i="27"/>
  <c r="F43" i="27"/>
  <c r="G43" i="27"/>
  <c r="H43" i="27"/>
  <c r="I43" i="27"/>
  <c r="N43" i="27" s="1"/>
  <c r="P43" i="27" s="1"/>
  <c r="J43" i="27"/>
  <c r="K43" i="27"/>
  <c r="L43" i="27"/>
  <c r="M43" i="27"/>
  <c r="A44" i="27"/>
  <c r="B44" i="27"/>
  <c r="C44" i="27"/>
  <c r="D44" i="27"/>
  <c r="E44" i="27"/>
  <c r="F44" i="27"/>
  <c r="G44" i="27"/>
  <c r="H44" i="27"/>
  <c r="I44" i="27"/>
  <c r="N44" i="27" s="1"/>
  <c r="P44" i="27" s="1"/>
  <c r="J44" i="27"/>
  <c r="K44" i="27"/>
  <c r="L44" i="27"/>
  <c r="M44" i="27"/>
  <c r="A45" i="27"/>
  <c r="B45" i="27"/>
  <c r="C45" i="27"/>
  <c r="D45" i="27"/>
  <c r="E45" i="27"/>
  <c r="F45" i="27"/>
  <c r="G45" i="27"/>
  <c r="H45" i="27"/>
  <c r="I45" i="27"/>
  <c r="N45" i="27" s="1"/>
  <c r="P45" i="27" s="1"/>
  <c r="J45" i="27"/>
  <c r="K45" i="27"/>
  <c r="L45" i="27"/>
  <c r="M45" i="27"/>
  <c r="A46" i="27"/>
  <c r="B46" i="27"/>
  <c r="C46" i="27"/>
  <c r="D46" i="27"/>
  <c r="E46" i="27"/>
  <c r="F46" i="27"/>
  <c r="G46" i="27"/>
  <c r="H46" i="27"/>
  <c r="I46" i="27"/>
  <c r="N46" i="27" s="1"/>
  <c r="P46" i="27" s="1"/>
  <c r="J46" i="27"/>
  <c r="K46" i="27"/>
  <c r="L46" i="27"/>
  <c r="M46" i="27"/>
  <c r="A47" i="27"/>
  <c r="B47" i="27"/>
  <c r="C47" i="27"/>
  <c r="D47" i="27"/>
  <c r="E47" i="27"/>
  <c r="F47" i="27"/>
  <c r="G47" i="27"/>
  <c r="H47" i="27"/>
  <c r="I47" i="27"/>
  <c r="N47" i="27" s="1"/>
  <c r="P47" i="27" s="1"/>
  <c r="J47" i="27"/>
  <c r="K47" i="27"/>
  <c r="L47" i="27"/>
  <c r="M47" i="27"/>
  <c r="A48" i="27"/>
  <c r="B48" i="27"/>
  <c r="C48" i="27"/>
  <c r="D48" i="27"/>
  <c r="E48" i="27"/>
  <c r="F48" i="27"/>
  <c r="G48" i="27"/>
  <c r="H48" i="27"/>
  <c r="I48" i="27"/>
  <c r="N48" i="27" s="1"/>
  <c r="P48" i="27" s="1"/>
  <c r="J48" i="27"/>
  <c r="K48" i="27"/>
  <c r="L48" i="27"/>
  <c r="M48" i="27"/>
  <c r="A49" i="27"/>
  <c r="B49" i="27"/>
  <c r="C49" i="27"/>
  <c r="D49" i="27"/>
  <c r="E49" i="27"/>
  <c r="F49" i="27"/>
  <c r="G49" i="27"/>
  <c r="H49" i="27"/>
  <c r="I49" i="27"/>
  <c r="N49" i="27" s="1"/>
  <c r="P49" i="27" s="1"/>
  <c r="J49" i="27"/>
  <c r="K49" i="27"/>
  <c r="L49" i="27"/>
  <c r="M49" i="27"/>
  <c r="A50" i="27"/>
  <c r="B50" i="27"/>
  <c r="C50" i="27"/>
  <c r="D50" i="27"/>
  <c r="E50" i="27"/>
  <c r="F50" i="27"/>
  <c r="G50" i="27"/>
  <c r="H50" i="27"/>
  <c r="I50" i="27"/>
  <c r="N50" i="27" s="1"/>
  <c r="P50" i="27" s="1"/>
  <c r="J50" i="27"/>
  <c r="K50" i="27"/>
  <c r="L50" i="27"/>
  <c r="M50" i="27"/>
  <c r="A51" i="27"/>
  <c r="B51" i="27"/>
  <c r="C51" i="27"/>
  <c r="D51" i="27"/>
  <c r="E51" i="27"/>
  <c r="F51" i="27"/>
  <c r="G51" i="27"/>
  <c r="H51" i="27"/>
  <c r="I51" i="27"/>
  <c r="N51" i="27" s="1"/>
  <c r="P51" i="27" s="1"/>
  <c r="J51" i="27"/>
  <c r="K51" i="27"/>
  <c r="L51" i="27"/>
  <c r="M51" i="27"/>
  <c r="A52" i="27"/>
  <c r="B52" i="27"/>
  <c r="C52" i="27"/>
  <c r="D52" i="27"/>
  <c r="O52" i="27" s="1"/>
  <c r="Q52" i="27" s="1"/>
  <c r="W52" i="27" s="1"/>
  <c r="E52" i="27"/>
  <c r="F52" i="27"/>
  <c r="G52" i="27"/>
  <c r="H52" i="27"/>
  <c r="I52" i="27"/>
  <c r="J52" i="27"/>
  <c r="K52" i="27"/>
  <c r="L52" i="27"/>
  <c r="P52" i="27" s="1"/>
  <c r="V52" i="27" s="1"/>
  <c r="Y52" i="27" s="1"/>
  <c r="M52" i="27"/>
  <c r="N52" i="27"/>
  <c r="A53" i="27"/>
  <c r="B53" i="27"/>
  <c r="C53" i="27"/>
  <c r="N53" i="27" s="1"/>
  <c r="P53" i="27" s="1"/>
  <c r="V53" i="27" s="1"/>
  <c r="D53" i="27"/>
  <c r="E53" i="27"/>
  <c r="F53" i="27"/>
  <c r="G53" i="27"/>
  <c r="H53" i="27"/>
  <c r="I53" i="27"/>
  <c r="J53" i="27"/>
  <c r="K53" i="27"/>
  <c r="L53" i="27"/>
  <c r="M53" i="27"/>
  <c r="A54" i="27"/>
  <c r="B54" i="27"/>
  <c r="C54" i="27"/>
  <c r="D54" i="27"/>
  <c r="O54" i="27" s="1"/>
  <c r="Q54" i="27" s="1"/>
  <c r="W54" i="27" s="1"/>
  <c r="E54" i="27"/>
  <c r="F54" i="27"/>
  <c r="G54" i="27"/>
  <c r="H54" i="27"/>
  <c r="I54" i="27"/>
  <c r="J54" i="27"/>
  <c r="K54" i="27"/>
  <c r="L54" i="27"/>
  <c r="M54" i="27"/>
  <c r="A55" i="27"/>
  <c r="B55" i="27"/>
  <c r="C55" i="27"/>
  <c r="D55" i="27"/>
  <c r="E55" i="27"/>
  <c r="F55" i="27"/>
  <c r="G55" i="27"/>
  <c r="H55" i="27"/>
  <c r="N55" i="27" s="1"/>
  <c r="P55" i="27" s="1"/>
  <c r="V55" i="27" s="1"/>
  <c r="I55" i="27"/>
  <c r="J55" i="27"/>
  <c r="K55" i="27"/>
  <c r="L55" i="27"/>
  <c r="M55" i="27"/>
  <c r="A56" i="27"/>
  <c r="B56" i="27"/>
  <c r="N56" i="27" s="1"/>
  <c r="P56" i="27" s="1"/>
  <c r="V56" i="27" s="1"/>
  <c r="C56" i="27"/>
  <c r="D56" i="27"/>
  <c r="O56" i="27" s="1"/>
  <c r="Q56" i="27" s="1"/>
  <c r="W56" i="27" s="1"/>
  <c r="E56" i="27"/>
  <c r="F56" i="27"/>
  <c r="G56" i="27"/>
  <c r="H56" i="27"/>
  <c r="I56" i="27"/>
  <c r="J56" i="27"/>
  <c r="K56" i="27"/>
  <c r="L56" i="27"/>
  <c r="R56" i="27" s="1"/>
  <c r="M56" i="27"/>
  <c r="A57" i="27"/>
  <c r="B57" i="27"/>
  <c r="C57" i="27"/>
  <c r="N57" i="27" s="1"/>
  <c r="P57" i="27" s="1"/>
  <c r="V57" i="27" s="1"/>
  <c r="D57" i="27"/>
  <c r="E57" i="27"/>
  <c r="F57" i="27"/>
  <c r="G57" i="27"/>
  <c r="H57" i="27"/>
  <c r="I57" i="27"/>
  <c r="J57" i="27"/>
  <c r="K57" i="27"/>
  <c r="L57" i="27"/>
  <c r="M57" i="27"/>
  <c r="A58" i="27"/>
  <c r="B58" i="27"/>
  <c r="C58" i="27"/>
  <c r="D58" i="27"/>
  <c r="E58" i="27"/>
  <c r="F58" i="27"/>
  <c r="G58" i="27"/>
  <c r="H58" i="27"/>
  <c r="I58" i="27"/>
  <c r="J58" i="27"/>
  <c r="O58" i="27" s="1"/>
  <c r="Q58" i="27" s="1"/>
  <c r="W58" i="27" s="1"/>
  <c r="K58" i="27"/>
  <c r="L58" i="27"/>
  <c r="M58" i="27"/>
  <c r="A59" i="27"/>
  <c r="B59" i="27"/>
  <c r="C59" i="27"/>
  <c r="D59" i="27"/>
  <c r="E59" i="27"/>
  <c r="F59" i="27"/>
  <c r="G59" i="27"/>
  <c r="H59" i="27"/>
  <c r="N59" i="27" s="1"/>
  <c r="P59" i="27" s="1"/>
  <c r="V59" i="27" s="1"/>
  <c r="I59" i="27"/>
  <c r="J59" i="27"/>
  <c r="K59" i="27"/>
  <c r="L59" i="27"/>
  <c r="M59" i="27"/>
  <c r="A60" i="27"/>
  <c r="B60" i="27"/>
  <c r="N60" i="27" s="1"/>
  <c r="P60" i="27" s="1"/>
  <c r="V60" i="27" s="1"/>
  <c r="C60" i="27"/>
  <c r="D60" i="27"/>
  <c r="E60" i="27"/>
  <c r="F60" i="27"/>
  <c r="G60" i="27"/>
  <c r="H60" i="27"/>
  <c r="I60" i="27"/>
  <c r="J60" i="27"/>
  <c r="O60" i="27" s="1"/>
  <c r="Q60" i="27" s="1"/>
  <c r="W60" i="27" s="1"/>
  <c r="K60" i="27"/>
  <c r="L60" i="27"/>
  <c r="R60" i="27" s="1"/>
  <c r="M60" i="27"/>
  <c r="A61" i="27"/>
  <c r="B61" i="27"/>
  <c r="C61" i="27"/>
  <c r="N61" i="27" s="1"/>
  <c r="P61" i="27" s="1"/>
  <c r="V61" i="27" s="1"/>
  <c r="D61" i="27"/>
  <c r="E61" i="27"/>
  <c r="F61" i="27"/>
  <c r="G61" i="27"/>
  <c r="H61" i="27"/>
  <c r="I61" i="27"/>
  <c r="J61" i="27"/>
  <c r="K61" i="27"/>
  <c r="L61" i="27"/>
  <c r="M61" i="27"/>
  <c r="A62" i="27"/>
  <c r="B62" i="27"/>
  <c r="C62" i="27"/>
  <c r="D62" i="27"/>
  <c r="E62" i="27"/>
  <c r="F62" i="27"/>
  <c r="G62" i="27"/>
  <c r="H62" i="27"/>
  <c r="I62" i="27"/>
  <c r="J62" i="27"/>
  <c r="K62" i="27"/>
  <c r="L62" i="27"/>
  <c r="M62" i="27"/>
  <c r="O62" i="27"/>
  <c r="Q62" i="27" s="1"/>
  <c r="W62" i="27" s="1"/>
  <c r="A63" i="27"/>
  <c r="B63" i="27"/>
  <c r="C63" i="27"/>
  <c r="D63" i="27"/>
  <c r="E63" i="27"/>
  <c r="F63" i="27"/>
  <c r="G63" i="27"/>
  <c r="H63" i="27"/>
  <c r="I63" i="27"/>
  <c r="J63" i="27"/>
  <c r="K63" i="27"/>
  <c r="L63" i="27"/>
  <c r="M63" i="27"/>
  <c r="N63" i="27"/>
  <c r="P63" i="27" s="1"/>
  <c r="V63" i="27" s="1"/>
  <c r="A64" i="27"/>
  <c r="B64" i="27"/>
  <c r="C64" i="27"/>
  <c r="D64" i="27"/>
  <c r="E64" i="27"/>
  <c r="F64" i="27"/>
  <c r="G64" i="27"/>
  <c r="H64" i="27"/>
  <c r="I64" i="27"/>
  <c r="J64" i="27"/>
  <c r="K64" i="27"/>
  <c r="L64" i="27"/>
  <c r="M64" i="27"/>
  <c r="O64" i="27"/>
  <c r="Q64" i="27" s="1"/>
  <c r="W64" i="27" s="1"/>
  <c r="A65" i="27"/>
  <c r="B65" i="27"/>
  <c r="C65" i="27"/>
  <c r="N65" i="27" s="1"/>
  <c r="P65" i="27" s="1"/>
  <c r="V65" i="27" s="1"/>
  <c r="D65" i="27"/>
  <c r="E65" i="27"/>
  <c r="F65" i="27"/>
  <c r="G65" i="27"/>
  <c r="H65" i="27"/>
  <c r="I65" i="27"/>
  <c r="J65" i="27"/>
  <c r="K65" i="27"/>
  <c r="L65" i="27"/>
  <c r="M65" i="27"/>
  <c r="A66" i="27"/>
  <c r="B66" i="27"/>
  <c r="C66" i="27"/>
  <c r="D66" i="27"/>
  <c r="E66" i="27"/>
  <c r="F66" i="27"/>
  <c r="G66" i="27"/>
  <c r="H66" i="27"/>
  <c r="I66" i="27"/>
  <c r="J66" i="27"/>
  <c r="K66" i="27"/>
  <c r="L66" i="27"/>
  <c r="M66" i="27"/>
  <c r="O66" i="27"/>
  <c r="Q66" i="27" s="1"/>
  <c r="W66" i="27" s="1"/>
  <c r="A67" i="27"/>
  <c r="B67" i="27"/>
  <c r="C67" i="27"/>
  <c r="D67" i="27"/>
  <c r="O67" i="27" s="1"/>
  <c r="Q67" i="27" s="1"/>
  <c r="W67" i="27" s="1"/>
  <c r="E67" i="27"/>
  <c r="F67" i="27"/>
  <c r="G67" i="27"/>
  <c r="H67" i="27"/>
  <c r="N67" i="27" s="1"/>
  <c r="P67" i="27" s="1"/>
  <c r="V67" i="27" s="1"/>
  <c r="Y67" i="27" s="1"/>
  <c r="I67" i="27"/>
  <c r="J67" i="27"/>
  <c r="K67" i="27"/>
  <c r="L67" i="27"/>
  <c r="M67" i="27"/>
  <c r="A68" i="27"/>
  <c r="B68" i="27"/>
  <c r="N68" i="27" s="1"/>
  <c r="P68" i="27" s="1"/>
  <c r="V68" i="27" s="1"/>
  <c r="Y68" i="27" s="1"/>
  <c r="C68" i="27"/>
  <c r="D68" i="27"/>
  <c r="E68" i="27"/>
  <c r="F68" i="27"/>
  <c r="G68" i="27"/>
  <c r="H68" i="27"/>
  <c r="I68" i="27"/>
  <c r="J68" i="27"/>
  <c r="K68" i="27"/>
  <c r="L68" i="27"/>
  <c r="R68" i="27" s="1"/>
  <c r="M68" i="27"/>
  <c r="O68" i="27"/>
  <c r="Q68" i="27" s="1"/>
  <c r="W68" i="27" s="1"/>
  <c r="A69" i="27"/>
  <c r="B69" i="27"/>
  <c r="C69" i="27"/>
  <c r="N69" i="27" s="1"/>
  <c r="P69" i="27" s="1"/>
  <c r="V69" i="27" s="1"/>
  <c r="D69" i="27"/>
  <c r="E69" i="27"/>
  <c r="F69" i="27"/>
  <c r="G69" i="27"/>
  <c r="H69" i="27"/>
  <c r="I69" i="27"/>
  <c r="J69" i="27"/>
  <c r="K69" i="27"/>
  <c r="L69" i="27"/>
  <c r="M69" i="27"/>
  <c r="A70" i="27"/>
  <c r="B70" i="27"/>
  <c r="C70" i="27"/>
  <c r="D70" i="27"/>
  <c r="E70" i="27"/>
  <c r="O70" i="27" s="1"/>
  <c r="Q70" i="27" s="1"/>
  <c r="W70" i="27" s="1"/>
  <c r="F70" i="27"/>
  <c r="G70" i="27"/>
  <c r="H70" i="27"/>
  <c r="I70" i="27"/>
  <c r="J70" i="27"/>
  <c r="K70" i="27"/>
  <c r="L70" i="27"/>
  <c r="M70" i="27"/>
  <c r="A71" i="27"/>
  <c r="B71" i="27"/>
  <c r="C71" i="27"/>
  <c r="N71" i="27" s="1"/>
  <c r="P71" i="27" s="1"/>
  <c r="V71" i="27" s="1"/>
  <c r="D71" i="27"/>
  <c r="E71" i="27"/>
  <c r="F71" i="27"/>
  <c r="G71" i="27"/>
  <c r="H71" i="27"/>
  <c r="I71" i="27"/>
  <c r="J71" i="27"/>
  <c r="K71" i="27"/>
  <c r="L71" i="27"/>
  <c r="M71" i="27"/>
  <c r="A72" i="27"/>
  <c r="B72" i="27"/>
  <c r="C72" i="27"/>
  <c r="D72" i="27"/>
  <c r="E72" i="27"/>
  <c r="O72" i="27" s="1"/>
  <c r="Q72" i="27" s="1"/>
  <c r="W72" i="27" s="1"/>
  <c r="F72" i="27"/>
  <c r="G72" i="27"/>
  <c r="H72" i="27"/>
  <c r="I72" i="27"/>
  <c r="J72" i="27"/>
  <c r="K72" i="27"/>
  <c r="L72" i="27"/>
  <c r="M72" i="27"/>
  <c r="A73" i="27"/>
  <c r="B73" i="27"/>
  <c r="C73" i="27"/>
  <c r="N73" i="27" s="1"/>
  <c r="P73" i="27" s="1"/>
  <c r="V73" i="27" s="1"/>
  <c r="D73" i="27"/>
  <c r="E73" i="27"/>
  <c r="F73" i="27"/>
  <c r="G73" i="27"/>
  <c r="H73" i="27"/>
  <c r="I73" i="27"/>
  <c r="J73" i="27"/>
  <c r="K73" i="27"/>
  <c r="L73" i="27"/>
  <c r="M73" i="27"/>
  <c r="A74" i="27"/>
  <c r="B74" i="27"/>
  <c r="C74" i="27"/>
  <c r="D74" i="27"/>
  <c r="O74" i="27" s="1"/>
  <c r="Q74" i="27" s="1"/>
  <c r="W74" i="27" s="1"/>
  <c r="E74" i="27"/>
  <c r="F74" i="27"/>
  <c r="G74" i="27"/>
  <c r="H74" i="27"/>
  <c r="I74" i="27"/>
  <c r="J74" i="27"/>
  <c r="K74" i="27"/>
  <c r="L74" i="27"/>
  <c r="M74" i="27"/>
  <c r="A75" i="27"/>
  <c r="B75" i="27"/>
  <c r="C75" i="27"/>
  <c r="D75" i="27"/>
  <c r="O75" i="27" s="1"/>
  <c r="Q75" i="27" s="1"/>
  <c r="E75" i="27"/>
  <c r="F75" i="27"/>
  <c r="G75" i="27"/>
  <c r="H75" i="27"/>
  <c r="I75" i="27"/>
  <c r="J75" i="27"/>
  <c r="K75" i="27"/>
  <c r="L75" i="27"/>
  <c r="M75" i="27"/>
  <c r="N75" i="27"/>
  <c r="P75" i="27" s="1"/>
  <c r="V75" i="27" s="1"/>
  <c r="A76" i="27"/>
  <c r="B76" i="27"/>
  <c r="N76" i="27" s="1"/>
  <c r="P76" i="27" s="1"/>
  <c r="C76" i="27"/>
  <c r="D76" i="27"/>
  <c r="E76" i="27"/>
  <c r="O76" i="27" s="1"/>
  <c r="Q76" i="27" s="1"/>
  <c r="W76" i="27" s="1"/>
  <c r="F76" i="27"/>
  <c r="G76" i="27"/>
  <c r="H76" i="27"/>
  <c r="I76" i="27"/>
  <c r="J76" i="27"/>
  <c r="K76" i="27"/>
  <c r="L76" i="27"/>
  <c r="M76" i="27"/>
  <c r="S76" i="27" s="1"/>
  <c r="A77" i="27"/>
  <c r="B77" i="27"/>
  <c r="C77" i="27"/>
  <c r="D77" i="27"/>
  <c r="O77" i="27" s="1"/>
  <c r="Q77" i="27" s="1"/>
  <c r="E77" i="27"/>
  <c r="F77" i="27"/>
  <c r="G77" i="27"/>
  <c r="H77" i="27"/>
  <c r="I77" i="27"/>
  <c r="J77" i="27"/>
  <c r="K77" i="27"/>
  <c r="L77" i="27"/>
  <c r="M77" i="27"/>
  <c r="N77" i="27"/>
  <c r="A78" i="27"/>
  <c r="B78" i="27"/>
  <c r="C78" i="27"/>
  <c r="D78" i="27"/>
  <c r="E78" i="27"/>
  <c r="O78" i="27" s="1"/>
  <c r="Q78" i="27" s="1"/>
  <c r="W78" i="27" s="1"/>
  <c r="F78" i="27"/>
  <c r="G78" i="27"/>
  <c r="H78" i="27"/>
  <c r="I78" i="27"/>
  <c r="J78" i="27"/>
  <c r="K78" i="27"/>
  <c r="L78" i="27"/>
  <c r="M78" i="27"/>
  <c r="S78" i="27" s="1"/>
  <c r="A79" i="27"/>
  <c r="B79" i="27"/>
  <c r="C79" i="27"/>
  <c r="D79" i="27"/>
  <c r="O79" i="27" s="1"/>
  <c r="Q79" i="27" s="1"/>
  <c r="W79" i="27" s="1"/>
  <c r="E79" i="27"/>
  <c r="F79" i="27"/>
  <c r="G79" i="27"/>
  <c r="H79" i="27"/>
  <c r="I79" i="27"/>
  <c r="J79" i="27"/>
  <c r="K79" i="27"/>
  <c r="L79" i="27"/>
  <c r="M79" i="27"/>
  <c r="N79" i="27"/>
  <c r="P79" i="27" s="1"/>
  <c r="V79" i="27" s="1"/>
  <c r="Y79" i="27" s="1"/>
  <c r="A80" i="27"/>
  <c r="B80" i="27"/>
  <c r="N80" i="27" s="1"/>
  <c r="C80" i="27"/>
  <c r="D80" i="27"/>
  <c r="E80" i="27"/>
  <c r="O80" i="27" s="1"/>
  <c r="Q80" i="27" s="1"/>
  <c r="W80" i="27" s="1"/>
  <c r="F80" i="27"/>
  <c r="G80" i="27"/>
  <c r="H80" i="27"/>
  <c r="I80" i="27"/>
  <c r="J80" i="27"/>
  <c r="K80" i="27"/>
  <c r="L80" i="27"/>
  <c r="M80" i="27"/>
  <c r="S80" i="27" s="1"/>
  <c r="P80" i="27"/>
  <c r="A81" i="27"/>
  <c r="B81" i="27"/>
  <c r="C81" i="27"/>
  <c r="D81" i="27"/>
  <c r="O81" i="27" s="1"/>
  <c r="Q81" i="27" s="1"/>
  <c r="W81" i="27" s="1"/>
  <c r="E81" i="27"/>
  <c r="F81" i="27"/>
  <c r="G81" i="27"/>
  <c r="H81" i="27"/>
  <c r="I81" i="27"/>
  <c r="J81" i="27"/>
  <c r="K81" i="27"/>
  <c r="L81" i="27"/>
  <c r="M81" i="27"/>
  <c r="S81" i="27" s="1"/>
  <c r="N81" i="27"/>
  <c r="P81" i="27" s="1"/>
  <c r="V81" i="27" s="1"/>
  <c r="Y81" i="27" s="1"/>
  <c r="A82" i="27"/>
  <c r="B82" i="27"/>
  <c r="N82" i="27" s="1"/>
  <c r="C82" i="27"/>
  <c r="D82" i="27"/>
  <c r="E82" i="27"/>
  <c r="O82" i="27" s="1"/>
  <c r="Q82" i="27" s="1"/>
  <c r="W82" i="27" s="1"/>
  <c r="F82" i="27"/>
  <c r="G82" i="27"/>
  <c r="H82" i="27"/>
  <c r="I82" i="27"/>
  <c r="J82" i="27"/>
  <c r="K82" i="27"/>
  <c r="L82" i="27"/>
  <c r="M82" i="27"/>
  <c r="S82" i="27" s="1"/>
  <c r="P82" i="27"/>
  <c r="V82" i="27" s="1"/>
  <c r="Y82" i="27" s="1"/>
  <c r="A83" i="27"/>
  <c r="B83" i="27"/>
  <c r="C83" i="27"/>
  <c r="D83" i="27"/>
  <c r="O83" i="27" s="1"/>
  <c r="Q83" i="27" s="1"/>
  <c r="W83" i="27" s="1"/>
  <c r="E83" i="27"/>
  <c r="F83" i="27"/>
  <c r="G83" i="27"/>
  <c r="H83" i="27"/>
  <c r="I83" i="27"/>
  <c r="J83" i="27"/>
  <c r="K83" i="27"/>
  <c r="L83" i="27"/>
  <c r="M83" i="27"/>
  <c r="N83" i="27"/>
  <c r="A84" i="27"/>
  <c r="B84" i="27"/>
  <c r="N84" i="27" s="1"/>
  <c r="P84" i="27" s="1"/>
  <c r="C84" i="27"/>
  <c r="D84" i="27"/>
  <c r="E84" i="27"/>
  <c r="F84" i="27"/>
  <c r="G84" i="27"/>
  <c r="H84" i="27"/>
  <c r="H111" i="27" s="1"/>
  <c r="I84" i="27"/>
  <c r="J84" i="27"/>
  <c r="K84" i="27"/>
  <c r="L84" i="27"/>
  <c r="M84" i="27"/>
  <c r="A85" i="27"/>
  <c r="B85" i="27"/>
  <c r="C85" i="27"/>
  <c r="D85" i="27"/>
  <c r="E85" i="27"/>
  <c r="F85" i="27"/>
  <c r="F111" i="27" s="1"/>
  <c r="G85" i="27"/>
  <c r="H85" i="27"/>
  <c r="I85" i="27"/>
  <c r="J85" i="27"/>
  <c r="K85" i="27"/>
  <c r="L85" i="27"/>
  <c r="M85" i="27"/>
  <c r="N85" i="27"/>
  <c r="P85" i="27" s="1"/>
  <c r="V85" i="27" s="1"/>
  <c r="A86" i="27"/>
  <c r="B86" i="27"/>
  <c r="C86" i="27"/>
  <c r="D86" i="27"/>
  <c r="E86" i="27"/>
  <c r="O86" i="27" s="1"/>
  <c r="F86" i="27"/>
  <c r="G86" i="27"/>
  <c r="H86" i="27"/>
  <c r="I86" i="27"/>
  <c r="J86" i="27"/>
  <c r="K86" i="27"/>
  <c r="L86" i="27"/>
  <c r="M86" i="27"/>
  <c r="A87" i="27"/>
  <c r="B87" i="27"/>
  <c r="C87" i="27"/>
  <c r="D87" i="27"/>
  <c r="E87" i="27"/>
  <c r="F87" i="27"/>
  <c r="G87" i="27"/>
  <c r="H87" i="27"/>
  <c r="I87" i="27"/>
  <c r="N87" i="27" s="1"/>
  <c r="P87" i="27" s="1"/>
  <c r="V87" i="27" s="1"/>
  <c r="J87" i="27"/>
  <c r="K87" i="27"/>
  <c r="L87" i="27"/>
  <c r="M87" i="27"/>
  <c r="A88" i="27"/>
  <c r="B88" i="27"/>
  <c r="C88" i="27"/>
  <c r="D88" i="27"/>
  <c r="E88" i="27"/>
  <c r="F88" i="27"/>
  <c r="G88" i="27"/>
  <c r="H88" i="27"/>
  <c r="I88" i="27"/>
  <c r="J88" i="27"/>
  <c r="K88" i="27"/>
  <c r="L88" i="27"/>
  <c r="M88" i="27"/>
  <c r="N88" i="27"/>
  <c r="P88" i="27" s="1"/>
  <c r="A89" i="27"/>
  <c r="B89" i="27"/>
  <c r="C89" i="27"/>
  <c r="D89" i="27"/>
  <c r="E89" i="27"/>
  <c r="F89" i="27"/>
  <c r="G89" i="27"/>
  <c r="H89" i="27"/>
  <c r="I89" i="27"/>
  <c r="J89" i="27"/>
  <c r="K89" i="27"/>
  <c r="L89" i="27"/>
  <c r="M89" i="27"/>
  <c r="N89" i="27"/>
  <c r="P89" i="27" s="1"/>
  <c r="V89" i="27" s="1"/>
  <c r="R89" i="27"/>
  <c r="A90" i="27"/>
  <c r="B90" i="27"/>
  <c r="N90" i="27" s="1"/>
  <c r="P90" i="27" s="1"/>
  <c r="C90" i="27"/>
  <c r="D90" i="27"/>
  <c r="E90" i="27"/>
  <c r="F90" i="27"/>
  <c r="G90" i="27"/>
  <c r="H90" i="27"/>
  <c r="I90" i="27"/>
  <c r="J90" i="27"/>
  <c r="K90" i="27"/>
  <c r="L90" i="27"/>
  <c r="M90" i="27"/>
  <c r="A91" i="27"/>
  <c r="B91" i="27"/>
  <c r="N91" i="27" s="1"/>
  <c r="P91" i="27" s="1"/>
  <c r="C91" i="27"/>
  <c r="D91" i="27"/>
  <c r="E91" i="27"/>
  <c r="F91" i="27"/>
  <c r="G91" i="27"/>
  <c r="H91" i="27"/>
  <c r="I91" i="27"/>
  <c r="J91" i="27"/>
  <c r="K91" i="27"/>
  <c r="L91" i="27"/>
  <c r="M91" i="27"/>
  <c r="A92" i="27"/>
  <c r="B92" i="27"/>
  <c r="C92" i="27"/>
  <c r="D92" i="27"/>
  <c r="E92" i="27"/>
  <c r="F92" i="27"/>
  <c r="G92" i="27"/>
  <c r="N92" i="27" s="1"/>
  <c r="P92" i="27" s="1"/>
  <c r="H92" i="27"/>
  <c r="I92" i="27"/>
  <c r="J92" i="27"/>
  <c r="K92" i="27"/>
  <c r="L92" i="27"/>
  <c r="M92" i="27"/>
  <c r="S92" i="27" s="1"/>
  <c r="O92" i="27"/>
  <c r="Q92" i="27" s="1"/>
  <c r="W92" i="27" s="1"/>
  <c r="A93" i="27"/>
  <c r="B93" i="27"/>
  <c r="N93" i="27" s="1"/>
  <c r="P93" i="27" s="1"/>
  <c r="C93" i="27"/>
  <c r="D93" i="27"/>
  <c r="E93" i="27"/>
  <c r="F93" i="27"/>
  <c r="O93" i="27" s="1"/>
  <c r="Q93" i="27" s="1"/>
  <c r="G93" i="27"/>
  <c r="H93" i="27"/>
  <c r="I93" i="27"/>
  <c r="J93" i="27"/>
  <c r="K93" i="27"/>
  <c r="L93" i="27"/>
  <c r="M93" i="27"/>
  <c r="A94" i="27"/>
  <c r="B94" i="27"/>
  <c r="C94" i="27"/>
  <c r="D94" i="27"/>
  <c r="E94" i="27"/>
  <c r="F94" i="27"/>
  <c r="G94" i="27"/>
  <c r="N94" i="27" s="1"/>
  <c r="P94" i="27" s="1"/>
  <c r="H94" i="27"/>
  <c r="I94" i="27"/>
  <c r="J94" i="27"/>
  <c r="K94" i="27"/>
  <c r="L94" i="27"/>
  <c r="M94" i="27"/>
  <c r="S94" i="27" s="1"/>
  <c r="O94" i="27"/>
  <c r="Q94" i="27" s="1"/>
  <c r="W94" i="27" s="1"/>
  <c r="A95" i="27"/>
  <c r="B95" i="27"/>
  <c r="N95" i="27" s="1"/>
  <c r="P95" i="27" s="1"/>
  <c r="C95" i="27"/>
  <c r="D95" i="27"/>
  <c r="E95" i="27"/>
  <c r="F95" i="27"/>
  <c r="O95" i="27" s="1"/>
  <c r="Q95" i="27" s="1"/>
  <c r="G95" i="27"/>
  <c r="H95" i="27"/>
  <c r="I95" i="27"/>
  <c r="J95" i="27"/>
  <c r="K95" i="27"/>
  <c r="L95" i="27"/>
  <c r="M95" i="27"/>
  <c r="A96" i="27"/>
  <c r="B96" i="27"/>
  <c r="C96" i="27"/>
  <c r="D96" i="27"/>
  <c r="E96" i="27"/>
  <c r="F96" i="27"/>
  <c r="G96" i="27"/>
  <c r="N96" i="27" s="1"/>
  <c r="P96" i="27" s="1"/>
  <c r="H96" i="27"/>
  <c r="I96" i="27"/>
  <c r="J96" i="27"/>
  <c r="K96" i="27"/>
  <c r="L96" i="27"/>
  <c r="M96" i="27"/>
  <c r="O96" i="27"/>
  <c r="Q96" i="27" s="1"/>
  <c r="W96" i="27" s="1"/>
  <c r="A97" i="27"/>
  <c r="B97" i="27"/>
  <c r="N97" i="27" s="1"/>
  <c r="P97" i="27" s="1"/>
  <c r="C97" i="27"/>
  <c r="D97" i="27"/>
  <c r="E97" i="27"/>
  <c r="F97" i="27"/>
  <c r="O97" i="27" s="1"/>
  <c r="Q97" i="27" s="1"/>
  <c r="G97" i="27"/>
  <c r="H97" i="27"/>
  <c r="I97" i="27"/>
  <c r="J97" i="27"/>
  <c r="K97" i="27"/>
  <c r="L97" i="27"/>
  <c r="M97" i="27"/>
  <c r="A98" i="27"/>
  <c r="B98" i="27"/>
  <c r="C98" i="27"/>
  <c r="D98" i="27"/>
  <c r="E98" i="27"/>
  <c r="F98" i="27"/>
  <c r="G98" i="27"/>
  <c r="N98" i="27" s="1"/>
  <c r="P98" i="27" s="1"/>
  <c r="H98" i="27"/>
  <c r="I98" i="27"/>
  <c r="J98" i="27"/>
  <c r="K98" i="27"/>
  <c r="L98" i="27"/>
  <c r="M98" i="27"/>
  <c r="O98" i="27"/>
  <c r="Q98" i="27" s="1"/>
  <c r="W98" i="27" s="1"/>
  <c r="A99" i="27"/>
  <c r="B99" i="27"/>
  <c r="N99" i="27" s="1"/>
  <c r="P99" i="27" s="1"/>
  <c r="C99" i="27"/>
  <c r="D99" i="27"/>
  <c r="E99" i="27"/>
  <c r="F99" i="27"/>
  <c r="O99" i="27" s="1"/>
  <c r="Q99" i="27" s="1"/>
  <c r="G99" i="27"/>
  <c r="H99" i="27"/>
  <c r="I99" i="27"/>
  <c r="J99" i="27"/>
  <c r="K99" i="27"/>
  <c r="L99" i="27"/>
  <c r="M99" i="27"/>
  <c r="A100" i="27"/>
  <c r="B100" i="27"/>
  <c r="C100" i="27"/>
  <c r="D100" i="27"/>
  <c r="E100" i="27"/>
  <c r="F100" i="27"/>
  <c r="G100" i="27"/>
  <c r="N100" i="27" s="1"/>
  <c r="P100" i="27" s="1"/>
  <c r="H100" i="27"/>
  <c r="I100" i="27"/>
  <c r="J100" i="27"/>
  <c r="K100" i="27"/>
  <c r="L100" i="27"/>
  <c r="M100" i="27"/>
  <c r="O100" i="27"/>
  <c r="Q100" i="27" s="1"/>
  <c r="W100" i="27" s="1"/>
  <c r="A101" i="27"/>
  <c r="B101" i="27"/>
  <c r="N101" i="27" s="1"/>
  <c r="P101" i="27" s="1"/>
  <c r="C101" i="27"/>
  <c r="C111" i="27" s="1"/>
  <c r="D101" i="27"/>
  <c r="E101" i="27"/>
  <c r="F101" i="27"/>
  <c r="O101" i="27" s="1"/>
  <c r="Q101" i="27" s="1"/>
  <c r="G101" i="27"/>
  <c r="H101" i="27"/>
  <c r="I101" i="27"/>
  <c r="J101" i="27"/>
  <c r="K101" i="27"/>
  <c r="L101" i="27"/>
  <c r="M101" i="27"/>
  <c r="A102" i="27"/>
  <c r="B102" i="27"/>
  <c r="C102" i="27"/>
  <c r="D102" i="27"/>
  <c r="E102" i="27"/>
  <c r="F102" i="27"/>
  <c r="G102" i="27"/>
  <c r="N102" i="27" s="1"/>
  <c r="P102" i="27" s="1"/>
  <c r="H102" i="27"/>
  <c r="I102" i="27"/>
  <c r="J102" i="27"/>
  <c r="K102" i="27"/>
  <c r="L102" i="27"/>
  <c r="M102" i="27"/>
  <c r="S102" i="27" s="1"/>
  <c r="O102" i="27"/>
  <c r="Q102" i="27" s="1"/>
  <c r="W102" i="27" s="1"/>
  <c r="A103" i="27"/>
  <c r="B103" i="27"/>
  <c r="N103" i="27" s="1"/>
  <c r="P103" i="27" s="1"/>
  <c r="C103" i="27"/>
  <c r="D103" i="27"/>
  <c r="E103" i="27"/>
  <c r="F103" i="27"/>
  <c r="O103" i="27" s="1"/>
  <c r="Q103" i="27" s="1"/>
  <c r="G103" i="27"/>
  <c r="H103" i="27"/>
  <c r="I103" i="27"/>
  <c r="J103" i="27"/>
  <c r="K103" i="27"/>
  <c r="K111" i="27" s="1"/>
  <c r="L103" i="27"/>
  <c r="M103" i="27"/>
  <c r="A104" i="27"/>
  <c r="B104" i="27"/>
  <c r="C104" i="27"/>
  <c r="D104" i="27"/>
  <c r="E104" i="27"/>
  <c r="F104" i="27"/>
  <c r="G104" i="27"/>
  <c r="N104" i="27" s="1"/>
  <c r="P104" i="27" s="1"/>
  <c r="H104" i="27"/>
  <c r="I104" i="27"/>
  <c r="J104" i="27"/>
  <c r="K104" i="27"/>
  <c r="L104" i="27"/>
  <c r="M104" i="27"/>
  <c r="S104" i="27" s="1"/>
  <c r="O104" i="27"/>
  <c r="Q104" i="27" s="1"/>
  <c r="W104" i="27" s="1"/>
  <c r="A105" i="27"/>
  <c r="B105" i="27"/>
  <c r="N105" i="27" s="1"/>
  <c r="P105" i="27" s="1"/>
  <c r="C105" i="27"/>
  <c r="D105" i="27"/>
  <c r="E105" i="27"/>
  <c r="F105" i="27"/>
  <c r="O105" i="27" s="1"/>
  <c r="Q105" i="27" s="1"/>
  <c r="G105" i="27"/>
  <c r="H105" i="27"/>
  <c r="I105" i="27"/>
  <c r="J105" i="27"/>
  <c r="K105" i="27"/>
  <c r="L105" i="27"/>
  <c r="M105" i="27"/>
  <c r="A106" i="27"/>
  <c r="B106" i="27"/>
  <c r="C106" i="27"/>
  <c r="D106" i="27"/>
  <c r="E106" i="27"/>
  <c r="F106" i="27"/>
  <c r="G106" i="27"/>
  <c r="N106" i="27" s="1"/>
  <c r="P106" i="27" s="1"/>
  <c r="H106" i="27"/>
  <c r="I106" i="27"/>
  <c r="J106" i="27"/>
  <c r="K106" i="27"/>
  <c r="L106" i="27"/>
  <c r="M106" i="27"/>
  <c r="S106" i="27" s="1"/>
  <c r="O106" i="27"/>
  <c r="Q106" i="27" s="1"/>
  <c r="W106" i="27" s="1"/>
  <c r="A107" i="27"/>
  <c r="B107" i="27"/>
  <c r="N107" i="27" s="1"/>
  <c r="P107" i="27" s="1"/>
  <c r="C107" i="27"/>
  <c r="D107" i="27"/>
  <c r="E107" i="27"/>
  <c r="F107" i="27"/>
  <c r="O107" i="27" s="1"/>
  <c r="Q107" i="27" s="1"/>
  <c r="G107" i="27"/>
  <c r="H107" i="27"/>
  <c r="I107" i="27"/>
  <c r="J107" i="27"/>
  <c r="K107" i="27"/>
  <c r="L107" i="27"/>
  <c r="M107" i="27"/>
  <c r="A108" i="27"/>
  <c r="B108" i="27"/>
  <c r="C108" i="27"/>
  <c r="D108" i="27"/>
  <c r="E108" i="27"/>
  <c r="O108" i="27" s="1"/>
  <c r="Q108" i="27" s="1"/>
  <c r="W108" i="27" s="1"/>
  <c r="F108" i="27"/>
  <c r="G108" i="27"/>
  <c r="N108" i="27" s="1"/>
  <c r="P108" i="27" s="1"/>
  <c r="H108" i="27"/>
  <c r="I108" i="27"/>
  <c r="J108" i="27"/>
  <c r="K108" i="27"/>
  <c r="L108" i="27"/>
  <c r="M108" i="27"/>
  <c r="S108" i="27" s="1"/>
  <c r="A109" i="27"/>
  <c r="B109" i="27"/>
  <c r="N109" i="27" s="1"/>
  <c r="P109" i="27" s="1"/>
  <c r="C109" i="27"/>
  <c r="D109" i="27"/>
  <c r="E109" i="27"/>
  <c r="F109" i="27"/>
  <c r="O109" i="27" s="1"/>
  <c r="Q109" i="27" s="1"/>
  <c r="G109" i="27"/>
  <c r="H109" i="27"/>
  <c r="I109" i="27"/>
  <c r="J109" i="27"/>
  <c r="K109" i="27"/>
  <c r="L109" i="27"/>
  <c r="M109" i="27"/>
  <c r="A110" i="27"/>
  <c r="B110" i="27"/>
  <c r="C110" i="27"/>
  <c r="D110" i="27"/>
  <c r="E110" i="27"/>
  <c r="O110" i="27" s="1"/>
  <c r="Q110" i="27" s="1"/>
  <c r="W110" i="27" s="1"/>
  <c r="F110" i="27"/>
  <c r="G110" i="27"/>
  <c r="N110" i="27" s="1"/>
  <c r="P110" i="27" s="1"/>
  <c r="H110" i="27"/>
  <c r="I110" i="27"/>
  <c r="J110" i="27"/>
  <c r="K110" i="27"/>
  <c r="L110" i="27"/>
  <c r="M110" i="27"/>
  <c r="S110" i="27" s="1"/>
  <c r="B111" i="27"/>
  <c r="D111" i="27"/>
  <c r="J111" i="27"/>
  <c r="B8" i="26"/>
  <c r="C8" i="26"/>
  <c r="D8" i="26"/>
  <c r="E8" i="26"/>
  <c r="F8" i="26"/>
  <c r="G8" i="26"/>
  <c r="H8" i="26"/>
  <c r="I8" i="26"/>
  <c r="N11" i="26" s="1"/>
  <c r="J8" i="26"/>
  <c r="K8" i="26"/>
  <c r="A11" i="26"/>
  <c r="B11" i="26"/>
  <c r="C11" i="26"/>
  <c r="D11" i="26"/>
  <c r="E11" i="26"/>
  <c r="F11" i="26"/>
  <c r="G11" i="26"/>
  <c r="H11" i="26"/>
  <c r="I11" i="26"/>
  <c r="J11" i="26"/>
  <c r="K11" i="26"/>
  <c r="A12" i="26"/>
  <c r="B12" i="26"/>
  <c r="C12" i="26"/>
  <c r="D12" i="26"/>
  <c r="E12" i="26"/>
  <c r="F12" i="26"/>
  <c r="G12" i="26"/>
  <c r="H12" i="26"/>
  <c r="I12" i="26"/>
  <c r="J12" i="26"/>
  <c r="K12" i="26"/>
  <c r="A13" i="26"/>
  <c r="B13" i="26"/>
  <c r="C13" i="26"/>
  <c r="D13" i="26"/>
  <c r="E13" i="26"/>
  <c r="F13" i="26"/>
  <c r="G13" i="26"/>
  <c r="H13" i="26"/>
  <c r="I13" i="26"/>
  <c r="J13" i="26"/>
  <c r="K13" i="26"/>
  <c r="N13" i="26"/>
  <c r="A14" i="26"/>
  <c r="B14" i="26"/>
  <c r="N14" i="26" s="1"/>
  <c r="C14" i="26"/>
  <c r="D14" i="26"/>
  <c r="E14" i="26"/>
  <c r="F14" i="26"/>
  <c r="G14" i="26"/>
  <c r="H14" i="26"/>
  <c r="I14" i="26"/>
  <c r="J14" i="26"/>
  <c r="K14" i="26"/>
  <c r="A15" i="26"/>
  <c r="B15" i="26"/>
  <c r="C15" i="26"/>
  <c r="D15" i="26"/>
  <c r="E15" i="26"/>
  <c r="F15" i="26"/>
  <c r="G15" i="26"/>
  <c r="H15" i="26"/>
  <c r="I15" i="26"/>
  <c r="J15" i="26"/>
  <c r="K15" i="26"/>
  <c r="N15" i="26"/>
  <c r="A16" i="26"/>
  <c r="B16" i="26"/>
  <c r="N16" i="26" s="1"/>
  <c r="C16" i="26"/>
  <c r="D16" i="26"/>
  <c r="E16" i="26"/>
  <c r="F16" i="26"/>
  <c r="G16" i="26"/>
  <c r="H16" i="26"/>
  <c r="I16" i="26"/>
  <c r="J16" i="26"/>
  <c r="K16" i="26"/>
  <c r="A17" i="26"/>
  <c r="B17" i="26"/>
  <c r="C17" i="26"/>
  <c r="D17" i="26"/>
  <c r="E17" i="26"/>
  <c r="F17" i="26"/>
  <c r="G17" i="26"/>
  <c r="H17" i="26"/>
  <c r="I17" i="26"/>
  <c r="J17" i="26"/>
  <c r="K17" i="26"/>
  <c r="N17" i="26"/>
  <c r="A18" i="26"/>
  <c r="B18" i="26"/>
  <c r="N18" i="26" s="1"/>
  <c r="C18" i="26"/>
  <c r="D18" i="26"/>
  <c r="E18" i="26"/>
  <c r="F18" i="26"/>
  <c r="G18" i="26"/>
  <c r="H18" i="26"/>
  <c r="I18" i="26"/>
  <c r="J18" i="26"/>
  <c r="K18" i="26"/>
  <c r="A19" i="26"/>
  <c r="B19" i="26"/>
  <c r="C19" i="26"/>
  <c r="D19" i="26"/>
  <c r="E19" i="26"/>
  <c r="F19" i="26"/>
  <c r="G19" i="26"/>
  <c r="H19" i="26"/>
  <c r="I19" i="26"/>
  <c r="J19" i="26"/>
  <c r="K19" i="26"/>
  <c r="N19" i="26"/>
  <c r="A20" i="26"/>
  <c r="B20" i="26"/>
  <c r="N20" i="26" s="1"/>
  <c r="C20" i="26"/>
  <c r="D20" i="26"/>
  <c r="E20" i="26"/>
  <c r="F20" i="26"/>
  <c r="G20" i="26"/>
  <c r="H20" i="26"/>
  <c r="I20" i="26"/>
  <c r="J20" i="26"/>
  <c r="K20" i="26"/>
  <c r="A21" i="26"/>
  <c r="B21" i="26"/>
  <c r="C21" i="26"/>
  <c r="D21" i="26"/>
  <c r="E21" i="26"/>
  <c r="F21" i="26"/>
  <c r="G21" i="26"/>
  <c r="H21" i="26"/>
  <c r="I21" i="26"/>
  <c r="J21" i="26"/>
  <c r="K21" i="26"/>
  <c r="N21" i="26"/>
  <c r="A22" i="26"/>
  <c r="B22" i="26"/>
  <c r="N22" i="26" s="1"/>
  <c r="C22" i="26"/>
  <c r="D22" i="26"/>
  <c r="E22" i="26"/>
  <c r="F22" i="26"/>
  <c r="G22" i="26"/>
  <c r="H22" i="26"/>
  <c r="I22" i="26"/>
  <c r="J22" i="26"/>
  <c r="K22" i="26"/>
  <c r="A23" i="26"/>
  <c r="B23" i="26"/>
  <c r="C23" i="26"/>
  <c r="D23" i="26"/>
  <c r="E23" i="26"/>
  <c r="F23" i="26"/>
  <c r="G23" i="26"/>
  <c r="H23" i="26"/>
  <c r="I23" i="26"/>
  <c r="J23" i="26"/>
  <c r="K23" i="26"/>
  <c r="N23" i="26"/>
  <c r="A24" i="26"/>
  <c r="B24" i="26"/>
  <c r="N24" i="26" s="1"/>
  <c r="C24" i="26"/>
  <c r="D24" i="26"/>
  <c r="E24" i="26"/>
  <c r="F24" i="26"/>
  <c r="G24" i="26"/>
  <c r="H24" i="26"/>
  <c r="I24" i="26"/>
  <c r="J24" i="26"/>
  <c r="K24" i="26"/>
  <c r="A25" i="26"/>
  <c r="B25" i="26"/>
  <c r="C25" i="26"/>
  <c r="D25" i="26"/>
  <c r="O25" i="26" s="1"/>
  <c r="E25" i="26"/>
  <c r="F25" i="26"/>
  <c r="G25" i="26"/>
  <c r="H25" i="26"/>
  <c r="I25" i="26"/>
  <c r="J25" i="26"/>
  <c r="K25" i="26"/>
  <c r="N25" i="26"/>
  <c r="A26" i="26"/>
  <c r="B26" i="26"/>
  <c r="N26" i="26" s="1"/>
  <c r="C26" i="26"/>
  <c r="D26" i="26"/>
  <c r="E26" i="26"/>
  <c r="F26" i="26"/>
  <c r="G26" i="26"/>
  <c r="H26" i="26"/>
  <c r="I26" i="26"/>
  <c r="J26" i="26"/>
  <c r="K26" i="26"/>
  <c r="A27" i="26"/>
  <c r="B27" i="26"/>
  <c r="C27" i="26"/>
  <c r="D27" i="26"/>
  <c r="E27" i="26"/>
  <c r="F27" i="26"/>
  <c r="G27" i="26"/>
  <c r="H27" i="26"/>
  <c r="I27" i="26"/>
  <c r="J27" i="26"/>
  <c r="K27" i="26"/>
  <c r="N27" i="26"/>
  <c r="A28" i="26"/>
  <c r="B28" i="26"/>
  <c r="N28" i="26" s="1"/>
  <c r="C28" i="26"/>
  <c r="D28" i="26"/>
  <c r="E28" i="26"/>
  <c r="F28" i="26"/>
  <c r="G28" i="26"/>
  <c r="H28" i="26"/>
  <c r="I28" i="26"/>
  <c r="J28" i="26"/>
  <c r="K28" i="26"/>
  <c r="A29" i="26"/>
  <c r="B29" i="26"/>
  <c r="C29" i="26"/>
  <c r="D29" i="26"/>
  <c r="O29" i="26" s="1"/>
  <c r="E29" i="26"/>
  <c r="F29" i="26"/>
  <c r="G29" i="26"/>
  <c r="H29" i="26"/>
  <c r="I29" i="26"/>
  <c r="J29" i="26"/>
  <c r="K29" i="26"/>
  <c r="N29" i="26"/>
  <c r="A30" i="26"/>
  <c r="B30" i="26"/>
  <c r="N30" i="26" s="1"/>
  <c r="C30" i="26"/>
  <c r="D30" i="26"/>
  <c r="E30" i="26"/>
  <c r="F30" i="26"/>
  <c r="G30" i="26"/>
  <c r="H30" i="26"/>
  <c r="I30" i="26"/>
  <c r="J30" i="26"/>
  <c r="K30" i="26"/>
  <c r="A31" i="26"/>
  <c r="B31" i="26"/>
  <c r="C31" i="26"/>
  <c r="D31" i="26"/>
  <c r="E31" i="26"/>
  <c r="F31" i="26"/>
  <c r="G31" i="26"/>
  <c r="H31" i="26"/>
  <c r="I31" i="26"/>
  <c r="J31" i="26"/>
  <c r="K31" i="26"/>
  <c r="N31" i="26"/>
  <c r="A32" i="26"/>
  <c r="B32" i="26"/>
  <c r="N32" i="26" s="1"/>
  <c r="C32" i="26"/>
  <c r="D32" i="26"/>
  <c r="E32" i="26"/>
  <c r="F32" i="26"/>
  <c r="G32" i="26"/>
  <c r="H32" i="26"/>
  <c r="I32" i="26"/>
  <c r="J32" i="26"/>
  <c r="K32" i="26"/>
  <c r="A33" i="26"/>
  <c r="B33" i="26"/>
  <c r="C33" i="26"/>
  <c r="D33" i="26"/>
  <c r="O33" i="26" s="1"/>
  <c r="E33" i="26"/>
  <c r="F33" i="26"/>
  <c r="G33" i="26"/>
  <c r="H33" i="26"/>
  <c r="I33" i="26"/>
  <c r="J33" i="26"/>
  <c r="K33" i="26"/>
  <c r="N33" i="26"/>
  <c r="A34" i="26"/>
  <c r="B34" i="26"/>
  <c r="N34" i="26" s="1"/>
  <c r="C34" i="26"/>
  <c r="D34" i="26"/>
  <c r="E34" i="26"/>
  <c r="F34" i="26"/>
  <c r="G34" i="26"/>
  <c r="H34" i="26"/>
  <c r="I34" i="26"/>
  <c r="J34" i="26"/>
  <c r="K34" i="26"/>
  <c r="A35" i="26"/>
  <c r="B35" i="26"/>
  <c r="C35" i="26"/>
  <c r="D35" i="26"/>
  <c r="E35" i="26"/>
  <c r="F35" i="26"/>
  <c r="G35" i="26"/>
  <c r="H35" i="26"/>
  <c r="I35" i="26"/>
  <c r="J35" i="26"/>
  <c r="K35" i="26"/>
  <c r="N35" i="26"/>
  <c r="A36" i="26"/>
  <c r="B36" i="26"/>
  <c r="N36" i="26" s="1"/>
  <c r="C36" i="26"/>
  <c r="D36" i="26"/>
  <c r="E36" i="26"/>
  <c r="F36" i="26"/>
  <c r="G36" i="26"/>
  <c r="H36" i="26"/>
  <c r="I36" i="26"/>
  <c r="J36" i="26"/>
  <c r="K36" i="26"/>
  <c r="A37" i="26"/>
  <c r="B37" i="26"/>
  <c r="C37" i="26"/>
  <c r="N37" i="26" s="1"/>
  <c r="D37" i="26"/>
  <c r="E37" i="26"/>
  <c r="F37" i="26"/>
  <c r="G37" i="26"/>
  <c r="H37" i="26"/>
  <c r="I37" i="26"/>
  <c r="J37" i="26"/>
  <c r="K37" i="26"/>
  <c r="A38" i="26"/>
  <c r="B38" i="26"/>
  <c r="N38" i="26" s="1"/>
  <c r="P38" i="26" s="1"/>
  <c r="V38" i="26" s="1"/>
  <c r="C38" i="26"/>
  <c r="D38" i="26"/>
  <c r="E38" i="26"/>
  <c r="F38" i="26"/>
  <c r="G38" i="26"/>
  <c r="H38" i="26"/>
  <c r="I38" i="26"/>
  <c r="J38" i="26"/>
  <c r="O38" i="26" s="1"/>
  <c r="K38" i="26"/>
  <c r="L38" i="26"/>
  <c r="A39" i="26"/>
  <c r="B39" i="26"/>
  <c r="C39" i="26"/>
  <c r="D39" i="26"/>
  <c r="O39" i="26" s="1"/>
  <c r="E39" i="26"/>
  <c r="F39" i="26"/>
  <c r="G39" i="26"/>
  <c r="H39" i="26"/>
  <c r="N39" i="26" s="1"/>
  <c r="I39" i="26"/>
  <c r="J39" i="26"/>
  <c r="K39" i="26"/>
  <c r="A40" i="26"/>
  <c r="B40" i="26"/>
  <c r="C40" i="26"/>
  <c r="D40" i="26"/>
  <c r="O40" i="26" s="1"/>
  <c r="E40" i="26"/>
  <c r="F40" i="26"/>
  <c r="G40" i="26"/>
  <c r="H40" i="26"/>
  <c r="I40" i="26"/>
  <c r="J40" i="26"/>
  <c r="K40" i="26"/>
  <c r="L40" i="26"/>
  <c r="A41" i="26"/>
  <c r="B41" i="26"/>
  <c r="C41" i="26"/>
  <c r="D41" i="26"/>
  <c r="E41" i="26"/>
  <c r="F41" i="26"/>
  <c r="G41" i="26"/>
  <c r="H41" i="26"/>
  <c r="N41" i="26" s="1"/>
  <c r="I41" i="26"/>
  <c r="J41" i="26"/>
  <c r="K41" i="26"/>
  <c r="A42" i="26"/>
  <c r="B42" i="26"/>
  <c r="C42" i="26"/>
  <c r="D42" i="26"/>
  <c r="O42" i="26" s="1"/>
  <c r="E42" i="26"/>
  <c r="F42" i="26"/>
  <c r="G42" i="26"/>
  <c r="H42" i="26"/>
  <c r="I42" i="26"/>
  <c r="J42" i="26"/>
  <c r="K42" i="26"/>
  <c r="L42" i="26"/>
  <c r="A43" i="26"/>
  <c r="B43" i="26"/>
  <c r="C43" i="26"/>
  <c r="N43" i="26" s="1"/>
  <c r="D43" i="26"/>
  <c r="O43" i="26" s="1"/>
  <c r="E43" i="26"/>
  <c r="F43" i="26"/>
  <c r="G43" i="26"/>
  <c r="H43" i="26"/>
  <c r="I43" i="26"/>
  <c r="J43" i="26"/>
  <c r="K43" i="26"/>
  <c r="M43" i="26"/>
  <c r="S43" i="26" s="1"/>
  <c r="Q43" i="26"/>
  <c r="W43" i="26" s="1"/>
  <c r="A44" i="26"/>
  <c r="B44" i="26"/>
  <c r="N44" i="26" s="1"/>
  <c r="P44" i="26" s="1"/>
  <c r="V44" i="26" s="1"/>
  <c r="C44" i="26"/>
  <c r="D44" i="26"/>
  <c r="E44" i="26"/>
  <c r="F44" i="26"/>
  <c r="G44" i="26"/>
  <c r="H44" i="26"/>
  <c r="I44" i="26"/>
  <c r="J44" i="26"/>
  <c r="O44" i="26" s="1"/>
  <c r="Q44" i="26" s="1"/>
  <c r="W44" i="26" s="1"/>
  <c r="K44" i="26"/>
  <c r="L44" i="26"/>
  <c r="R44" i="26" s="1"/>
  <c r="M44" i="26"/>
  <c r="A45" i="26"/>
  <c r="B45" i="26"/>
  <c r="C45" i="26"/>
  <c r="N45" i="26" s="1"/>
  <c r="P45" i="26" s="1"/>
  <c r="V45" i="26" s="1"/>
  <c r="D45" i="26"/>
  <c r="E45" i="26"/>
  <c r="F45" i="26"/>
  <c r="G45" i="26"/>
  <c r="H45" i="26"/>
  <c r="I45" i="26"/>
  <c r="J45" i="26"/>
  <c r="K45" i="26"/>
  <c r="L45" i="26"/>
  <c r="M45" i="26"/>
  <c r="A46" i="26"/>
  <c r="B46" i="26"/>
  <c r="C46" i="26"/>
  <c r="D46" i="26"/>
  <c r="O46" i="26" s="1"/>
  <c r="Q46" i="26" s="1"/>
  <c r="W46" i="26" s="1"/>
  <c r="E46" i="26"/>
  <c r="F46" i="26"/>
  <c r="G46" i="26"/>
  <c r="H46" i="26"/>
  <c r="I46" i="26"/>
  <c r="J46" i="26"/>
  <c r="K46" i="26"/>
  <c r="L46" i="26"/>
  <c r="M46" i="26"/>
  <c r="A47" i="26"/>
  <c r="B47" i="26"/>
  <c r="C47" i="26"/>
  <c r="N47" i="26" s="1"/>
  <c r="P47" i="26" s="1"/>
  <c r="V47" i="26" s="1"/>
  <c r="D47" i="26"/>
  <c r="E47" i="26"/>
  <c r="F47" i="26"/>
  <c r="G47" i="26"/>
  <c r="H47" i="26"/>
  <c r="I47" i="26"/>
  <c r="J47" i="26"/>
  <c r="K47" i="26"/>
  <c r="L47" i="26"/>
  <c r="M47" i="26"/>
  <c r="A48" i="26"/>
  <c r="B48" i="26"/>
  <c r="C48" i="26"/>
  <c r="D48" i="26"/>
  <c r="O48" i="26" s="1"/>
  <c r="Q48" i="26" s="1"/>
  <c r="W48" i="26" s="1"/>
  <c r="E48" i="26"/>
  <c r="F48" i="26"/>
  <c r="G48" i="26"/>
  <c r="H48" i="26"/>
  <c r="I48" i="26"/>
  <c r="J48" i="26"/>
  <c r="K48" i="26"/>
  <c r="L48" i="26"/>
  <c r="M48" i="26"/>
  <c r="A49" i="26"/>
  <c r="B49" i="26"/>
  <c r="C49" i="26"/>
  <c r="N49" i="26" s="1"/>
  <c r="P49" i="26" s="1"/>
  <c r="V49" i="26" s="1"/>
  <c r="D49" i="26"/>
  <c r="E49" i="26"/>
  <c r="F49" i="26"/>
  <c r="G49" i="26"/>
  <c r="H49" i="26"/>
  <c r="I49" i="26"/>
  <c r="J49" i="26"/>
  <c r="K49" i="26"/>
  <c r="L49" i="26"/>
  <c r="M49" i="26"/>
  <c r="A50" i="26"/>
  <c r="B50" i="26"/>
  <c r="C50" i="26"/>
  <c r="D50" i="26"/>
  <c r="O50" i="26" s="1"/>
  <c r="Q50" i="26" s="1"/>
  <c r="W50" i="26" s="1"/>
  <c r="E50" i="26"/>
  <c r="F50" i="26"/>
  <c r="G50" i="26"/>
  <c r="H50" i="26"/>
  <c r="I50" i="26"/>
  <c r="J50" i="26"/>
  <c r="K50" i="26"/>
  <c r="L50" i="26"/>
  <c r="M50" i="26"/>
  <c r="A51" i="26"/>
  <c r="B51" i="26"/>
  <c r="C51" i="26"/>
  <c r="N51" i="26" s="1"/>
  <c r="P51" i="26" s="1"/>
  <c r="V51" i="26" s="1"/>
  <c r="D51" i="26"/>
  <c r="O51" i="26" s="1"/>
  <c r="Q51" i="26" s="1"/>
  <c r="W51" i="26" s="1"/>
  <c r="E51" i="26"/>
  <c r="F51" i="26"/>
  <c r="G51" i="26"/>
  <c r="H51" i="26"/>
  <c r="I51" i="26"/>
  <c r="J51" i="26"/>
  <c r="K51" i="26"/>
  <c r="L51" i="26"/>
  <c r="M51" i="26"/>
  <c r="A52" i="26"/>
  <c r="B52" i="26"/>
  <c r="N52" i="26" s="1"/>
  <c r="P52" i="26" s="1"/>
  <c r="C52" i="26"/>
  <c r="D52" i="26"/>
  <c r="E52" i="26"/>
  <c r="F52" i="26"/>
  <c r="O52" i="26" s="1"/>
  <c r="Q52" i="26" s="1"/>
  <c r="G52" i="26"/>
  <c r="H52" i="26"/>
  <c r="I52" i="26"/>
  <c r="J52" i="26"/>
  <c r="K52" i="26"/>
  <c r="L52" i="26"/>
  <c r="M52" i="26"/>
  <c r="A53" i="26"/>
  <c r="B53" i="26"/>
  <c r="C53" i="26"/>
  <c r="D53" i="26"/>
  <c r="E53" i="26"/>
  <c r="O53" i="26" s="1"/>
  <c r="Q53" i="26" s="1"/>
  <c r="W53" i="26" s="1"/>
  <c r="F53" i="26"/>
  <c r="G53" i="26"/>
  <c r="H53" i="26"/>
  <c r="I53" i="26"/>
  <c r="J53" i="26"/>
  <c r="K53" i="26"/>
  <c r="L53" i="26"/>
  <c r="M53" i="26"/>
  <c r="N53" i="26"/>
  <c r="P53" i="26" s="1"/>
  <c r="A54" i="26"/>
  <c r="B54" i="26"/>
  <c r="N54" i="26" s="1"/>
  <c r="P54" i="26" s="1"/>
  <c r="C54" i="26"/>
  <c r="D54" i="26"/>
  <c r="E54" i="26"/>
  <c r="F54" i="26"/>
  <c r="O54" i="26" s="1"/>
  <c r="Q54" i="26" s="1"/>
  <c r="G54" i="26"/>
  <c r="H54" i="26"/>
  <c r="I54" i="26"/>
  <c r="J54" i="26"/>
  <c r="K54" i="26"/>
  <c r="L54" i="26"/>
  <c r="M54" i="26"/>
  <c r="A55" i="26"/>
  <c r="B55" i="26"/>
  <c r="C55" i="26"/>
  <c r="D55" i="26"/>
  <c r="E55" i="26"/>
  <c r="O55" i="26" s="1"/>
  <c r="Q55" i="26" s="1"/>
  <c r="W55" i="26" s="1"/>
  <c r="F55" i="26"/>
  <c r="G55" i="26"/>
  <c r="H55" i="26"/>
  <c r="I55" i="26"/>
  <c r="J55" i="26"/>
  <c r="K55" i="26"/>
  <c r="L55" i="26"/>
  <c r="M55" i="26"/>
  <c r="S55" i="26" s="1"/>
  <c r="N55" i="26"/>
  <c r="P55" i="26" s="1"/>
  <c r="A56" i="26"/>
  <c r="B56" i="26"/>
  <c r="N56" i="26" s="1"/>
  <c r="P56" i="26" s="1"/>
  <c r="C56" i="26"/>
  <c r="D56" i="26"/>
  <c r="E56" i="26"/>
  <c r="F56" i="26"/>
  <c r="O56" i="26" s="1"/>
  <c r="Q56" i="26" s="1"/>
  <c r="G56" i="26"/>
  <c r="H56" i="26"/>
  <c r="I56" i="26"/>
  <c r="J56" i="26"/>
  <c r="K56" i="26"/>
  <c r="L56" i="26"/>
  <c r="M56" i="26"/>
  <c r="A57" i="26"/>
  <c r="B57" i="26"/>
  <c r="C57" i="26"/>
  <c r="D57" i="26"/>
  <c r="E57" i="26"/>
  <c r="O57" i="26" s="1"/>
  <c r="Q57" i="26" s="1"/>
  <c r="W57" i="26" s="1"/>
  <c r="F57" i="26"/>
  <c r="G57" i="26"/>
  <c r="H57" i="26"/>
  <c r="I57" i="26"/>
  <c r="J57" i="26"/>
  <c r="K57" i="26"/>
  <c r="L57" i="26"/>
  <c r="M57" i="26"/>
  <c r="S57" i="26" s="1"/>
  <c r="N57" i="26"/>
  <c r="P57" i="26" s="1"/>
  <c r="A58" i="26"/>
  <c r="B58" i="26"/>
  <c r="N58" i="26" s="1"/>
  <c r="P58" i="26" s="1"/>
  <c r="C58" i="26"/>
  <c r="D58" i="26"/>
  <c r="E58" i="26"/>
  <c r="F58" i="26"/>
  <c r="O58" i="26" s="1"/>
  <c r="Q58" i="26" s="1"/>
  <c r="G58" i="26"/>
  <c r="H58" i="26"/>
  <c r="I58" i="26"/>
  <c r="J58" i="26"/>
  <c r="K58" i="26"/>
  <c r="L58" i="26"/>
  <c r="M58" i="26"/>
  <c r="A59" i="26"/>
  <c r="B59" i="26"/>
  <c r="C59" i="26"/>
  <c r="D59" i="26"/>
  <c r="E59" i="26"/>
  <c r="O59" i="26" s="1"/>
  <c r="F59" i="26"/>
  <c r="G59" i="26"/>
  <c r="H59" i="26"/>
  <c r="I59" i="26"/>
  <c r="J59" i="26"/>
  <c r="K59" i="26"/>
  <c r="L59" i="26"/>
  <c r="M59" i="26"/>
  <c r="N59" i="26"/>
  <c r="P59" i="26" s="1"/>
  <c r="A60" i="26"/>
  <c r="B60" i="26"/>
  <c r="N60" i="26" s="1"/>
  <c r="P60" i="26" s="1"/>
  <c r="C60" i="26"/>
  <c r="D60" i="26"/>
  <c r="E60" i="26"/>
  <c r="F60" i="26"/>
  <c r="O60" i="26" s="1"/>
  <c r="G60" i="26"/>
  <c r="H60" i="26"/>
  <c r="I60" i="26"/>
  <c r="J60" i="26"/>
  <c r="K60" i="26"/>
  <c r="L60" i="26"/>
  <c r="M60" i="26"/>
  <c r="Q60" i="26"/>
  <c r="A61" i="26"/>
  <c r="B61" i="26"/>
  <c r="C61" i="26"/>
  <c r="D61" i="26"/>
  <c r="E61" i="26"/>
  <c r="O61" i="26" s="1"/>
  <c r="F61" i="26"/>
  <c r="G61" i="26"/>
  <c r="H61" i="26"/>
  <c r="I61" i="26"/>
  <c r="J61" i="26"/>
  <c r="K61" i="26"/>
  <c r="L61" i="26"/>
  <c r="M61" i="26"/>
  <c r="N61" i="26"/>
  <c r="P61" i="26" s="1"/>
  <c r="A62" i="26"/>
  <c r="B62" i="26"/>
  <c r="C62" i="26"/>
  <c r="D62" i="26"/>
  <c r="E62" i="26"/>
  <c r="F62" i="26"/>
  <c r="O62" i="26" s="1"/>
  <c r="G62" i="26"/>
  <c r="H62" i="26"/>
  <c r="I62" i="26"/>
  <c r="J62" i="26"/>
  <c r="K62" i="26"/>
  <c r="L62" i="26"/>
  <c r="M62" i="26"/>
  <c r="S62" i="26" s="1"/>
  <c r="Q62" i="26"/>
  <c r="W62" i="26" s="1"/>
  <c r="A63" i="26"/>
  <c r="B63" i="26"/>
  <c r="C63" i="26"/>
  <c r="D63" i="26"/>
  <c r="E63" i="26"/>
  <c r="O63" i="26" s="1"/>
  <c r="F63" i="26"/>
  <c r="G63" i="26"/>
  <c r="H63" i="26"/>
  <c r="I63" i="26"/>
  <c r="J63" i="26"/>
  <c r="K63" i="26"/>
  <c r="L63" i="26"/>
  <c r="M63" i="26"/>
  <c r="N63" i="26"/>
  <c r="P63" i="26" s="1"/>
  <c r="A64" i="26"/>
  <c r="B64" i="26"/>
  <c r="C64" i="26"/>
  <c r="D64" i="26"/>
  <c r="E64" i="26"/>
  <c r="F64" i="26"/>
  <c r="O64" i="26" s="1"/>
  <c r="G64" i="26"/>
  <c r="H64" i="26"/>
  <c r="I64" i="26"/>
  <c r="I111" i="26" s="1"/>
  <c r="J64" i="26"/>
  <c r="K64" i="26"/>
  <c r="L64" i="26"/>
  <c r="M64" i="26"/>
  <c r="Q64" i="26"/>
  <c r="W64" i="26" s="1"/>
  <c r="A65" i="26"/>
  <c r="B65" i="26"/>
  <c r="C65" i="26"/>
  <c r="D65" i="26"/>
  <c r="E65" i="26"/>
  <c r="O65" i="26" s="1"/>
  <c r="F65" i="26"/>
  <c r="G65" i="26"/>
  <c r="H65" i="26"/>
  <c r="I65" i="26"/>
  <c r="J65" i="26"/>
  <c r="K65" i="26"/>
  <c r="L65" i="26"/>
  <c r="M65" i="26"/>
  <c r="N65" i="26"/>
  <c r="P65" i="26" s="1"/>
  <c r="A66" i="26"/>
  <c r="B66" i="26"/>
  <c r="C66" i="26"/>
  <c r="D66" i="26"/>
  <c r="E66" i="26"/>
  <c r="O66" i="26" s="1"/>
  <c r="Q66" i="26" s="1"/>
  <c r="W66" i="26" s="1"/>
  <c r="F66" i="26"/>
  <c r="G66" i="26"/>
  <c r="H66" i="26"/>
  <c r="I66" i="26"/>
  <c r="J66" i="26"/>
  <c r="K66" i="26"/>
  <c r="L66" i="26"/>
  <c r="M66" i="26"/>
  <c r="A67" i="26"/>
  <c r="B67" i="26"/>
  <c r="C67" i="26"/>
  <c r="D67" i="26"/>
  <c r="E67" i="26"/>
  <c r="O67" i="26" s="1"/>
  <c r="F67" i="26"/>
  <c r="G67" i="26"/>
  <c r="H67" i="26"/>
  <c r="I67" i="26"/>
  <c r="J67" i="26"/>
  <c r="K67" i="26"/>
  <c r="L67" i="26"/>
  <c r="M67" i="26"/>
  <c r="N67" i="26"/>
  <c r="P67" i="26" s="1"/>
  <c r="A68" i="26"/>
  <c r="B68" i="26"/>
  <c r="N68" i="26" s="1"/>
  <c r="P68" i="26" s="1"/>
  <c r="C68" i="26"/>
  <c r="D68" i="26"/>
  <c r="O68" i="26" s="1"/>
  <c r="E68" i="26"/>
  <c r="F68" i="26"/>
  <c r="G68" i="26"/>
  <c r="H68" i="26"/>
  <c r="I68" i="26"/>
  <c r="J68" i="26"/>
  <c r="K68" i="26"/>
  <c r="L68" i="26"/>
  <c r="M68" i="26"/>
  <c r="S68" i="26" s="1"/>
  <c r="Q68" i="26"/>
  <c r="W68" i="26" s="1"/>
  <c r="A69" i="26"/>
  <c r="B69" i="26"/>
  <c r="C69" i="26"/>
  <c r="D69" i="26"/>
  <c r="E69" i="26"/>
  <c r="O69" i="26" s="1"/>
  <c r="F69" i="26"/>
  <c r="G69" i="26"/>
  <c r="H69" i="26"/>
  <c r="I69" i="26"/>
  <c r="J69" i="26"/>
  <c r="K69" i="26"/>
  <c r="L69" i="26"/>
  <c r="M69" i="26"/>
  <c r="N69" i="26"/>
  <c r="P69" i="26" s="1"/>
  <c r="A70" i="26"/>
  <c r="B70" i="26"/>
  <c r="C70" i="26"/>
  <c r="D70" i="26"/>
  <c r="O70" i="26" s="1"/>
  <c r="Q70" i="26" s="1"/>
  <c r="W70" i="26" s="1"/>
  <c r="E70" i="26"/>
  <c r="F70" i="26"/>
  <c r="G70" i="26"/>
  <c r="H70" i="26"/>
  <c r="I70" i="26"/>
  <c r="J70" i="26"/>
  <c r="K70" i="26"/>
  <c r="L70" i="26"/>
  <c r="M70" i="26"/>
  <c r="A71" i="26"/>
  <c r="B71" i="26"/>
  <c r="C71" i="26"/>
  <c r="D71" i="26"/>
  <c r="E71" i="26"/>
  <c r="O71" i="26" s="1"/>
  <c r="F71" i="26"/>
  <c r="G71" i="26"/>
  <c r="H71" i="26"/>
  <c r="I71" i="26"/>
  <c r="J71" i="26"/>
  <c r="K71" i="26"/>
  <c r="L71" i="26"/>
  <c r="M71" i="26"/>
  <c r="N71" i="26"/>
  <c r="P71" i="26" s="1"/>
  <c r="A72" i="26"/>
  <c r="B72" i="26"/>
  <c r="C72" i="26"/>
  <c r="D72" i="26"/>
  <c r="O72" i="26" s="1"/>
  <c r="E72" i="26"/>
  <c r="F72" i="26"/>
  <c r="G72" i="26"/>
  <c r="H72" i="26"/>
  <c r="I72" i="26"/>
  <c r="J72" i="26"/>
  <c r="K72" i="26"/>
  <c r="L72" i="26"/>
  <c r="M72" i="26"/>
  <c r="Q72" i="26"/>
  <c r="W72" i="26" s="1"/>
  <c r="A73" i="26"/>
  <c r="B73" i="26"/>
  <c r="C73" i="26"/>
  <c r="D73" i="26"/>
  <c r="E73" i="26"/>
  <c r="O73" i="26" s="1"/>
  <c r="F73" i="26"/>
  <c r="G73" i="26"/>
  <c r="H73" i="26"/>
  <c r="I73" i="26"/>
  <c r="J73" i="26"/>
  <c r="K73" i="26"/>
  <c r="L73" i="26"/>
  <c r="M73" i="26"/>
  <c r="N73" i="26"/>
  <c r="P73" i="26" s="1"/>
  <c r="A74" i="26"/>
  <c r="B74" i="26"/>
  <c r="N74" i="26" s="1"/>
  <c r="P74" i="26" s="1"/>
  <c r="C74" i="26"/>
  <c r="D74" i="26"/>
  <c r="O74" i="26" s="1"/>
  <c r="Q74" i="26" s="1"/>
  <c r="W74" i="26" s="1"/>
  <c r="E74" i="26"/>
  <c r="F74" i="26"/>
  <c r="G74" i="26"/>
  <c r="H74" i="26"/>
  <c r="I74" i="26"/>
  <c r="J74" i="26"/>
  <c r="K74" i="26"/>
  <c r="L74" i="26"/>
  <c r="M74" i="26"/>
  <c r="A75" i="26"/>
  <c r="B75" i="26"/>
  <c r="C75" i="26"/>
  <c r="D75" i="26"/>
  <c r="E75" i="26"/>
  <c r="O75" i="26" s="1"/>
  <c r="Q75" i="26" s="1"/>
  <c r="W75" i="26" s="1"/>
  <c r="F75" i="26"/>
  <c r="G75" i="26"/>
  <c r="H75" i="26"/>
  <c r="I75" i="26"/>
  <c r="N75" i="26" s="1"/>
  <c r="P75" i="26" s="1"/>
  <c r="R75" i="26" s="1"/>
  <c r="J75" i="26"/>
  <c r="K75" i="26"/>
  <c r="L75" i="26"/>
  <c r="M75" i="26"/>
  <c r="V75" i="26"/>
  <c r="A76" i="26"/>
  <c r="B76" i="26"/>
  <c r="C76" i="26"/>
  <c r="D76" i="26"/>
  <c r="E76" i="26"/>
  <c r="F76" i="26"/>
  <c r="F111" i="26" s="1"/>
  <c r="G76" i="26"/>
  <c r="H76" i="26"/>
  <c r="I76" i="26"/>
  <c r="N76" i="26" s="1"/>
  <c r="P76" i="26" s="1"/>
  <c r="J76" i="26"/>
  <c r="K76" i="26"/>
  <c r="L76" i="26"/>
  <c r="M76" i="26"/>
  <c r="A77" i="26"/>
  <c r="B77" i="26"/>
  <c r="N77" i="26" s="1"/>
  <c r="P77" i="26" s="1"/>
  <c r="C77" i="26"/>
  <c r="D77" i="26"/>
  <c r="E77" i="26"/>
  <c r="O77" i="26" s="1"/>
  <c r="Q77" i="26" s="1"/>
  <c r="W77" i="26" s="1"/>
  <c r="F77" i="26"/>
  <c r="G77" i="26"/>
  <c r="H77" i="26"/>
  <c r="I77" i="26"/>
  <c r="J77" i="26"/>
  <c r="J111" i="26" s="1"/>
  <c r="K77" i="26"/>
  <c r="L77" i="26"/>
  <c r="M77" i="26"/>
  <c r="A78" i="26"/>
  <c r="B78" i="26"/>
  <c r="C78" i="26"/>
  <c r="D78" i="26"/>
  <c r="E78" i="26"/>
  <c r="F78" i="26"/>
  <c r="G78" i="26"/>
  <c r="H78" i="26"/>
  <c r="I78" i="26"/>
  <c r="N78" i="26" s="1"/>
  <c r="P78" i="26" s="1"/>
  <c r="V78" i="26" s="1"/>
  <c r="J78" i="26"/>
  <c r="K78" i="26"/>
  <c r="L78" i="26"/>
  <c r="M78" i="26"/>
  <c r="A79" i="26"/>
  <c r="B79" i="26"/>
  <c r="C79" i="26"/>
  <c r="D79" i="26"/>
  <c r="E79" i="26"/>
  <c r="F79" i="26"/>
  <c r="G79" i="26"/>
  <c r="H79" i="26"/>
  <c r="N79" i="26" s="1"/>
  <c r="P79" i="26" s="1"/>
  <c r="I79" i="26"/>
  <c r="J79" i="26"/>
  <c r="K79" i="26"/>
  <c r="L79" i="26"/>
  <c r="M79" i="26"/>
  <c r="A80" i="26"/>
  <c r="B80" i="26"/>
  <c r="N80" i="26" s="1"/>
  <c r="P80" i="26" s="1"/>
  <c r="C80" i="26"/>
  <c r="D80" i="26"/>
  <c r="E80" i="26"/>
  <c r="F80" i="26"/>
  <c r="G80" i="26"/>
  <c r="H80" i="26"/>
  <c r="I80" i="26"/>
  <c r="J80" i="26"/>
  <c r="K80" i="26"/>
  <c r="L80" i="26"/>
  <c r="M80" i="26"/>
  <c r="A81" i="26"/>
  <c r="B81" i="26"/>
  <c r="C81" i="26"/>
  <c r="N81" i="26" s="1"/>
  <c r="P81" i="26" s="1"/>
  <c r="V81" i="26" s="1"/>
  <c r="D81" i="26"/>
  <c r="O81" i="26" s="1"/>
  <c r="Q81" i="26" s="1"/>
  <c r="E81" i="26"/>
  <c r="F81" i="26"/>
  <c r="G81" i="26"/>
  <c r="H81" i="26"/>
  <c r="I81" i="26"/>
  <c r="J81" i="26"/>
  <c r="K81" i="26"/>
  <c r="L81" i="26"/>
  <c r="M81" i="26"/>
  <c r="A82" i="26"/>
  <c r="B82" i="26"/>
  <c r="C82" i="26"/>
  <c r="N82" i="26" s="1"/>
  <c r="P82" i="26" s="1"/>
  <c r="V82" i="26" s="1"/>
  <c r="D82" i="26"/>
  <c r="E82" i="26"/>
  <c r="F82" i="26"/>
  <c r="G82" i="26"/>
  <c r="H82" i="26"/>
  <c r="I82" i="26"/>
  <c r="J82" i="26"/>
  <c r="K82" i="26"/>
  <c r="L82" i="26"/>
  <c r="M82" i="26"/>
  <c r="O82" i="26"/>
  <c r="Q82" i="26" s="1"/>
  <c r="A83" i="26"/>
  <c r="B83" i="26"/>
  <c r="C83" i="26"/>
  <c r="N83" i="26" s="1"/>
  <c r="P83" i="26" s="1"/>
  <c r="V83" i="26" s="1"/>
  <c r="D83" i="26"/>
  <c r="O83" i="26" s="1"/>
  <c r="Q83" i="26" s="1"/>
  <c r="E83" i="26"/>
  <c r="F83" i="26"/>
  <c r="G83" i="26"/>
  <c r="H83" i="26"/>
  <c r="I83" i="26"/>
  <c r="J83" i="26"/>
  <c r="K83" i="26"/>
  <c r="L83" i="26"/>
  <c r="M83" i="26"/>
  <c r="A84" i="26"/>
  <c r="B84" i="26"/>
  <c r="C84" i="26"/>
  <c r="N84" i="26" s="1"/>
  <c r="P84" i="26" s="1"/>
  <c r="V84" i="26" s="1"/>
  <c r="D84" i="26"/>
  <c r="E84" i="26"/>
  <c r="F84" i="26"/>
  <c r="G84" i="26"/>
  <c r="H84" i="26"/>
  <c r="I84" i="26"/>
  <c r="J84" i="26"/>
  <c r="K84" i="26"/>
  <c r="L84" i="26"/>
  <c r="M84" i="26"/>
  <c r="O84" i="26"/>
  <c r="Q84" i="26" s="1"/>
  <c r="A85" i="26"/>
  <c r="B85" i="26"/>
  <c r="C85" i="26"/>
  <c r="N85" i="26" s="1"/>
  <c r="P85" i="26" s="1"/>
  <c r="V85" i="26" s="1"/>
  <c r="D85" i="26"/>
  <c r="O85" i="26" s="1"/>
  <c r="Q85" i="26" s="1"/>
  <c r="E85" i="26"/>
  <c r="F85" i="26"/>
  <c r="G85" i="26"/>
  <c r="H85" i="26"/>
  <c r="I85" i="26"/>
  <c r="J85" i="26"/>
  <c r="K85" i="26"/>
  <c r="L85" i="26"/>
  <c r="M85" i="26"/>
  <c r="A86" i="26"/>
  <c r="B86" i="26"/>
  <c r="C86" i="26"/>
  <c r="N86" i="26" s="1"/>
  <c r="P86" i="26" s="1"/>
  <c r="V86" i="26" s="1"/>
  <c r="D86" i="26"/>
  <c r="E86" i="26"/>
  <c r="F86" i="26"/>
  <c r="G86" i="26"/>
  <c r="H86" i="26"/>
  <c r="I86" i="26"/>
  <c r="J86" i="26"/>
  <c r="K86" i="26"/>
  <c r="L86" i="26"/>
  <c r="M86" i="26"/>
  <c r="O86" i="26"/>
  <c r="Q86" i="26" s="1"/>
  <c r="A87" i="26"/>
  <c r="B87" i="26"/>
  <c r="C87" i="26"/>
  <c r="N87" i="26" s="1"/>
  <c r="P87" i="26" s="1"/>
  <c r="V87" i="26" s="1"/>
  <c r="D87" i="26"/>
  <c r="O87" i="26" s="1"/>
  <c r="Q87" i="26" s="1"/>
  <c r="E87" i="26"/>
  <c r="F87" i="26"/>
  <c r="G87" i="26"/>
  <c r="H87" i="26"/>
  <c r="I87" i="26"/>
  <c r="J87" i="26"/>
  <c r="K87" i="26"/>
  <c r="L87" i="26"/>
  <c r="M87" i="26"/>
  <c r="A88" i="26"/>
  <c r="B88" i="26"/>
  <c r="C88" i="26"/>
  <c r="N88" i="26" s="1"/>
  <c r="P88" i="26" s="1"/>
  <c r="V88" i="26" s="1"/>
  <c r="D88" i="26"/>
  <c r="E88" i="26"/>
  <c r="F88" i="26"/>
  <c r="G88" i="26"/>
  <c r="H88" i="26"/>
  <c r="I88" i="26"/>
  <c r="J88" i="26"/>
  <c r="K88" i="26"/>
  <c r="L88" i="26"/>
  <c r="M88" i="26"/>
  <c r="O88" i="26"/>
  <c r="Q88" i="26" s="1"/>
  <c r="A89" i="26"/>
  <c r="B89" i="26"/>
  <c r="C89" i="26"/>
  <c r="N89" i="26" s="1"/>
  <c r="P89" i="26" s="1"/>
  <c r="V89" i="26" s="1"/>
  <c r="D89" i="26"/>
  <c r="O89" i="26" s="1"/>
  <c r="Q89" i="26" s="1"/>
  <c r="E89" i="26"/>
  <c r="F89" i="26"/>
  <c r="G89" i="26"/>
  <c r="H89" i="26"/>
  <c r="I89" i="26"/>
  <c r="J89" i="26"/>
  <c r="K89" i="26"/>
  <c r="L89" i="26"/>
  <c r="R89" i="26" s="1"/>
  <c r="M89" i="26"/>
  <c r="A90" i="26"/>
  <c r="B90" i="26"/>
  <c r="C90" i="26"/>
  <c r="N90" i="26" s="1"/>
  <c r="P90" i="26" s="1"/>
  <c r="V90" i="26" s="1"/>
  <c r="D90" i="26"/>
  <c r="E90" i="26"/>
  <c r="F90" i="26"/>
  <c r="G90" i="26"/>
  <c r="H90" i="26"/>
  <c r="I90" i="26"/>
  <c r="J90" i="26"/>
  <c r="K90" i="26"/>
  <c r="L90" i="26"/>
  <c r="M90" i="26"/>
  <c r="O90" i="26"/>
  <c r="Q90" i="26" s="1"/>
  <c r="A91" i="26"/>
  <c r="B91" i="26"/>
  <c r="C91" i="26"/>
  <c r="N91" i="26" s="1"/>
  <c r="P91" i="26" s="1"/>
  <c r="V91" i="26" s="1"/>
  <c r="D91" i="26"/>
  <c r="O91" i="26" s="1"/>
  <c r="Q91" i="26" s="1"/>
  <c r="W91" i="26" s="1"/>
  <c r="E91" i="26"/>
  <c r="F91" i="26"/>
  <c r="G91" i="26"/>
  <c r="H91" i="26"/>
  <c r="I91" i="26"/>
  <c r="J91" i="26"/>
  <c r="K91" i="26"/>
  <c r="L91" i="26"/>
  <c r="R91" i="26" s="1"/>
  <c r="M91" i="26"/>
  <c r="A92" i="26"/>
  <c r="B92" i="26"/>
  <c r="C92" i="26"/>
  <c r="N92" i="26" s="1"/>
  <c r="P92" i="26" s="1"/>
  <c r="V92" i="26" s="1"/>
  <c r="D92" i="26"/>
  <c r="E92" i="26"/>
  <c r="F92" i="26"/>
  <c r="G92" i="26"/>
  <c r="H92" i="26"/>
  <c r="I92" i="26"/>
  <c r="J92" i="26"/>
  <c r="K92" i="26"/>
  <c r="L92" i="26"/>
  <c r="M92" i="26"/>
  <c r="O92" i="26"/>
  <c r="Q92" i="26" s="1"/>
  <c r="S92" i="26" s="1"/>
  <c r="A93" i="26"/>
  <c r="B93" i="26"/>
  <c r="C93" i="26"/>
  <c r="N93" i="26" s="1"/>
  <c r="P93" i="26" s="1"/>
  <c r="V93" i="26" s="1"/>
  <c r="D93" i="26"/>
  <c r="O93" i="26" s="1"/>
  <c r="Q93" i="26" s="1"/>
  <c r="W93" i="26" s="1"/>
  <c r="E93" i="26"/>
  <c r="F93" i="26"/>
  <c r="G93" i="26"/>
  <c r="H93" i="26"/>
  <c r="I93" i="26"/>
  <c r="J93" i="26"/>
  <c r="K93" i="26"/>
  <c r="L93" i="26"/>
  <c r="R93" i="26" s="1"/>
  <c r="M93" i="26"/>
  <c r="S93" i="26"/>
  <c r="A94" i="26"/>
  <c r="B94" i="26"/>
  <c r="C94" i="26"/>
  <c r="D94" i="26"/>
  <c r="E94" i="26"/>
  <c r="F94" i="26"/>
  <c r="G94" i="26"/>
  <c r="H94" i="26"/>
  <c r="I94" i="26"/>
  <c r="J94" i="26"/>
  <c r="K94" i="26"/>
  <c r="L94" i="26"/>
  <c r="M94" i="26"/>
  <c r="O94" i="26"/>
  <c r="Q94" i="26" s="1"/>
  <c r="S94" i="26" s="1"/>
  <c r="W94" i="26"/>
  <c r="A95" i="26"/>
  <c r="B95" i="26"/>
  <c r="C95" i="26"/>
  <c r="N95" i="26" s="1"/>
  <c r="P95" i="26" s="1"/>
  <c r="V95" i="26" s="1"/>
  <c r="D95" i="26"/>
  <c r="E95" i="26"/>
  <c r="F95" i="26"/>
  <c r="G95" i="26"/>
  <c r="H95" i="26"/>
  <c r="I95" i="26"/>
  <c r="J95" i="26"/>
  <c r="K95" i="26"/>
  <c r="L95" i="26"/>
  <c r="M95" i="26"/>
  <c r="A96" i="26"/>
  <c r="B96" i="26"/>
  <c r="C96" i="26"/>
  <c r="D96" i="26"/>
  <c r="E96" i="26"/>
  <c r="F96" i="26"/>
  <c r="G96" i="26"/>
  <c r="H96" i="26"/>
  <c r="I96" i="26"/>
  <c r="J96" i="26"/>
  <c r="K96" i="26"/>
  <c r="L96" i="26"/>
  <c r="M96" i="26"/>
  <c r="O96" i="26"/>
  <c r="Q96" i="26" s="1"/>
  <c r="S96" i="26" s="1"/>
  <c r="W96" i="26"/>
  <c r="A97" i="26"/>
  <c r="B97" i="26"/>
  <c r="C97" i="26"/>
  <c r="N97" i="26" s="1"/>
  <c r="P97" i="26" s="1"/>
  <c r="V97" i="26" s="1"/>
  <c r="D97" i="26"/>
  <c r="E97" i="26"/>
  <c r="F97" i="26"/>
  <c r="G97" i="26"/>
  <c r="H97" i="26"/>
  <c r="I97" i="26"/>
  <c r="J97" i="26"/>
  <c r="K97" i="26"/>
  <c r="L97" i="26"/>
  <c r="M97" i="26"/>
  <c r="A98" i="26"/>
  <c r="B98" i="26"/>
  <c r="C98" i="26"/>
  <c r="N98" i="26" s="1"/>
  <c r="P98" i="26" s="1"/>
  <c r="V98" i="26" s="1"/>
  <c r="D98" i="26"/>
  <c r="E98" i="26"/>
  <c r="F98" i="26"/>
  <c r="G98" i="26"/>
  <c r="H98" i="26"/>
  <c r="I98" i="26"/>
  <c r="J98" i="26"/>
  <c r="K98" i="26"/>
  <c r="L98" i="26"/>
  <c r="R98" i="26" s="1"/>
  <c r="M98" i="26"/>
  <c r="O98" i="26"/>
  <c r="Q98" i="26" s="1"/>
  <c r="S98" i="26" s="1"/>
  <c r="A99" i="26"/>
  <c r="B99" i="26"/>
  <c r="C99" i="26"/>
  <c r="N99" i="26" s="1"/>
  <c r="P99" i="26" s="1"/>
  <c r="V99" i="26" s="1"/>
  <c r="D99" i="26"/>
  <c r="O99" i="26" s="1"/>
  <c r="Q99" i="26" s="1"/>
  <c r="W99" i="26" s="1"/>
  <c r="E99" i="26"/>
  <c r="F99" i="26"/>
  <c r="G99" i="26"/>
  <c r="H99" i="26"/>
  <c r="I99" i="26"/>
  <c r="J99" i="26"/>
  <c r="K99" i="26"/>
  <c r="L99" i="26"/>
  <c r="R99" i="26" s="1"/>
  <c r="M99" i="26"/>
  <c r="A100" i="26"/>
  <c r="B100" i="26"/>
  <c r="C100" i="26"/>
  <c r="N100" i="26" s="1"/>
  <c r="P100" i="26" s="1"/>
  <c r="V100" i="26" s="1"/>
  <c r="D100" i="26"/>
  <c r="E100" i="26"/>
  <c r="F100" i="26"/>
  <c r="G100" i="26"/>
  <c r="H100" i="26"/>
  <c r="I100" i="26"/>
  <c r="J100" i="26"/>
  <c r="K100" i="26"/>
  <c r="L100" i="26"/>
  <c r="M100" i="26"/>
  <c r="O100" i="26"/>
  <c r="Q100" i="26" s="1"/>
  <c r="S100" i="26" s="1"/>
  <c r="A101" i="26"/>
  <c r="B101" i="26"/>
  <c r="C101" i="26"/>
  <c r="N101" i="26" s="1"/>
  <c r="P101" i="26" s="1"/>
  <c r="V101" i="26" s="1"/>
  <c r="D101" i="26"/>
  <c r="O101" i="26" s="1"/>
  <c r="Q101" i="26" s="1"/>
  <c r="W101" i="26" s="1"/>
  <c r="E101" i="26"/>
  <c r="F101" i="26"/>
  <c r="G101" i="26"/>
  <c r="H101" i="26"/>
  <c r="I101" i="26"/>
  <c r="J101" i="26"/>
  <c r="K101" i="26"/>
  <c r="L101" i="26"/>
  <c r="R101" i="26" s="1"/>
  <c r="M101" i="26"/>
  <c r="S101" i="26"/>
  <c r="A102" i="26"/>
  <c r="B102" i="26"/>
  <c r="C102" i="26"/>
  <c r="D102" i="26"/>
  <c r="E102" i="26"/>
  <c r="F102" i="26"/>
  <c r="G102" i="26"/>
  <c r="H102" i="26"/>
  <c r="I102" i="26"/>
  <c r="J102" i="26"/>
  <c r="K102" i="26"/>
  <c r="L102" i="26"/>
  <c r="M102" i="26"/>
  <c r="O102" i="26"/>
  <c r="Q102" i="26" s="1"/>
  <c r="S102" i="26" s="1"/>
  <c r="W102" i="26"/>
  <c r="A103" i="26"/>
  <c r="B103" i="26"/>
  <c r="C103" i="26"/>
  <c r="N103" i="26" s="1"/>
  <c r="P103" i="26" s="1"/>
  <c r="V103" i="26" s="1"/>
  <c r="D103" i="26"/>
  <c r="E103" i="26"/>
  <c r="F103" i="26"/>
  <c r="G103" i="26"/>
  <c r="H103" i="26"/>
  <c r="I103" i="26"/>
  <c r="J103" i="26"/>
  <c r="K103" i="26"/>
  <c r="L103" i="26"/>
  <c r="M103" i="26"/>
  <c r="A104" i="26"/>
  <c r="B104" i="26"/>
  <c r="C104" i="26"/>
  <c r="D104" i="26"/>
  <c r="E104" i="26"/>
  <c r="F104" i="26"/>
  <c r="G104" i="26"/>
  <c r="H104" i="26"/>
  <c r="I104" i="26"/>
  <c r="J104" i="26"/>
  <c r="K104" i="26"/>
  <c r="L104" i="26"/>
  <c r="M104" i="26"/>
  <c r="O104" i="26"/>
  <c r="Q104" i="26" s="1"/>
  <c r="S104" i="26" s="1"/>
  <c r="W104" i="26"/>
  <c r="A105" i="26"/>
  <c r="B105" i="26"/>
  <c r="C105" i="26"/>
  <c r="N105" i="26" s="1"/>
  <c r="P105" i="26" s="1"/>
  <c r="V105" i="26" s="1"/>
  <c r="D105" i="26"/>
  <c r="E105" i="26"/>
  <c r="F105" i="26"/>
  <c r="G105" i="26"/>
  <c r="H105" i="26"/>
  <c r="I105" i="26"/>
  <c r="J105" i="26"/>
  <c r="K105" i="26"/>
  <c r="L105" i="26"/>
  <c r="M105" i="26"/>
  <c r="A106" i="26"/>
  <c r="B106" i="26"/>
  <c r="C106" i="26"/>
  <c r="N106" i="26" s="1"/>
  <c r="P106" i="26" s="1"/>
  <c r="V106" i="26" s="1"/>
  <c r="D106" i="26"/>
  <c r="E106" i="26"/>
  <c r="F106" i="26"/>
  <c r="G106" i="26"/>
  <c r="H106" i="26"/>
  <c r="I106" i="26"/>
  <c r="J106" i="26"/>
  <c r="K106" i="26"/>
  <c r="L106" i="26"/>
  <c r="R106" i="26" s="1"/>
  <c r="M106" i="26"/>
  <c r="O106" i="26"/>
  <c r="Q106" i="26" s="1"/>
  <c r="S106" i="26" s="1"/>
  <c r="A107" i="26"/>
  <c r="B107" i="26"/>
  <c r="C107" i="26"/>
  <c r="N107" i="26" s="1"/>
  <c r="P107" i="26" s="1"/>
  <c r="V107" i="26" s="1"/>
  <c r="D107" i="26"/>
  <c r="O107" i="26" s="1"/>
  <c r="Q107" i="26" s="1"/>
  <c r="W107" i="26" s="1"/>
  <c r="E107" i="26"/>
  <c r="F107" i="26"/>
  <c r="G107" i="26"/>
  <c r="H107" i="26"/>
  <c r="I107" i="26"/>
  <c r="J107" i="26"/>
  <c r="K107" i="26"/>
  <c r="L107" i="26"/>
  <c r="R107" i="26" s="1"/>
  <c r="M107" i="26"/>
  <c r="A108" i="26"/>
  <c r="B108" i="26"/>
  <c r="C108" i="26"/>
  <c r="N108" i="26" s="1"/>
  <c r="P108" i="26" s="1"/>
  <c r="V108" i="26" s="1"/>
  <c r="D108" i="26"/>
  <c r="E108" i="26"/>
  <c r="F108" i="26"/>
  <c r="G108" i="26"/>
  <c r="H108" i="26"/>
  <c r="I108" i="26"/>
  <c r="J108" i="26"/>
  <c r="K108" i="26"/>
  <c r="L108" i="26"/>
  <c r="M108" i="26"/>
  <c r="O108" i="26"/>
  <c r="Q108" i="26" s="1"/>
  <c r="S108" i="26" s="1"/>
  <c r="A109" i="26"/>
  <c r="B109" i="26"/>
  <c r="C109" i="26"/>
  <c r="N109" i="26" s="1"/>
  <c r="P109" i="26" s="1"/>
  <c r="V109" i="26" s="1"/>
  <c r="D109" i="26"/>
  <c r="O109" i="26" s="1"/>
  <c r="Q109" i="26" s="1"/>
  <c r="W109" i="26" s="1"/>
  <c r="E109" i="26"/>
  <c r="F109" i="26"/>
  <c r="G109" i="26"/>
  <c r="H109" i="26"/>
  <c r="I109" i="26"/>
  <c r="J109" i="26"/>
  <c r="K109" i="26"/>
  <c r="L109" i="26"/>
  <c r="R109" i="26" s="1"/>
  <c r="M109" i="26"/>
  <c r="S109" i="26"/>
  <c r="A110" i="26"/>
  <c r="B110" i="26"/>
  <c r="N110" i="26" s="1"/>
  <c r="P110" i="26" s="1"/>
  <c r="V110" i="26" s="1"/>
  <c r="Y110" i="26" s="1"/>
  <c r="C110" i="26"/>
  <c r="D110" i="26"/>
  <c r="E110" i="26"/>
  <c r="F110" i="26"/>
  <c r="G110" i="26"/>
  <c r="H110" i="26"/>
  <c r="I110" i="26"/>
  <c r="J110" i="26"/>
  <c r="K110" i="26"/>
  <c r="L110" i="26"/>
  <c r="M110" i="26"/>
  <c r="S110" i="26" s="1"/>
  <c r="O110" i="26"/>
  <c r="Q110" i="26" s="1"/>
  <c r="W110" i="26"/>
  <c r="D111" i="26"/>
  <c r="B8" i="25"/>
  <c r="C8" i="25"/>
  <c r="D8" i="25"/>
  <c r="E8" i="25"/>
  <c r="F8" i="25"/>
  <c r="G8" i="25"/>
  <c r="H8" i="25"/>
  <c r="I8" i="25"/>
  <c r="J8" i="25"/>
  <c r="K8" i="25"/>
  <c r="A11" i="25"/>
  <c r="B11" i="25"/>
  <c r="O11" i="25" s="1"/>
  <c r="Q11" i="25" s="1"/>
  <c r="W11" i="25" s="1"/>
  <c r="C11" i="25"/>
  <c r="D11" i="25"/>
  <c r="E11" i="25"/>
  <c r="F11" i="25"/>
  <c r="G11" i="25"/>
  <c r="H11" i="25"/>
  <c r="I11" i="25"/>
  <c r="J11" i="25"/>
  <c r="K11" i="25"/>
  <c r="L11" i="25"/>
  <c r="M11" i="25"/>
  <c r="N11" i="25"/>
  <c r="P11" i="25" s="1"/>
  <c r="V11" i="25" s="1"/>
  <c r="A12" i="25"/>
  <c r="B12" i="25"/>
  <c r="O12" i="25" s="1"/>
  <c r="Q12" i="25" s="1"/>
  <c r="W12" i="25" s="1"/>
  <c r="C12" i="25"/>
  <c r="D12" i="25"/>
  <c r="E12" i="25"/>
  <c r="F12" i="25"/>
  <c r="G12" i="25"/>
  <c r="H12" i="25"/>
  <c r="I12" i="25"/>
  <c r="N12" i="25" s="1"/>
  <c r="P12" i="25" s="1"/>
  <c r="J12" i="25"/>
  <c r="K12" i="25"/>
  <c r="L12" i="25"/>
  <c r="M12" i="25"/>
  <c r="A13" i="25"/>
  <c r="B13" i="25"/>
  <c r="O13" i="25" s="1"/>
  <c r="Q13" i="25" s="1"/>
  <c r="W13" i="25" s="1"/>
  <c r="C13" i="25"/>
  <c r="D13" i="25"/>
  <c r="E13" i="25"/>
  <c r="F13" i="25"/>
  <c r="G13" i="25"/>
  <c r="H13" i="25"/>
  <c r="I13" i="25"/>
  <c r="J13" i="25"/>
  <c r="K13" i="25"/>
  <c r="L13" i="25"/>
  <c r="R13" i="25" s="1"/>
  <c r="M13" i="25"/>
  <c r="S13" i="25" s="1"/>
  <c r="N13" i="25"/>
  <c r="P13" i="25" s="1"/>
  <c r="V13" i="25" s="1"/>
  <c r="A14" i="25"/>
  <c r="B14" i="25"/>
  <c r="O14" i="25" s="1"/>
  <c r="Q14" i="25" s="1"/>
  <c r="W14" i="25" s="1"/>
  <c r="C14" i="25"/>
  <c r="D14" i="25"/>
  <c r="E14" i="25"/>
  <c r="F14" i="25"/>
  <c r="G14" i="25"/>
  <c r="H14" i="25"/>
  <c r="I14" i="25"/>
  <c r="N14" i="25" s="1"/>
  <c r="P14" i="25" s="1"/>
  <c r="J14" i="25"/>
  <c r="K14" i="25"/>
  <c r="L14" i="25"/>
  <c r="M14" i="25"/>
  <c r="A15" i="25"/>
  <c r="B15" i="25"/>
  <c r="O15" i="25" s="1"/>
  <c r="Q15" i="25" s="1"/>
  <c r="W15" i="25" s="1"/>
  <c r="C15" i="25"/>
  <c r="D15" i="25"/>
  <c r="E15" i="25"/>
  <c r="F15" i="25"/>
  <c r="G15" i="25"/>
  <c r="H15" i="25"/>
  <c r="I15" i="25"/>
  <c r="N15" i="25" s="1"/>
  <c r="P15" i="25" s="1"/>
  <c r="V15" i="25" s="1"/>
  <c r="J15" i="25"/>
  <c r="K15" i="25"/>
  <c r="L15" i="25"/>
  <c r="R15" i="25" s="1"/>
  <c r="M15" i="25"/>
  <c r="A16" i="25"/>
  <c r="B16" i="25"/>
  <c r="O16" i="25" s="1"/>
  <c r="Q16" i="25" s="1"/>
  <c r="W16" i="25" s="1"/>
  <c r="C16" i="25"/>
  <c r="D16" i="25"/>
  <c r="E16" i="25"/>
  <c r="F16" i="25"/>
  <c r="G16" i="25"/>
  <c r="H16" i="25"/>
  <c r="I16" i="25"/>
  <c r="N16" i="25" s="1"/>
  <c r="P16" i="25" s="1"/>
  <c r="J16" i="25"/>
  <c r="K16" i="25"/>
  <c r="L16" i="25"/>
  <c r="M16" i="25"/>
  <c r="S16" i="25" s="1"/>
  <c r="A17" i="25"/>
  <c r="B17" i="25"/>
  <c r="O17" i="25" s="1"/>
  <c r="Q17" i="25" s="1"/>
  <c r="W17" i="25" s="1"/>
  <c r="C17" i="25"/>
  <c r="D17" i="25"/>
  <c r="E17" i="25"/>
  <c r="F17" i="25"/>
  <c r="G17" i="25"/>
  <c r="H17" i="25"/>
  <c r="I17" i="25"/>
  <c r="N17" i="25" s="1"/>
  <c r="P17" i="25" s="1"/>
  <c r="V17" i="25" s="1"/>
  <c r="J17" i="25"/>
  <c r="K17" i="25"/>
  <c r="L17" i="25"/>
  <c r="R17" i="25" s="1"/>
  <c r="M17" i="25"/>
  <c r="A18" i="25"/>
  <c r="B18" i="25"/>
  <c r="O18" i="25" s="1"/>
  <c r="Q18" i="25" s="1"/>
  <c r="W18" i="25" s="1"/>
  <c r="C18" i="25"/>
  <c r="D18" i="25"/>
  <c r="E18" i="25"/>
  <c r="F18" i="25"/>
  <c r="G18" i="25"/>
  <c r="H18" i="25"/>
  <c r="I18" i="25"/>
  <c r="N18" i="25" s="1"/>
  <c r="P18" i="25" s="1"/>
  <c r="J18" i="25"/>
  <c r="K18" i="25"/>
  <c r="L18" i="25"/>
  <c r="M18" i="25"/>
  <c r="S18" i="25" s="1"/>
  <c r="A19" i="25"/>
  <c r="B19" i="25"/>
  <c r="O19" i="25" s="1"/>
  <c r="Q19" i="25" s="1"/>
  <c r="W19" i="25" s="1"/>
  <c r="C19" i="25"/>
  <c r="D19" i="25"/>
  <c r="E19" i="25"/>
  <c r="F19" i="25"/>
  <c r="G19" i="25"/>
  <c r="H19" i="25"/>
  <c r="I19" i="25"/>
  <c r="N19" i="25" s="1"/>
  <c r="P19" i="25" s="1"/>
  <c r="V19" i="25" s="1"/>
  <c r="J19" i="25"/>
  <c r="K19" i="25"/>
  <c r="L19" i="25"/>
  <c r="M19" i="25"/>
  <c r="S19" i="25" s="1"/>
  <c r="A20" i="25"/>
  <c r="B20" i="25"/>
  <c r="O20" i="25" s="1"/>
  <c r="Q20" i="25" s="1"/>
  <c r="W20" i="25" s="1"/>
  <c r="C20" i="25"/>
  <c r="D20" i="25"/>
  <c r="E20" i="25"/>
  <c r="F20" i="25"/>
  <c r="G20" i="25"/>
  <c r="H20" i="25"/>
  <c r="I20" i="25"/>
  <c r="N20" i="25" s="1"/>
  <c r="P20" i="25" s="1"/>
  <c r="J20" i="25"/>
  <c r="K20" i="25"/>
  <c r="L20" i="25"/>
  <c r="M20" i="25"/>
  <c r="S20" i="25" s="1"/>
  <c r="A21" i="25"/>
  <c r="B21" i="25"/>
  <c r="O21" i="25" s="1"/>
  <c r="Q21" i="25" s="1"/>
  <c r="W21" i="25" s="1"/>
  <c r="C21" i="25"/>
  <c r="D21" i="25"/>
  <c r="E21" i="25"/>
  <c r="F21" i="25"/>
  <c r="G21" i="25"/>
  <c r="H21" i="25"/>
  <c r="I21" i="25"/>
  <c r="N21" i="25" s="1"/>
  <c r="P21" i="25" s="1"/>
  <c r="V21" i="25" s="1"/>
  <c r="Y21" i="25" s="1"/>
  <c r="J21" i="25"/>
  <c r="K21" i="25"/>
  <c r="L21" i="25"/>
  <c r="R21" i="25" s="1"/>
  <c r="M21" i="25"/>
  <c r="A22" i="25"/>
  <c r="B22" i="25"/>
  <c r="O22" i="25" s="1"/>
  <c r="Q22" i="25" s="1"/>
  <c r="W22" i="25" s="1"/>
  <c r="C22" i="25"/>
  <c r="D22" i="25"/>
  <c r="E22" i="25"/>
  <c r="F22" i="25"/>
  <c r="G22" i="25"/>
  <c r="H22" i="25"/>
  <c r="I22" i="25"/>
  <c r="N22" i="25" s="1"/>
  <c r="P22" i="25" s="1"/>
  <c r="J22" i="25"/>
  <c r="K22" i="25"/>
  <c r="L22" i="25"/>
  <c r="M22" i="25"/>
  <c r="A23" i="25"/>
  <c r="B23" i="25"/>
  <c r="O23" i="25" s="1"/>
  <c r="Q23" i="25" s="1"/>
  <c r="W23" i="25" s="1"/>
  <c r="C23" i="25"/>
  <c r="D23" i="25"/>
  <c r="E23" i="25"/>
  <c r="F23" i="25"/>
  <c r="G23" i="25"/>
  <c r="H23" i="25"/>
  <c r="I23" i="25"/>
  <c r="N23" i="25" s="1"/>
  <c r="P23" i="25" s="1"/>
  <c r="V23" i="25" s="1"/>
  <c r="J23" i="25"/>
  <c r="K23" i="25"/>
  <c r="L23" i="25"/>
  <c r="R23" i="25" s="1"/>
  <c r="M23" i="25"/>
  <c r="A24" i="25"/>
  <c r="B24" i="25"/>
  <c r="O24" i="25" s="1"/>
  <c r="Q24" i="25" s="1"/>
  <c r="W24" i="25" s="1"/>
  <c r="C24" i="25"/>
  <c r="D24" i="25"/>
  <c r="E24" i="25"/>
  <c r="F24" i="25"/>
  <c r="G24" i="25"/>
  <c r="H24" i="25"/>
  <c r="I24" i="25"/>
  <c r="N24" i="25" s="1"/>
  <c r="P24" i="25" s="1"/>
  <c r="J24" i="25"/>
  <c r="K24" i="25"/>
  <c r="L24" i="25"/>
  <c r="M24" i="25"/>
  <c r="S24" i="25" s="1"/>
  <c r="A25" i="25"/>
  <c r="B25" i="25"/>
  <c r="O25" i="25" s="1"/>
  <c r="Q25" i="25" s="1"/>
  <c r="W25" i="25" s="1"/>
  <c r="C25" i="25"/>
  <c r="D25" i="25"/>
  <c r="E25" i="25"/>
  <c r="F25" i="25"/>
  <c r="G25" i="25"/>
  <c r="H25" i="25"/>
  <c r="I25" i="25"/>
  <c r="N25" i="25" s="1"/>
  <c r="P25" i="25" s="1"/>
  <c r="V25" i="25" s="1"/>
  <c r="J25" i="25"/>
  <c r="K25" i="25"/>
  <c r="L25" i="25"/>
  <c r="R25" i="25" s="1"/>
  <c r="M25" i="25"/>
  <c r="A26" i="25"/>
  <c r="B26" i="25"/>
  <c r="O26" i="25" s="1"/>
  <c r="Q26" i="25" s="1"/>
  <c r="W26" i="25" s="1"/>
  <c r="C26" i="25"/>
  <c r="D26" i="25"/>
  <c r="E26" i="25"/>
  <c r="F26" i="25"/>
  <c r="G26" i="25"/>
  <c r="H26" i="25"/>
  <c r="I26" i="25"/>
  <c r="N26" i="25" s="1"/>
  <c r="P26" i="25" s="1"/>
  <c r="J26" i="25"/>
  <c r="K26" i="25"/>
  <c r="L26" i="25"/>
  <c r="M26" i="25"/>
  <c r="S26" i="25" s="1"/>
  <c r="A27" i="25"/>
  <c r="B27" i="25"/>
  <c r="O27" i="25" s="1"/>
  <c r="Q27" i="25" s="1"/>
  <c r="W27" i="25" s="1"/>
  <c r="C27" i="25"/>
  <c r="D27" i="25"/>
  <c r="E27" i="25"/>
  <c r="F27" i="25"/>
  <c r="G27" i="25"/>
  <c r="H27" i="25"/>
  <c r="I27" i="25"/>
  <c r="N27" i="25" s="1"/>
  <c r="P27" i="25" s="1"/>
  <c r="V27" i="25" s="1"/>
  <c r="J27" i="25"/>
  <c r="K27" i="25"/>
  <c r="L27" i="25"/>
  <c r="M27" i="25"/>
  <c r="S27" i="25" s="1"/>
  <c r="A28" i="25"/>
  <c r="B28" i="25"/>
  <c r="O28" i="25" s="1"/>
  <c r="Q28" i="25" s="1"/>
  <c r="W28" i="25" s="1"/>
  <c r="C28" i="25"/>
  <c r="D28" i="25"/>
  <c r="E28" i="25"/>
  <c r="F28" i="25"/>
  <c r="G28" i="25"/>
  <c r="H28" i="25"/>
  <c r="I28" i="25"/>
  <c r="N28" i="25" s="1"/>
  <c r="P28" i="25" s="1"/>
  <c r="J28" i="25"/>
  <c r="K28" i="25"/>
  <c r="L28" i="25"/>
  <c r="M28" i="25"/>
  <c r="S28" i="25" s="1"/>
  <c r="A29" i="25"/>
  <c r="B29" i="25"/>
  <c r="O29" i="25" s="1"/>
  <c r="Q29" i="25" s="1"/>
  <c r="W29" i="25" s="1"/>
  <c r="C29" i="25"/>
  <c r="D29" i="25"/>
  <c r="E29" i="25"/>
  <c r="F29" i="25"/>
  <c r="G29" i="25"/>
  <c r="H29" i="25"/>
  <c r="I29" i="25"/>
  <c r="N29" i="25" s="1"/>
  <c r="P29" i="25" s="1"/>
  <c r="V29" i="25" s="1"/>
  <c r="Y29" i="25" s="1"/>
  <c r="J29" i="25"/>
  <c r="K29" i="25"/>
  <c r="L29" i="25"/>
  <c r="R29" i="25" s="1"/>
  <c r="M29" i="25"/>
  <c r="A30" i="25"/>
  <c r="B30" i="25"/>
  <c r="O30" i="25" s="1"/>
  <c r="Q30" i="25" s="1"/>
  <c r="W30" i="25" s="1"/>
  <c r="C30" i="25"/>
  <c r="D30" i="25"/>
  <c r="E30" i="25"/>
  <c r="F30" i="25"/>
  <c r="G30" i="25"/>
  <c r="H30" i="25"/>
  <c r="I30" i="25"/>
  <c r="N30" i="25" s="1"/>
  <c r="P30" i="25" s="1"/>
  <c r="J30" i="25"/>
  <c r="K30" i="25"/>
  <c r="L30" i="25"/>
  <c r="M30" i="25"/>
  <c r="A31" i="25"/>
  <c r="B31" i="25"/>
  <c r="O31" i="25" s="1"/>
  <c r="Q31" i="25" s="1"/>
  <c r="W31" i="25" s="1"/>
  <c r="C31" i="25"/>
  <c r="D31" i="25"/>
  <c r="E31" i="25"/>
  <c r="F31" i="25"/>
  <c r="G31" i="25"/>
  <c r="H31" i="25"/>
  <c r="I31" i="25"/>
  <c r="N31" i="25" s="1"/>
  <c r="P31" i="25" s="1"/>
  <c r="V31" i="25" s="1"/>
  <c r="J31" i="25"/>
  <c r="K31" i="25"/>
  <c r="L31" i="25"/>
  <c r="R31" i="25" s="1"/>
  <c r="M31" i="25"/>
  <c r="A32" i="25"/>
  <c r="B32" i="25"/>
  <c r="O32" i="25" s="1"/>
  <c r="Q32" i="25" s="1"/>
  <c r="W32" i="25" s="1"/>
  <c r="C32" i="25"/>
  <c r="D32" i="25"/>
  <c r="E32" i="25"/>
  <c r="F32" i="25"/>
  <c r="G32" i="25"/>
  <c r="H32" i="25"/>
  <c r="I32" i="25"/>
  <c r="N32" i="25" s="1"/>
  <c r="P32" i="25" s="1"/>
  <c r="J32" i="25"/>
  <c r="K32" i="25"/>
  <c r="L32" i="25"/>
  <c r="M32" i="25"/>
  <c r="S32" i="25" s="1"/>
  <c r="A33" i="25"/>
  <c r="B33" i="25"/>
  <c r="O33" i="25" s="1"/>
  <c r="Q33" i="25" s="1"/>
  <c r="W33" i="25" s="1"/>
  <c r="C33" i="25"/>
  <c r="D33" i="25"/>
  <c r="E33" i="25"/>
  <c r="F33" i="25"/>
  <c r="G33" i="25"/>
  <c r="H33" i="25"/>
  <c r="I33" i="25"/>
  <c r="N33" i="25" s="1"/>
  <c r="P33" i="25" s="1"/>
  <c r="V33" i="25" s="1"/>
  <c r="J33" i="25"/>
  <c r="K33" i="25"/>
  <c r="L33" i="25"/>
  <c r="R33" i="25" s="1"/>
  <c r="M33" i="25"/>
  <c r="A34" i="25"/>
  <c r="B34" i="25"/>
  <c r="O34" i="25" s="1"/>
  <c r="Q34" i="25" s="1"/>
  <c r="W34" i="25" s="1"/>
  <c r="C34" i="25"/>
  <c r="D34" i="25"/>
  <c r="E34" i="25"/>
  <c r="F34" i="25"/>
  <c r="G34" i="25"/>
  <c r="H34" i="25"/>
  <c r="I34" i="25"/>
  <c r="N34" i="25" s="1"/>
  <c r="P34" i="25" s="1"/>
  <c r="J34" i="25"/>
  <c r="K34" i="25"/>
  <c r="L34" i="25"/>
  <c r="M34" i="25"/>
  <c r="S34" i="25" s="1"/>
  <c r="A35" i="25"/>
  <c r="B35" i="25"/>
  <c r="O35" i="25" s="1"/>
  <c r="Q35" i="25" s="1"/>
  <c r="W35" i="25" s="1"/>
  <c r="C35" i="25"/>
  <c r="D35" i="25"/>
  <c r="E35" i="25"/>
  <c r="F35" i="25"/>
  <c r="G35" i="25"/>
  <c r="H35" i="25"/>
  <c r="I35" i="25"/>
  <c r="N35" i="25" s="1"/>
  <c r="P35" i="25" s="1"/>
  <c r="V35" i="25" s="1"/>
  <c r="J35" i="25"/>
  <c r="K35" i="25"/>
  <c r="L35" i="25"/>
  <c r="M35" i="25"/>
  <c r="S35" i="25" s="1"/>
  <c r="A36" i="25"/>
  <c r="B36" i="25"/>
  <c r="O36" i="25" s="1"/>
  <c r="C36" i="25"/>
  <c r="D36" i="25"/>
  <c r="E36" i="25"/>
  <c r="F36" i="25"/>
  <c r="G36" i="25"/>
  <c r="H36" i="25"/>
  <c r="I36" i="25"/>
  <c r="N36" i="25" s="1"/>
  <c r="P36" i="25" s="1"/>
  <c r="J36" i="25"/>
  <c r="K36" i="25"/>
  <c r="L36" i="25"/>
  <c r="M36" i="25"/>
  <c r="S36" i="25" s="1"/>
  <c r="Q36" i="25"/>
  <c r="W36" i="25" s="1"/>
  <c r="A37" i="25"/>
  <c r="B37" i="25"/>
  <c r="O37" i="25" s="1"/>
  <c r="Q37" i="25" s="1"/>
  <c r="W37" i="25" s="1"/>
  <c r="C37" i="25"/>
  <c r="D37" i="25"/>
  <c r="E37" i="25"/>
  <c r="F37" i="25"/>
  <c r="G37" i="25"/>
  <c r="H37" i="25"/>
  <c r="I37" i="25"/>
  <c r="N37" i="25" s="1"/>
  <c r="P37" i="25" s="1"/>
  <c r="V37" i="25" s="1"/>
  <c r="Y37" i="25" s="1"/>
  <c r="J37" i="25"/>
  <c r="K37" i="25"/>
  <c r="L37" i="25"/>
  <c r="R37" i="25" s="1"/>
  <c r="M37" i="25"/>
  <c r="A38" i="25"/>
  <c r="B38" i="25"/>
  <c r="O38" i="25" s="1"/>
  <c r="Q38" i="25" s="1"/>
  <c r="W38" i="25" s="1"/>
  <c r="C38" i="25"/>
  <c r="D38" i="25"/>
  <c r="E38" i="25"/>
  <c r="F38" i="25"/>
  <c r="G38" i="25"/>
  <c r="H38" i="25"/>
  <c r="I38" i="25"/>
  <c r="N38" i="25" s="1"/>
  <c r="P38" i="25" s="1"/>
  <c r="J38" i="25"/>
  <c r="K38" i="25"/>
  <c r="L38" i="25"/>
  <c r="M38" i="25"/>
  <c r="A39" i="25"/>
  <c r="B39" i="25"/>
  <c r="O39" i="25" s="1"/>
  <c r="Q39" i="25" s="1"/>
  <c r="W39" i="25" s="1"/>
  <c r="C39" i="25"/>
  <c r="D39" i="25"/>
  <c r="E39" i="25"/>
  <c r="F39" i="25"/>
  <c r="G39" i="25"/>
  <c r="H39" i="25"/>
  <c r="I39" i="25"/>
  <c r="N39" i="25" s="1"/>
  <c r="P39" i="25" s="1"/>
  <c r="V39" i="25" s="1"/>
  <c r="J39" i="25"/>
  <c r="K39" i="25"/>
  <c r="L39" i="25"/>
  <c r="R39" i="25" s="1"/>
  <c r="M39" i="25"/>
  <c r="A40" i="25"/>
  <c r="B40" i="25"/>
  <c r="O40" i="25" s="1"/>
  <c r="Q40" i="25" s="1"/>
  <c r="W40" i="25" s="1"/>
  <c r="C40" i="25"/>
  <c r="D40" i="25"/>
  <c r="E40" i="25"/>
  <c r="F40" i="25"/>
  <c r="G40" i="25"/>
  <c r="H40" i="25"/>
  <c r="I40" i="25"/>
  <c r="N40" i="25" s="1"/>
  <c r="P40" i="25" s="1"/>
  <c r="J40" i="25"/>
  <c r="K40" i="25"/>
  <c r="L40" i="25"/>
  <c r="M40" i="25"/>
  <c r="A41" i="25"/>
  <c r="B41" i="25"/>
  <c r="O41" i="25" s="1"/>
  <c r="Q41" i="25" s="1"/>
  <c r="W41" i="25" s="1"/>
  <c r="C41" i="25"/>
  <c r="D41" i="25"/>
  <c r="E41" i="25"/>
  <c r="F41" i="25"/>
  <c r="G41" i="25"/>
  <c r="H41" i="25"/>
  <c r="I41" i="25"/>
  <c r="N41" i="25" s="1"/>
  <c r="P41" i="25" s="1"/>
  <c r="V41" i="25" s="1"/>
  <c r="Y41" i="25" s="1"/>
  <c r="J41" i="25"/>
  <c r="K41" i="25"/>
  <c r="L41" i="25"/>
  <c r="M41" i="25"/>
  <c r="A42" i="25"/>
  <c r="B42" i="25"/>
  <c r="O42" i="25" s="1"/>
  <c r="Q42" i="25" s="1"/>
  <c r="W42" i="25" s="1"/>
  <c r="C42" i="25"/>
  <c r="D42" i="25"/>
  <c r="E42" i="25"/>
  <c r="F42" i="25"/>
  <c r="G42" i="25"/>
  <c r="H42" i="25"/>
  <c r="I42" i="25"/>
  <c r="N42" i="25" s="1"/>
  <c r="P42" i="25" s="1"/>
  <c r="J42" i="25"/>
  <c r="K42" i="25"/>
  <c r="L42" i="25"/>
  <c r="M42" i="25"/>
  <c r="A43" i="25"/>
  <c r="B43" i="25"/>
  <c r="C43" i="25"/>
  <c r="D43" i="25"/>
  <c r="E43" i="25"/>
  <c r="F43" i="25"/>
  <c r="G43" i="25"/>
  <c r="H43" i="25"/>
  <c r="I43" i="25"/>
  <c r="J43" i="25"/>
  <c r="K43" i="25"/>
  <c r="L43" i="25"/>
  <c r="M43" i="25"/>
  <c r="N43" i="25"/>
  <c r="P43" i="25" s="1"/>
  <c r="A44" i="25"/>
  <c r="B44" i="25"/>
  <c r="C44" i="25"/>
  <c r="D44" i="25"/>
  <c r="E44" i="25"/>
  <c r="F44" i="25"/>
  <c r="G44" i="25"/>
  <c r="H44" i="25"/>
  <c r="I44" i="25"/>
  <c r="J44" i="25"/>
  <c r="K44" i="25"/>
  <c r="L44" i="25"/>
  <c r="M44" i="25"/>
  <c r="N44" i="25"/>
  <c r="P44" i="25" s="1"/>
  <c r="A45" i="25"/>
  <c r="B45" i="25"/>
  <c r="C45" i="25"/>
  <c r="D45" i="25"/>
  <c r="E45" i="25"/>
  <c r="F45" i="25"/>
  <c r="G45" i="25"/>
  <c r="H45" i="25"/>
  <c r="I45" i="25"/>
  <c r="J45" i="25"/>
  <c r="K45" i="25"/>
  <c r="L45" i="25"/>
  <c r="M45" i="25"/>
  <c r="N45" i="25"/>
  <c r="P45" i="25" s="1"/>
  <c r="A46" i="25"/>
  <c r="B46" i="25"/>
  <c r="C46" i="25"/>
  <c r="D46" i="25"/>
  <c r="E46" i="25"/>
  <c r="F46" i="25"/>
  <c r="G46" i="25"/>
  <c r="H46" i="25"/>
  <c r="I46" i="25"/>
  <c r="J46" i="25"/>
  <c r="K46" i="25"/>
  <c r="L46" i="25"/>
  <c r="M46" i="25"/>
  <c r="N46" i="25"/>
  <c r="P46" i="25" s="1"/>
  <c r="A47" i="25"/>
  <c r="B47" i="25"/>
  <c r="C47" i="25"/>
  <c r="D47" i="25"/>
  <c r="E47" i="25"/>
  <c r="F47" i="25"/>
  <c r="G47" i="25"/>
  <c r="H47" i="25"/>
  <c r="I47" i="25"/>
  <c r="J47" i="25"/>
  <c r="K47" i="25"/>
  <c r="L47" i="25"/>
  <c r="M47" i="25"/>
  <c r="N47" i="25"/>
  <c r="P47" i="25" s="1"/>
  <c r="A48" i="25"/>
  <c r="B48" i="25"/>
  <c r="C48" i="25"/>
  <c r="D48" i="25"/>
  <c r="E48" i="25"/>
  <c r="F48" i="25"/>
  <c r="G48" i="25"/>
  <c r="H48" i="25"/>
  <c r="I48" i="25"/>
  <c r="J48" i="25"/>
  <c r="K48" i="25"/>
  <c r="L48" i="25"/>
  <c r="M48" i="25"/>
  <c r="N48" i="25"/>
  <c r="P48" i="25" s="1"/>
  <c r="A49" i="25"/>
  <c r="B49" i="25"/>
  <c r="C49" i="25"/>
  <c r="D49" i="25"/>
  <c r="E49" i="25"/>
  <c r="F49" i="25"/>
  <c r="G49" i="25"/>
  <c r="H49" i="25"/>
  <c r="I49" i="25"/>
  <c r="J49" i="25"/>
  <c r="K49" i="25"/>
  <c r="L49" i="25"/>
  <c r="M49" i="25"/>
  <c r="N49" i="25"/>
  <c r="P49" i="25" s="1"/>
  <c r="A50" i="25"/>
  <c r="B50" i="25"/>
  <c r="C50" i="25"/>
  <c r="D50" i="25"/>
  <c r="E50" i="25"/>
  <c r="F50" i="25"/>
  <c r="G50" i="25"/>
  <c r="H50" i="25"/>
  <c r="I50" i="25"/>
  <c r="J50" i="25"/>
  <c r="K50" i="25"/>
  <c r="L50" i="25"/>
  <c r="M50" i="25"/>
  <c r="N50" i="25"/>
  <c r="P50" i="25" s="1"/>
  <c r="A51" i="25"/>
  <c r="B51" i="25"/>
  <c r="C51" i="25"/>
  <c r="D51" i="25"/>
  <c r="E51" i="25"/>
  <c r="F51" i="25"/>
  <c r="G51" i="25"/>
  <c r="H51" i="25"/>
  <c r="I51" i="25"/>
  <c r="J51" i="25"/>
  <c r="K51" i="25"/>
  <c r="L51" i="25"/>
  <c r="M51" i="25"/>
  <c r="N51" i="25"/>
  <c r="P51" i="25" s="1"/>
  <c r="A52" i="25"/>
  <c r="B52" i="25"/>
  <c r="C52" i="25"/>
  <c r="D52" i="25"/>
  <c r="E52" i="25"/>
  <c r="F52" i="25"/>
  <c r="G52" i="25"/>
  <c r="H52" i="25"/>
  <c r="I52" i="25"/>
  <c r="J52" i="25"/>
  <c r="K52" i="25"/>
  <c r="L52" i="25"/>
  <c r="R52" i="25" s="1"/>
  <c r="M52" i="25"/>
  <c r="N52" i="25"/>
  <c r="P52" i="25" s="1"/>
  <c r="V52" i="25" s="1"/>
  <c r="A53" i="25"/>
  <c r="B53" i="25"/>
  <c r="C53" i="25"/>
  <c r="D53" i="25"/>
  <c r="E53" i="25"/>
  <c r="F53" i="25"/>
  <c r="G53" i="25"/>
  <c r="H53" i="25"/>
  <c r="I53" i="25"/>
  <c r="J53" i="25"/>
  <c r="K53" i="25"/>
  <c r="L53" i="25"/>
  <c r="R53" i="25" s="1"/>
  <c r="M53" i="25"/>
  <c r="N53" i="25"/>
  <c r="P53" i="25" s="1"/>
  <c r="V53" i="25" s="1"/>
  <c r="A54" i="25"/>
  <c r="B54" i="25"/>
  <c r="C54" i="25"/>
  <c r="N54" i="25" s="1"/>
  <c r="P54" i="25" s="1"/>
  <c r="D54" i="25"/>
  <c r="E54" i="25"/>
  <c r="F54" i="25"/>
  <c r="G54" i="25"/>
  <c r="H54" i="25"/>
  <c r="I54" i="25"/>
  <c r="J54" i="25"/>
  <c r="K54" i="25"/>
  <c r="L54" i="25"/>
  <c r="M54" i="25"/>
  <c r="O54" i="25"/>
  <c r="Q54" i="25" s="1"/>
  <c r="S54" i="25" s="1"/>
  <c r="A55" i="25"/>
  <c r="B55" i="25"/>
  <c r="C55" i="25"/>
  <c r="D55" i="25"/>
  <c r="E55" i="25"/>
  <c r="F55" i="25"/>
  <c r="G55" i="25"/>
  <c r="H55" i="25"/>
  <c r="I55" i="25"/>
  <c r="J55" i="25"/>
  <c r="K55" i="25"/>
  <c r="L55" i="25"/>
  <c r="M55" i="25"/>
  <c r="O55" i="25"/>
  <c r="Q55" i="25" s="1"/>
  <c r="W55" i="25" s="1"/>
  <c r="S55" i="25"/>
  <c r="A56" i="25"/>
  <c r="B56" i="25"/>
  <c r="C56" i="25"/>
  <c r="N56" i="25" s="1"/>
  <c r="P56" i="25" s="1"/>
  <c r="D56" i="25"/>
  <c r="E56" i="25"/>
  <c r="F56" i="25"/>
  <c r="G56" i="25"/>
  <c r="H56" i="25"/>
  <c r="I56" i="25"/>
  <c r="J56" i="25"/>
  <c r="K56" i="25"/>
  <c r="L56" i="25"/>
  <c r="M56" i="25"/>
  <c r="O56" i="25"/>
  <c r="Q56" i="25" s="1"/>
  <c r="S56" i="25" s="1"/>
  <c r="A57" i="25"/>
  <c r="B57" i="25"/>
  <c r="C57" i="25"/>
  <c r="D57" i="25"/>
  <c r="E57" i="25"/>
  <c r="F57" i="25"/>
  <c r="G57" i="25"/>
  <c r="H57" i="25"/>
  <c r="I57" i="25"/>
  <c r="J57" i="25"/>
  <c r="K57" i="25"/>
  <c r="L57" i="25"/>
  <c r="M57" i="25"/>
  <c r="O57" i="25"/>
  <c r="Q57" i="25" s="1"/>
  <c r="W57" i="25" s="1"/>
  <c r="A58" i="25"/>
  <c r="B58" i="25"/>
  <c r="C58" i="25"/>
  <c r="D58" i="25"/>
  <c r="E58" i="25"/>
  <c r="F58" i="25"/>
  <c r="G58" i="25"/>
  <c r="H58" i="25"/>
  <c r="I58" i="25"/>
  <c r="J58" i="25"/>
  <c r="K58" i="25"/>
  <c r="L58" i="25"/>
  <c r="M58" i="25"/>
  <c r="O58" i="25"/>
  <c r="Q58" i="25" s="1"/>
  <c r="S58" i="25" s="1"/>
  <c r="A59" i="25"/>
  <c r="B59" i="25"/>
  <c r="C59" i="25"/>
  <c r="D59" i="25"/>
  <c r="E59" i="25"/>
  <c r="F59" i="25"/>
  <c r="G59" i="25"/>
  <c r="H59" i="25"/>
  <c r="I59" i="25"/>
  <c r="J59" i="25"/>
  <c r="K59" i="25"/>
  <c r="L59" i="25"/>
  <c r="M59" i="25"/>
  <c r="O59" i="25"/>
  <c r="Q59" i="25" s="1"/>
  <c r="W59" i="25" s="1"/>
  <c r="S59" i="25"/>
  <c r="A60" i="25"/>
  <c r="B60" i="25"/>
  <c r="C60" i="25"/>
  <c r="D60" i="25"/>
  <c r="E60" i="25"/>
  <c r="F60" i="25"/>
  <c r="G60" i="25"/>
  <c r="H60" i="25"/>
  <c r="I60" i="25"/>
  <c r="J60" i="25"/>
  <c r="K60" i="25"/>
  <c r="L60" i="25"/>
  <c r="M60" i="25"/>
  <c r="O60" i="25"/>
  <c r="Q60" i="25" s="1"/>
  <c r="S60" i="25" s="1"/>
  <c r="A61" i="25"/>
  <c r="B61" i="25"/>
  <c r="C61" i="25"/>
  <c r="N61" i="25" s="1"/>
  <c r="P61" i="25" s="1"/>
  <c r="V61" i="25" s="1"/>
  <c r="Y61" i="25" s="1"/>
  <c r="D61" i="25"/>
  <c r="E61" i="25"/>
  <c r="F61" i="25"/>
  <c r="G61" i="25"/>
  <c r="H61" i="25"/>
  <c r="I61" i="25"/>
  <c r="J61" i="25"/>
  <c r="K61" i="25"/>
  <c r="L61" i="25"/>
  <c r="M61" i="25"/>
  <c r="O61" i="25"/>
  <c r="Q61" i="25" s="1"/>
  <c r="W61" i="25" s="1"/>
  <c r="A62" i="25"/>
  <c r="B62" i="25"/>
  <c r="O62" i="25" s="1"/>
  <c r="Q62" i="25" s="1"/>
  <c r="C62" i="25"/>
  <c r="N62" i="25" s="1"/>
  <c r="P62" i="25" s="1"/>
  <c r="V62" i="25" s="1"/>
  <c r="D62" i="25"/>
  <c r="E62" i="25"/>
  <c r="F62" i="25"/>
  <c r="G62" i="25"/>
  <c r="H62" i="25"/>
  <c r="I62" i="25"/>
  <c r="J62" i="25"/>
  <c r="K62" i="25"/>
  <c r="L62" i="25"/>
  <c r="M62" i="25"/>
  <c r="A63" i="25"/>
  <c r="B63" i="25"/>
  <c r="C63" i="25"/>
  <c r="N63" i="25" s="1"/>
  <c r="P63" i="25" s="1"/>
  <c r="V63" i="25" s="1"/>
  <c r="Y63" i="25" s="1"/>
  <c r="D63" i="25"/>
  <c r="E63" i="25"/>
  <c r="F63" i="25"/>
  <c r="G63" i="25"/>
  <c r="H63" i="25"/>
  <c r="I63" i="25"/>
  <c r="J63" i="25"/>
  <c r="K63" i="25"/>
  <c r="L63" i="25"/>
  <c r="M63" i="25"/>
  <c r="O63" i="25"/>
  <c r="Q63" i="25" s="1"/>
  <c r="W63" i="25" s="1"/>
  <c r="S63" i="25"/>
  <c r="A64" i="25"/>
  <c r="B64" i="25"/>
  <c r="C64" i="25"/>
  <c r="D64" i="25"/>
  <c r="E64" i="25"/>
  <c r="F64" i="25"/>
  <c r="G64" i="25"/>
  <c r="H64" i="25"/>
  <c r="I64" i="25"/>
  <c r="J64" i="25"/>
  <c r="K64" i="25"/>
  <c r="L64" i="25"/>
  <c r="M64" i="25"/>
  <c r="O64" i="25"/>
  <c r="Q64" i="25" s="1"/>
  <c r="S64" i="25" s="1"/>
  <c r="A65" i="25"/>
  <c r="B65" i="25"/>
  <c r="C65" i="25"/>
  <c r="D65" i="25"/>
  <c r="E65" i="25"/>
  <c r="F65" i="25"/>
  <c r="G65" i="25"/>
  <c r="H65" i="25"/>
  <c r="I65" i="25"/>
  <c r="J65" i="25"/>
  <c r="K65" i="25"/>
  <c r="L65" i="25"/>
  <c r="M65" i="25"/>
  <c r="N65" i="25"/>
  <c r="P65" i="25" s="1"/>
  <c r="V65" i="25" s="1"/>
  <c r="Y65" i="25" s="1"/>
  <c r="O65" i="25"/>
  <c r="Q65" i="25" s="1"/>
  <c r="W65" i="25" s="1"/>
  <c r="A66" i="25"/>
  <c r="B66" i="25"/>
  <c r="O66" i="25" s="1"/>
  <c r="Q66" i="25" s="1"/>
  <c r="C66" i="25"/>
  <c r="D66" i="25"/>
  <c r="E66" i="25"/>
  <c r="F66" i="25"/>
  <c r="G66" i="25"/>
  <c r="H66" i="25"/>
  <c r="I66" i="25"/>
  <c r="J66" i="25"/>
  <c r="K66" i="25"/>
  <c r="L66" i="25"/>
  <c r="M66" i="25"/>
  <c r="A67" i="25"/>
  <c r="B67" i="25"/>
  <c r="C67" i="25"/>
  <c r="D67" i="25"/>
  <c r="E67" i="25"/>
  <c r="F67" i="25"/>
  <c r="G67" i="25"/>
  <c r="N67" i="25" s="1"/>
  <c r="P67" i="25" s="1"/>
  <c r="V67" i="25" s="1"/>
  <c r="H67" i="25"/>
  <c r="I67" i="25"/>
  <c r="J67" i="25"/>
  <c r="K67" i="25"/>
  <c r="L67" i="25"/>
  <c r="M67" i="25"/>
  <c r="O67" i="25"/>
  <c r="Q67" i="25" s="1"/>
  <c r="W67" i="25" s="1"/>
  <c r="A68" i="25"/>
  <c r="B68" i="25"/>
  <c r="O68" i="25" s="1"/>
  <c r="Q68" i="25" s="1"/>
  <c r="C68" i="25"/>
  <c r="D68" i="25"/>
  <c r="E68" i="25"/>
  <c r="F68" i="25"/>
  <c r="G68" i="25"/>
  <c r="H68" i="25"/>
  <c r="I68" i="25"/>
  <c r="J68" i="25"/>
  <c r="K68" i="25"/>
  <c r="L68" i="25"/>
  <c r="M68" i="25"/>
  <c r="A69" i="25"/>
  <c r="B69" i="25"/>
  <c r="C69" i="25"/>
  <c r="N69" i="25" s="1"/>
  <c r="P69" i="25" s="1"/>
  <c r="V69" i="25" s="1"/>
  <c r="D69" i="25"/>
  <c r="O69" i="25" s="1"/>
  <c r="Q69" i="25" s="1"/>
  <c r="E69" i="25"/>
  <c r="F69" i="25"/>
  <c r="G69" i="25"/>
  <c r="H69" i="25"/>
  <c r="I69" i="25"/>
  <c r="J69" i="25"/>
  <c r="K69" i="25"/>
  <c r="L69" i="25"/>
  <c r="M69" i="25"/>
  <c r="A70" i="25"/>
  <c r="B70" i="25"/>
  <c r="C70" i="25"/>
  <c r="D70" i="25"/>
  <c r="E70" i="25"/>
  <c r="F70" i="25"/>
  <c r="G70" i="25"/>
  <c r="H70" i="25"/>
  <c r="I70" i="25"/>
  <c r="J70" i="25"/>
  <c r="K70" i="25"/>
  <c r="L70" i="25"/>
  <c r="M70" i="25"/>
  <c r="O70" i="25"/>
  <c r="Q70" i="25" s="1"/>
  <c r="A71" i="25"/>
  <c r="B71" i="25"/>
  <c r="C71" i="25"/>
  <c r="D71" i="25"/>
  <c r="E71" i="25"/>
  <c r="F71" i="25"/>
  <c r="G71" i="25"/>
  <c r="H71" i="25"/>
  <c r="I71" i="25"/>
  <c r="J71" i="25"/>
  <c r="K71" i="25"/>
  <c r="L71" i="25"/>
  <c r="M71" i="25"/>
  <c r="N71" i="25"/>
  <c r="P71" i="25" s="1"/>
  <c r="V71" i="25" s="1"/>
  <c r="O71" i="25"/>
  <c r="Q71" i="25" s="1"/>
  <c r="W71" i="25" s="1"/>
  <c r="S71" i="25"/>
  <c r="A72" i="25"/>
  <c r="B72" i="25"/>
  <c r="O72" i="25" s="1"/>
  <c r="Q72" i="25" s="1"/>
  <c r="C72" i="25"/>
  <c r="D72" i="25"/>
  <c r="E72" i="25"/>
  <c r="F72" i="25"/>
  <c r="G72" i="25"/>
  <c r="H72" i="25"/>
  <c r="I72" i="25"/>
  <c r="J72" i="25"/>
  <c r="K72" i="25"/>
  <c r="L72" i="25"/>
  <c r="M72" i="25"/>
  <c r="A73" i="25"/>
  <c r="B73" i="25"/>
  <c r="C73" i="25"/>
  <c r="N73" i="25" s="1"/>
  <c r="P73" i="25" s="1"/>
  <c r="V73" i="25" s="1"/>
  <c r="Y73" i="25" s="1"/>
  <c r="D73" i="25"/>
  <c r="O73" i="25" s="1"/>
  <c r="Q73" i="25" s="1"/>
  <c r="W73" i="25" s="1"/>
  <c r="E73" i="25"/>
  <c r="F73" i="25"/>
  <c r="G73" i="25"/>
  <c r="H73" i="25"/>
  <c r="I73" i="25"/>
  <c r="J73" i="25"/>
  <c r="K73" i="25"/>
  <c r="L73" i="25"/>
  <c r="M73" i="25"/>
  <c r="A74" i="25"/>
  <c r="B74" i="25"/>
  <c r="C74" i="25"/>
  <c r="D74" i="25"/>
  <c r="E74" i="25"/>
  <c r="F74" i="25"/>
  <c r="G74" i="25"/>
  <c r="H74" i="25"/>
  <c r="I74" i="25"/>
  <c r="J74" i="25"/>
  <c r="K74" i="25"/>
  <c r="L74" i="25"/>
  <c r="M74" i="25"/>
  <c r="O74" i="25"/>
  <c r="Q74" i="25" s="1"/>
  <c r="A75" i="25"/>
  <c r="B75" i="25"/>
  <c r="C75" i="25"/>
  <c r="N75" i="25" s="1"/>
  <c r="P75" i="25" s="1"/>
  <c r="V75" i="25" s="1"/>
  <c r="D75" i="25"/>
  <c r="O75" i="25" s="1"/>
  <c r="Q75" i="25" s="1"/>
  <c r="W75" i="25" s="1"/>
  <c r="E75" i="25"/>
  <c r="F75" i="25"/>
  <c r="G75" i="25"/>
  <c r="H75" i="25"/>
  <c r="I75" i="25"/>
  <c r="J75" i="25"/>
  <c r="K75" i="25"/>
  <c r="L75" i="25"/>
  <c r="M75" i="25"/>
  <c r="A76" i="25"/>
  <c r="B76" i="25"/>
  <c r="C76" i="25"/>
  <c r="D76" i="25"/>
  <c r="E76" i="25"/>
  <c r="O76" i="25" s="1"/>
  <c r="Q76" i="25" s="1"/>
  <c r="W76" i="25" s="1"/>
  <c r="F76" i="25"/>
  <c r="G76" i="25"/>
  <c r="H76" i="25"/>
  <c r="I76" i="25"/>
  <c r="J76" i="25"/>
  <c r="K76" i="25"/>
  <c r="L76" i="25"/>
  <c r="M76" i="25"/>
  <c r="S76" i="25" s="1"/>
  <c r="A77" i="25"/>
  <c r="B77" i="25"/>
  <c r="O77" i="25" s="1"/>
  <c r="Q77" i="25" s="1"/>
  <c r="C77" i="25"/>
  <c r="N77" i="25" s="1"/>
  <c r="P77" i="25" s="1"/>
  <c r="V77" i="25" s="1"/>
  <c r="D77" i="25"/>
  <c r="E77" i="25"/>
  <c r="F77" i="25"/>
  <c r="G77" i="25"/>
  <c r="H77" i="25"/>
  <c r="I77" i="25"/>
  <c r="J77" i="25"/>
  <c r="K77" i="25"/>
  <c r="L77" i="25"/>
  <c r="M77" i="25"/>
  <c r="A78" i="25"/>
  <c r="B78" i="25"/>
  <c r="O78" i="25" s="1"/>
  <c r="Q78" i="25" s="1"/>
  <c r="C78" i="25"/>
  <c r="N78" i="25" s="1"/>
  <c r="P78" i="25" s="1"/>
  <c r="D78" i="25"/>
  <c r="E78" i="25"/>
  <c r="F78" i="25"/>
  <c r="G78" i="25"/>
  <c r="H78" i="25"/>
  <c r="I78" i="25"/>
  <c r="J78" i="25"/>
  <c r="K78" i="25"/>
  <c r="L78" i="25"/>
  <c r="M78" i="25"/>
  <c r="A79" i="25"/>
  <c r="B79" i="25"/>
  <c r="C79" i="25"/>
  <c r="D79" i="25"/>
  <c r="O79" i="25" s="1"/>
  <c r="Q79" i="25" s="1"/>
  <c r="W79" i="25" s="1"/>
  <c r="E79" i="25"/>
  <c r="F79" i="25"/>
  <c r="G79" i="25"/>
  <c r="H79" i="25"/>
  <c r="I79" i="25"/>
  <c r="J79" i="25"/>
  <c r="K79" i="25"/>
  <c r="L79" i="25"/>
  <c r="R79" i="25" s="1"/>
  <c r="M79" i="25"/>
  <c r="N79" i="25"/>
  <c r="P79" i="25" s="1"/>
  <c r="V79" i="25" s="1"/>
  <c r="A80" i="25"/>
  <c r="B80" i="25"/>
  <c r="O80" i="25" s="1"/>
  <c r="Q80" i="25" s="1"/>
  <c r="C80" i="25"/>
  <c r="N80" i="25" s="1"/>
  <c r="P80" i="25" s="1"/>
  <c r="D80" i="25"/>
  <c r="E80" i="25"/>
  <c r="F80" i="25"/>
  <c r="G80" i="25"/>
  <c r="H80" i="25"/>
  <c r="I80" i="25"/>
  <c r="J80" i="25"/>
  <c r="K80" i="25"/>
  <c r="L80" i="25"/>
  <c r="M80" i="25"/>
  <c r="A81" i="25"/>
  <c r="B81" i="25"/>
  <c r="C81" i="25"/>
  <c r="D81" i="25"/>
  <c r="O81" i="25" s="1"/>
  <c r="Q81" i="25" s="1"/>
  <c r="W81" i="25" s="1"/>
  <c r="E81" i="25"/>
  <c r="F81" i="25"/>
  <c r="G81" i="25"/>
  <c r="H81" i="25"/>
  <c r="I81" i="25"/>
  <c r="J81" i="25"/>
  <c r="K81" i="25"/>
  <c r="L81" i="25"/>
  <c r="M81" i="25"/>
  <c r="S81" i="25" s="1"/>
  <c r="N81" i="25"/>
  <c r="P81" i="25" s="1"/>
  <c r="V81" i="25" s="1"/>
  <c r="Y81" i="25" s="1"/>
  <c r="A82" i="25"/>
  <c r="B82" i="25"/>
  <c r="O82" i="25" s="1"/>
  <c r="Q82" i="25" s="1"/>
  <c r="C82" i="25"/>
  <c r="N82" i="25" s="1"/>
  <c r="P82" i="25" s="1"/>
  <c r="D82" i="25"/>
  <c r="E82" i="25"/>
  <c r="F82" i="25"/>
  <c r="G82" i="25"/>
  <c r="H82" i="25"/>
  <c r="I82" i="25"/>
  <c r="J82" i="25"/>
  <c r="K82" i="25"/>
  <c r="L82" i="25"/>
  <c r="M82" i="25"/>
  <c r="A83" i="25"/>
  <c r="B83" i="25"/>
  <c r="C83" i="25"/>
  <c r="D83" i="25"/>
  <c r="O83" i="25" s="1"/>
  <c r="Q83" i="25" s="1"/>
  <c r="W83" i="25" s="1"/>
  <c r="E83" i="25"/>
  <c r="F83" i="25"/>
  <c r="G83" i="25"/>
  <c r="H83" i="25"/>
  <c r="I83" i="25"/>
  <c r="J83" i="25"/>
  <c r="K83" i="25"/>
  <c r="L83" i="25"/>
  <c r="R83" i="25" s="1"/>
  <c r="M83" i="25"/>
  <c r="S83" i="25" s="1"/>
  <c r="N83" i="25"/>
  <c r="P83" i="25" s="1"/>
  <c r="V83" i="25" s="1"/>
  <c r="Y83" i="25" s="1"/>
  <c r="A84" i="25"/>
  <c r="B84" i="25"/>
  <c r="C84" i="25"/>
  <c r="N84" i="25" s="1"/>
  <c r="P84" i="25" s="1"/>
  <c r="D84" i="25"/>
  <c r="E84" i="25"/>
  <c r="F84" i="25"/>
  <c r="G84" i="25"/>
  <c r="H84" i="25"/>
  <c r="I84" i="25"/>
  <c r="J84" i="25"/>
  <c r="K84" i="25"/>
  <c r="L84" i="25"/>
  <c r="M84" i="25"/>
  <c r="A85" i="25"/>
  <c r="B85" i="25"/>
  <c r="C85" i="25"/>
  <c r="D85" i="25"/>
  <c r="O85" i="25" s="1"/>
  <c r="Q85" i="25" s="1"/>
  <c r="W85" i="25" s="1"/>
  <c r="E85" i="25"/>
  <c r="F85" i="25"/>
  <c r="G85" i="25"/>
  <c r="H85" i="25"/>
  <c r="I85" i="25"/>
  <c r="J85" i="25"/>
  <c r="K85" i="25"/>
  <c r="L85" i="25"/>
  <c r="M85" i="25"/>
  <c r="N85" i="25"/>
  <c r="A86" i="25"/>
  <c r="B86" i="25"/>
  <c r="C86" i="25"/>
  <c r="N86" i="25" s="1"/>
  <c r="D86" i="25"/>
  <c r="E86" i="25"/>
  <c r="F86" i="25"/>
  <c r="G86" i="25"/>
  <c r="H86" i="25"/>
  <c r="I86" i="25"/>
  <c r="J86" i="25"/>
  <c r="J111" i="25" s="1"/>
  <c r="K86" i="25"/>
  <c r="L86" i="25"/>
  <c r="M86" i="25"/>
  <c r="P86" i="25"/>
  <c r="V86" i="25" s="1"/>
  <c r="A87" i="25"/>
  <c r="B87" i="25"/>
  <c r="C87" i="25"/>
  <c r="D87" i="25"/>
  <c r="O87" i="25" s="1"/>
  <c r="Q87" i="25" s="1"/>
  <c r="W87" i="25" s="1"/>
  <c r="E87" i="25"/>
  <c r="F87" i="25"/>
  <c r="G87" i="25"/>
  <c r="H87" i="25"/>
  <c r="I87" i="25"/>
  <c r="J87" i="25"/>
  <c r="K87" i="25"/>
  <c r="L87" i="25"/>
  <c r="M87" i="25"/>
  <c r="S87" i="25" s="1"/>
  <c r="N87" i="25"/>
  <c r="P87" i="25" s="1"/>
  <c r="V87" i="25"/>
  <c r="Y87" i="25" s="1"/>
  <c r="A88" i="25"/>
  <c r="B88" i="25"/>
  <c r="C88" i="25"/>
  <c r="N88" i="25" s="1"/>
  <c r="P88" i="25" s="1"/>
  <c r="D88" i="25"/>
  <c r="E88" i="25"/>
  <c r="F88" i="25"/>
  <c r="G88" i="25"/>
  <c r="H88" i="25"/>
  <c r="I88" i="25"/>
  <c r="J88" i="25"/>
  <c r="K88" i="25"/>
  <c r="L88" i="25"/>
  <c r="M88" i="25"/>
  <c r="A89" i="25"/>
  <c r="B89" i="25"/>
  <c r="C89" i="25"/>
  <c r="D89" i="25"/>
  <c r="O89" i="25" s="1"/>
  <c r="Q89" i="25" s="1"/>
  <c r="W89" i="25" s="1"/>
  <c r="E89" i="25"/>
  <c r="F89" i="25"/>
  <c r="F111" i="25" s="1"/>
  <c r="G89" i="25"/>
  <c r="H89" i="25"/>
  <c r="I89" i="25"/>
  <c r="J89" i="25"/>
  <c r="K89" i="25"/>
  <c r="L89" i="25"/>
  <c r="M89" i="25"/>
  <c r="N89" i="25"/>
  <c r="A90" i="25"/>
  <c r="B90" i="25"/>
  <c r="C90" i="25"/>
  <c r="N90" i="25" s="1"/>
  <c r="D90" i="25"/>
  <c r="E90" i="25"/>
  <c r="F90" i="25"/>
  <c r="G90" i="25"/>
  <c r="H90" i="25"/>
  <c r="I90" i="25"/>
  <c r="J90" i="25"/>
  <c r="K90" i="25"/>
  <c r="L90" i="25"/>
  <c r="M90" i="25"/>
  <c r="P90" i="25"/>
  <c r="V90" i="25" s="1"/>
  <c r="A91" i="25"/>
  <c r="B91" i="25"/>
  <c r="C91" i="25"/>
  <c r="D91" i="25"/>
  <c r="O91" i="25" s="1"/>
  <c r="Q91" i="25" s="1"/>
  <c r="W91" i="25" s="1"/>
  <c r="E91" i="25"/>
  <c r="F91" i="25"/>
  <c r="G91" i="25"/>
  <c r="H91" i="25"/>
  <c r="I91" i="25"/>
  <c r="J91" i="25"/>
  <c r="K91" i="25"/>
  <c r="L91" i="25"/>
  <c r="M91" i="25"/>
  <c r="S91" i="25" s="1"/>
  <c r="N91" i="25"/>
  <c r="A92" i="25"/>
  <c r="B92" i="25"/>
  <c r="C92" i="25"/>
  <c r="N92" i="25" s="1"/>
  <c r="P92" i="25" s="1"/>
  <c r="D92" i="25"/>
  <c r="E92" i="25"/>
  <c r="F92" i="25"/>
  <c r="G92" i="25"/>
  <c r="H92" i="25"/>
  <c r="I92" i="25"/>
  <c r="J92" i="25"/>
  <c r="K92" i="25"/>
  <c r="L92" i="25"/>
  <c r="M92" i="25"/>
  <c r="A93" i="25"/>
  <c r="B93" i="25"/>
  <c r="C93" i="25"/>
  <c r="D93" i="25"/>
  <c r="O93" i="25" s="1"/>
  <c r="Q93" i="25" s="1"/>
  <c r="W93" i="25" s="1"/>
  <c r="E93" i="25"/>
  <c r="F93" i="25"/>
  <c r="G93" i="25"/>
  <c r="H93" i="25"/>
  <c r="I93" i="25"/>
  <c r="J93" i="25"/>
  <c r="K93" i="25"/>
  <c r="L93" i="25"/>
  <c r="M93" i="25"/>
  <c r="N93" i="25"/>
  <c r="A94" i="25"/>
  <c r="B94" i="25"/>
  <c r="C94" i="25"/>
  <c r="D94" i="25"/>
  <c r="E94" i="25"/>
  <c r="F94" i="25"/>
  <c r="G94" i="25"/>
  <c r="H94" i="25"/>
  <c r="I94" i="25"/>
  <c r="J94" i="25"/>
  <c r="K94" i="25"/>
  <c r="L94" i="25"/>
  <c r="M94" i="25"/>
  <c r="A95" i="25"/>
  <c r="B95" i="25"/>
  <c r="C95" i="25"/>
  <c r="D95" i="25"/>
  <c r="O95" i="25" s="1"/>
  <c r="Q95" i="25" s="1"/>
  <c r="W95" i="25" s="1"/>
  <c r="E95" i="25"/>
  <c r="F95" i="25"/>
  <c r="G95" i="25"/>
  <c r="H95" i="25"/>
  <c r="I95" i="25"/>
  <c r="J95" i="25"/>
  <c r="K95" i="25"/>
  <c r="L95" i="25"/>
  <c r="M95" i="25"/>
  <c r="N95" i="25"/>
  <c r="P95" i="25" s="1"/>
  <c r="V95" i="25" s="1"/>
  <c r="Y95" i="25" s="1"/>
  <c r="A96" i="25"/>
  <c r="B96" i="25"/>
  <c r="C96" i="25"/>
  <c r="D96" i="25"/>
  <c r="E96" i="25"/>
  <c r="F96" i="25"/>
  <c r="G96" i="25"/>
  <c r="H96" i="25"/>
  <c r="I96" i="25"/>
  <c r="J96" i="25"/>
  <c r="K96" i="25"/>
  <c r="L96" i="25"/>
  <c r="M96" i="25"/>
  <c r="A97" i="25"/>
  <c r="B97" i="25"/>
  <c r="C97" i="25"/>
  <c r="D97" i="25"/>
  <c r="O97" i="25" s="1"/>
  <c r="Q97" i="25" s="1"/>
  <c r="W97" i="25" s="1"/>
  <c r="E97" i="25"/>
  <c r="F97" i="25"/>
  <c r="G97" i="25"/>
  <c r="H97" i="25"/>
  <c r="I97" i="25"/>
  <c r="J97" i="25"/>
  <c r="K97" i="25"/>
  <c r="L97" i="25"/>
  <c r="M97" i="25"/>
  <c r="N97" i="25"/>
  <c r="P97" i="25" s="1"/>
  <c r="V97" i="25"/>
  <c r="Y97" i="25" s="1"/>
  <c r="A98" i="25"/>
  <c r="B98" i="25"/>
  <c r="C98" i="25"/>
  <c r="D98" i="25"/>
  <c r="E98" i="25"/>
  <c r="F98" i="25"/>
  <c r="G98" i="25"/>
  <c r="H98" i="25"/>
  <c r="I98" i="25"/>
  <c r="J98" i="25"/>
  <c r="K98" i="25"/>
  <c r="L98" i="25"/>
  <c r="M98" i="25"/>
  <c r="A99" i="25"/>
  <c r="B99" i="25"/>
  <c r="C99" i="25"/>
  <c r="D99" i="25"/>
  <c r="O99" i="25" s="1"/>
  <c r="Q99" i="25" s="1"/>
  <c r="W99" i="25" s="1"/>
  <c r="E99" i="25"/>
  <c r="E111" i="25" s="1"/>
  <c r="F99" i="25"/>
  <c r="G99" i="25"/>
  <c r="H99" i="25"/>
  <c r="I99" i="25"/>
  <c r="N99" i="25" s="1"/>
  <c r="P99" i="25" s="1"/>
  <c r="V99" i="25" s="1"/>
  <c r="Y99" i="25" s="1"/>
  <c r="J99" i="25"/>
  <c r="K99" i="25"/>
  <c r="L99" i="25"/>
  <c r="M99" i="25"/>
  <c r="A100" i="25"/>
  <c r="B100" i="25"/>
  <c r="C100" i="25"/>
  <c r="D100" i="25"/>
  <c r="E100" i="25"/>
  <c r="F100" i="25"/>
  <c r="G100" i="25"/>
  <c r="H100" i="25"/>
  <c r="I100" i="25"/>
  <c r="J100" i="25"/>
  <c r="K100" i="25"/>
  <c r="L100" i="25"/>
  <c r="M100" i="25"/>
  <c r="A101" i="25"/>
  <c r="B101" i="25"/>
  <c r="C101" i="25"/>
  <c r="D101" i="25"/>
  <c r="O101" i="25" s="1"/>
  <c r="Q101" i="25" s="1"/>
  <c r="W101" i="25" s="1"/>
  <c r="E101" i="25"/>
  <c r="F101" i="25"/>
  <c r="G101" i="25"/>
  <c r="H101" i="25"/>
  <c r="I101" i="25"/>
  <c r="N101" i="25" s="1"/>
  <c r="P101" i="25" s="1"/>
  <c r="V101" i="25" s="1"/>
  <c r="Y101" i="25" s="1"/>
  <c r="J101" i="25"/>
  <c r="K101" i="25"/>
  <c r="L101" i="25"/>
  <c r="M101" i="25"/>
  <c r="A102" i="25"/>
  <c r="B102" i="25"/>
  <c r="C102" i="25"/>
  <c r="D102" i="25"/>
  <c r="E102" i="25"/>
  <c r="F102" i="25"/>
  <c r="G102" i="25"/>
  <c r="H102" i="25"/>
  <c r="I102" i="25"/>
  <c r="J102" i="25"/>
  <c r="K102" i="25"/>
  <c r="L102" i="25"/>
  <c r="M102" i="25"/>
  <c r="A103" i="25"/>
  <c r="B103" i="25"/>
  <c r="C103" i="25"/>
  <c r="D103" i="25"/>
  <c r="O103" i="25" s="1"/>
  <c r="Q103" i="25" s="1"/>
  <c r="W103" i="25" s="1"/>
  <c r="E103" i="25"/>
  <c r="F103" i="25"/>
  <c r="G103" i="25"/>
  <c r="H103" i="25"/>
  <c r="I103" i="25"/>
  <c r="N103" i="25" s="1"/>
  <c r="P103" i="25" s="1"/>
  <c r="V103" i="25" s="1"/>
  <c r="Y103" i="25" s="1"/>
  <c r="J103" i="25"/>
  <c r="K103" i="25"/>
  <c r="L103" i="25"/>
  <c r="M103" i="25"/>
  <c r="A104" i="25"/>
  <c r="B104" i="25"/>
  <c r="C104" i="25"/>
  <c r="D104" i="25"/>
  <c r="E104" i="25"/>
  <c r="F104" i="25"/>
  <c r="G104" i="25"/>
  <c r="H104" i="25"/>
  <c r="I104" i="25"/>
  <c r="J104" i="25"/>
  <c r="K104" i="25"/>
  <c r="L104" i="25"/>
  <c r="M104" i="25"/>
  <c r="A105" i="25"/>
  <c r="B105" i="25"/>
  <c r="C105" i="25"/>
  <c r="D105" i="25"/>
  <c r="E105" i="25"/>
  <c r="F105" i="25"/>
  <c r="G105" i="25"/>
  <c r="G111" i="25" s="1"/>
  <c r="H105" i="25"/>
  <c r="I105" i="25"/>
  <c r="J105" i="25"/>
  <c r="K105" i="25"/>
  <c r="L105" i="25"/>
  <c r="M105" i="25"/>
  <c r="N105" i="25"/>
  <c r="P105" i="25" s="1"/>
  <c r="V105" i="25" s="1"/>
  <c r="O105" i="25"/>
  <c r="Q105" i="25" s="1"/>
  <c r="W105" i="25" s="1"/>
  <c r="A106" i="25"/>
  <c r="B106" i="25"/>
  <c r="C106" i="25"/>
  <c r="D106" i="25"/>
  <c r="E106" i="25"/>
  <c r="F106" i="25"/>
  <c r="G106" i="25"/>
  <c r="H106" i="25"/>
  <c r="I106" i="25"/>
  <c r="J106" i="25"/>
  <c r="K106" i="25"/>
  <c r="L106" i="25"/>
  <c r="M106" i="25"/>
  <c r="A107" i="25"/>
  <c r="B107" i="25"/>
  <c r="C107" i="25"/>
  <c r="D107" i="25"/>
  <c r="E107" i="25"/>
  <c r="F107" i="25"/>
  <c r="G107" i="25"/>
  <c r="H107" i="25"/>
  <c r="I107" i="25"/>
  <c r="J107" i="25"/>
  <c r="K107" i="25"/>
  <c r="L107" i="25"/>
  <c r="M107" i="25"/>
  <c r="N107" i="25"/>
  <c r="P107" i="25" s="1"/>
  <c r="V107" i="25" s="1"/>
  <c r="Y107" i="25" s="1"/>
  <c r="O107" i="25"/>
  <c r="Q107" i="25" s="1"/>
  <c r="W107" i="25" s="1"/>
  <c r="A108" i="25"/>
  <c r="B108" i="25"/>
  <c r="C108" i="25"/>
  <c r="D108" i="25"/>
  <c r="E108" i="25"/>
  <c r="F108" i="25"/>
  <c r="G108" i="25"/>
  <c r="H108" i="25"/>
  <c r="I108" i="25"/>
  <c r="J108" i="25"/>
  <c r="K108" i="25"/>
  <c r="L108" i="25"/>
  <c r="R108" i="25" s="1"/>
  <c r="M108" i="25"/>
  <c r="N108" i="25"/>
  <c r="P108" i="25" s="1"/>
  <c r="V108" i="25" s="1"/>
  <c r="O108" i="25"/>
  <c r="Q108" i="25" s="1"/>
  <c r="A109" i="25"/>
  <c r="B109" i="25"/>
  <c r="O109" i="25" s="1"/>
  <c r="Q109" i="25" s="1"/>
  <c r="C109" i="25"/>
  <c r="N109" i="25" s="1"/>
  <c r="P109" i="25" s="1"/>
  <c r="D109" i="25"/>
  <c r="E109" i="25"/>
  <c r="F109" i="25"/>
  <c r="G109" i="25"/>
  <c r="H109" i="25"/>
  <c r="I109" i="25"/>
  <c r="J109" i="25"/>
  <c r="K109" i="25"/>
  <c r="L109" i="25"/>
  <c r="M109" i="25"/>
  <c r="A110" i="25"/>
  <c r="B110" i="25"/>
  <c r="C110" i="25"/>
  <c r="D110" i="25"/>
  <c r="E110" i="25"/>
  <c r="F110" i="25"/>
  <c r="G110" i="25"/>
  <c r="H110" i="25"/>
  <c r="I110" i="25"/>
  <c r="J110" i="25"/>
  <c r="K110" i="25"/>
  <c r="L110" i="25"/>
  <c r="M110" i="25"/>
  <c r="N110" i="25"/>
  <c r="P110" i="25" s="1"/>
  <c r="V110" i="25" s="1"/>
  <c r="O110" i="25"/>
  <c r="Q110" i="25" s="1"/>
  <c r="C111" i="25"/>
  <c r="D111" i="25"/>
  <c r="H111" i="25"/>
  <c r="I111" i="25"/>
  <c r="K111" i="25"/>
  <c r="B8" i="24"/>
  <c r="C8" i="24"/>
  <c r="O11" i="24" s="1"/>
  <c r="D8" i="24"/>
  <c r="O19" i="24" s="1"/>
  <c r="Q19" i="24" s="1"/>
  <c r="W19" i="24" s="1"/>
  <c r="E8" i="24"/>
  <c r="L12" i="24" s="1"/>
  <c r="F8" i="24"/>
  <c r="G8" i="24"/>
  <c r="L14" i="24" s="1"/>
  <c r="H8" i="24"/>
  <c r="I8" i="24"/>
  <c r="J8" i="24"/>
  <c r="K8" i="24"/>
  <c r="A11" i="24"/>
  <c r="B11" i="24"/>
  <c r="N11" i="24" s="1"/>
  <c r="P11" i="24" s="1"/>
  <c r="V11" i="24" s="1"/>
  <c r="C11" i="24"/>
  <c r="D11" i="24"/>
  <c r="E11" i="24"/>
  <c r="F11" i="24"/>
  <c r="G11" i="24"/>
  <c r="H11" i="24"/>
  <c r="I11" i="24"/>
  <c r="J11" i="24"/>
  <c r="K11" i="24"/>
  <c r="L11" i="24"/>
  <c r="R11" i="24" s="1"/>
  <c r="A12" i="24"/>
  <c r="B12" i="24"/>
  <c r="C12" i="24"/>
  <c r="D12" i="24"/>
  <c r="E12" i="24"/>
  <c r="F12" i="24"/>
  <c r="G12" i="24"/>
  <c r="H12" i="24"/>
  <c r="I12" i="24"/>
  <c r="J12" i="24"/>
  <c r="K12" i="24"/>
  <c r="A13" i="24"/>
  <c r="B13" i="24"/>
  <c r="N13" i="24" s="1"/>
  <c r="P13" i="24" s="1"/>
  <c r="V13" i="24" s="1"/>
  <c r="C13" i="24"/>
  <c r="D13" i="24"/>
  <c r="E13" i="24"/>
  <c r="F13" i="24"/>
  <c r="G13" i="24"/>
  <c r="H13" i="24"/>
  <c r="I13" i="24"/>
  <c r="J13" i="24"/>
  <c r="K13" i="24"/>
  <c r="L13" i="24"/>
  <c r="M13" i="24"/>
  <c r="A14" i="24"/>
  <c r="B14" i="24"/>
  <c r="C14" i="24"/>
  <c r="D14" i="24"/>
  <c r="E14" i="24"/>
  <c r="O14" i="24" s="1"/>
  <c r="Q14" i="24" s="1"/>
  <c r="W14" i="24" s="1"/>
  <c r="F14" i="24"/>
  <c r="G14" i="24"/>
  <c r="H14" i="24"/>
  <c r="N14" i="24" s="1"/>
  <c r="P14" i="24" s="1"/>
  <c r="V14" i="24" s="1"/>
  <c r="Y14" i="24" s="1"/>
  <c r="I14" i="24"/>
  <c r="J14" i="24"/>
  <c r="K14" i="24"/>
  <c r="M14" i="24"/>
  <c r="S14" i="24" s="1"/>
  <c r="A15" i="24"/>
  <c r="B15" i="24"/>
  <c r="N15" i="24" s="1"/>
  <c r="P15" i="24" s="1"/>
  <c r="V15" i="24" s="1"/>
  <c r="C15" i="24"/>
  <c r="D15" i="24"/>
  <c r="E15" i="24"/>
  <c r="F15" i="24"/>
  <c r="G15" i="24"/>
  <c r="H15" i="24"/>
  <c r="I15" i="24"/>
  <c r="J15" i="24"/>
  <c r="K15" i="24"/>
  <c r="L15" i="24"/>
  <c r="R15" i="24" s="1"/>
  <c r="M15" i="24"/>
  <c r="A16" i="24"/>
  <c r="B16" i="24"/>
  <c r="C16" i="24"/>
  <c r="D16" i="24"/>
  <c r="E16" i="24"/>
  <c r="O16" i="24" s="1"/>
  <c r="Q16" i="24" s="1"/>
  <c r="W16" i="24" s="1"/>
  <c r="F16" i="24"/>
  <c r="G16" i="24"/>
  <c r="H16" i="24"/>
  <c r="N16" i="24" s="1"/>
  <c r="I16" i="24"/>
  <c r="J16" i="24"/>
  <c r="K16" i="24"/>
  <c r="M16" i="24"/>
  <c r="S16" i="24" s="1"/>
  <c r="A17" i="24"/>
  <c r="B17" i="24"/>
  <c r="N17" i="24" s="1"/>
  <c r="P17" i="24" s="1"/>
  <c r="V17" i="24" s="1"/>
  <c r="C17" i="24"/>
  <c r="D17" i="24"/>
  <c r="E17" i="24"/>
  <c r="F17" i="24"/>
  <c r="G17" i="24"/>
  <c r="H17" i="24"/>
  <c r="I17" i="24"/>
  <c r="J17" i="24"/>
  <c r="K17" i="24"/>
  <c r="L17" i="24"/>
  <c r="M17" i="24"/>
  <c r="A18" i="24"/>
  <c r="B18" i="24"/>
  <c r="C18" i="24"/>
  <c r="D18" i="24"/>
  <c r="E18" i="24"/>
  <c r="O18" i="24" s="1"/>
  <c r="Q18" i="24" s="1"/>
  <c r="W18" i="24" s="1"/>
  <c r="F18" i="24"/>
  <c r="G18" i="24"/>
  <c r="H18" i="24"/>
  <c r="N18" i="24" s="1"/>
  <c r="P18" i="24" s="1"/>
  <c r="V18" i="24" s="1"/>
  <c r="I18" i="24"/>
  <c r="J18" i="24"/>
  <c r="K18" i="24"/>
  <c r="L18" i="24"/>
  <c r="R18" i="24" s="1"/>
  <c r="M18" i="24"/>
  <c r="S18" i="24" s="1"/>
  <c r="A19" i="24"/>
  <c r="B19" i="24"/>
  <c r="N19" i="24" s="1"/>
  <c r="P19" i="24" s="1"/>
  <c r="V19" i="24" s="1"/>
  <c r="Y19" i="24" s="1"/>
  <c r="C19" i="24"/>
  <c r="D19" i="24"/>
  <c r="E19" i="24"/>
  <c r="F19" i="24"/>
  <c r="G19" i="24"/>
  <c r="H19" i="24"/>
  <c r="I19" i="24"/>
  <c r="J19" i="24"/>
  <c r="K19" i="24"/>
  <c r="L19" i="24"/>
  <c r="M19" i="24"/>
  <c r="S19" i="24" s="1"/>
  <c r="A20" i="24"/>
  <c r="B20" i="24"/>
  <c r="C20" i="24"/>
  <c r="D20" i="24"/>
  <c r="E20" i="24"/>
  <c r="O20" i="24" s="1"/>
  <c r="Q20" i="24" s="1"/>
  <c r="W20" i="24" s="1"/>
  <c r="F20" i="24"/>
  <c r="G20" i="24"/>
  <c r="H20" i="24"/>
  <c r="N20" i="24" s="1"/>
  <c r="P20" i="24" s="1"/>
  <c r="V20" i="24" s="1"/>
  <c r="Y20" i="24" s="1"/>
  <c r="I20" i="24"/>
  <c r="J20" i="24"/>
  <c r="K20" i="24"/>
  <c r="L20" i="24"/>
  <c r="R20" i="24" s="1"/>
  <c r="M20" i="24"/>
  <c r="S20" i="24" s="1"/>
  <c r="A21" i="24"/>
  <c r="B21" i="24"/>
  <c r="N21" i="24" s="1"/>
  <c r="P21" i="24" s="1"/>
  <c r="V21" i="24" s="1"/>
  <c r="C21" i="24"/>
  <c r="D21" i="24"/>
  <c r="O21" i="24" s="1"/>
  <c r="Q21" i="24" s="1"/>
  <c r="W21" i="24" s="1"/>
  <c r="E21" i="24"/>
  <c r="F21" i="24"/>
  <c r="G21" i="24"/>
  <c r="H21" i="24"/>
  <c r="I21" i="24"/>
  <c r="J21" i="24"/>
  <c r="K21" i="24"/>
  <c r="L21" i="24"/>
  <c r="R21" i="24" s="1"/>
  <c r="M21" i="24"/>
  <c r="A22" i="24"/>
  <c r="B22" i="24"/>
  <c r="C22" i="24"/>
  <c r="D22" i="24"/>
  <c r="E22" i="24"/>
  <c r="O22" i="24" s="1"/>
  <c r="Q22" i="24" s="1"/>
  <c r="W22" i="24" s="1"/>
  <c r="F22" i="24"/>
  <c r="G22" i="24"/>
  <c r="H22" i="24"/>
  <c r="N22" i="24" s="1"/>
  <c r="P22" i="24" s="1"/>
  <c r="V22" i="24" s="1"/>
  <c r="Y22" i="24" s="1"/>
  <c r="I22" i="24"/>
  <c r="J22" i="24"/>
  <c r="K22" i="24"/>
  <c r="L22" i="24"/>
  <c r="M22" i="24"/>
  <c r="S22" i="24" s="1"/>
  <c r="A23" i="24"/>
  <c r="B23" i="24"/>
  <c r="N23" i="24" s="1"/>
  <c r="P23" i="24" s="1"/>
  <c r="V23" i="24" s="1"/>
  <c r="Y23" i="24" s="1"/>
  <c r="C23" i="24"/>
  <c r="D23" i="24"/>
  <c r="O23" i="24" s="1"/>
  <c r="Q23" i="24" s="1"/>
  <c r="W23" i="24" s="1"/>
  <c r="E23" i="24"/>
  <c r="F23" i="24"/>
  <c r="G23" i="24"/>
  <c r="H23" i="24"/>
  <c r="I23" i="24"/>
  <c r="J23" i="24"/>
  <c r="K23" i="24"/>
  <c r="L23" i="24"/>
  <c r="M23" i="24"/>
  <c r="S23" i="24" s="1"/>
  <c r="A24" i="24"/>
  <c r="B24" i="24"/>
  <c r="C24" i="24"/>
  <c r="D24" i="24"/>
  <c r="E24" i="24"/>
  <c r="O24" i="24" s="1"/>
  <c r="Q24" i="24" s="1"/>
  <c r="W24" i="24" s="1"/>
  <c r="F24" i="24"/>
  <c r="G24" i="24"/>
  <c r="H24" i="24"/>
  <c r="N24" i="24" s="1"/>
  <c r="P24" i="24" s="1"/>
  <c r="V24" i="24" s="1"/>
  <c r="Y24" i="24" s="1"/>
  <c r="I24" i="24"/>
  <c r="J24" i="24"/>
  <c r="K24" i="24"/>
  <c r="L24" i="24"/>
  <c r="M24" i="24"/>
  <c r="S24" i="24" s="1"/>
  <c r="A25" i="24"/>
  <c r="B25" i="24"/>
  <c r="N25" i="24" s="1"/>
  <c r="P25" i="24" s="1"/>
  <c r="V25" i="24" s="1"/>
  <c r="Y25" i="24" s="1"/>
  <c r="C25" i="24"/>
  <c r="D25" i="24"/>
  <c r="O25" i="24" s="1"/>
  <c r="Q25" i="24" s="1"/>
  <c r="W25" i="24" s="1"/>
  <c r="E25" i="24"/>
  <c r="F25" i="24"/>
  <c r="G25" i="24"/>
  <c r="H25" i="24"/>
  <c r="I25" i="24"/>
  <c r="J25" i="24"/>
  <c r="K25" i="24"/>
  <c r="L25" i="24"/>
  <c r="M25" i="24"/>
  <c r="A26" i="24"/>
  <c r="B26" i="24"/>
  <c r="C26" i="24"/>
  <c r="D26" i="24"/>
  <c r="E26" i="24"/>
  <c r="O26" i="24" s="1"/>
  <c r="Q26" i="24" s="1"/>
  <c r="W26" i="24" s="1"/>
  <c r="F26" i="24"/>
  <c r="G26" i="24"/>
  <c r="H26" i="24"/>
  <c r="N26" i="24" s="1"/>
  <c r="P26" i="24" s="1"/>
  <c r="V26" i="24" s="1"/>
  <c r="I26" i="24"/>
  <c r="J26" i="24"/>
  <c r="K26" i="24"/>
  <c r="L26" i="24"/>
  <c r="R26" i="24" s="1"/>
  <c r="M26" i="24"/>
  <c r="S26" i="24" s="1"/>
  <c r="A27" i="24"/>
  <c r="B27" i="24"/>
  <c r="N27" i="24" s="1"/>
  <c r="P27" i="24" s="1"/>
  <c r="V27" i="24" s="1"/>
  <c r="Y27" i="24" s="1"/>
  <c r="C27" i="24"/>
  <c r="D27" i="24"/>
  <c r="O27" i="24" s="1"/>
  <c r="Q27" i="24" s="1"/>
  <c r="W27" i="24" s="1"/>
  <c r="E27" i="24"/>
  <c r="F27" i="24"/>
  <c r="G27" i="24"/>
  <c r="H27" i="24"/>
  <c r="I27" i="24"/>
  <c r="J27" i="24"/>
  <c r="K27" i="24"/>
  <c r="L27" i="24"/>
  <c r="M27" i="24"/>
  <c r="S27" i="24" s="1"/>
  <c r="A28" i="24"/>
  <c r="B28" i="24"/>
  <c r="C28" i="24"/>
  <c r="D28" i="24"/>
  <c r="E28" i="24"/>
  <c r="O28" i="24" s="1"/>
  <c r="Q28" i="24" s="1"/>
  <c r="W28" i="24" s="1"/>
  <c r="F28" i="24"/>
  <c r="G28" i="24"/>
  <c r="H28" i="24"/>
  <c r="N28" i="24" s="1"/>
  <c r="P28" i="24" s="1"/>
  <c r="V28" i="24" s="1"/>
  <c r="Y28" i="24" s="1"/>
  <c r="I28" i="24"/>
  <c r="J28" i="24"/>
  <c r="K28" i="24"/>
  <c r="L28" i="24"/>
  <c r="R28" i="24" s="1"/>
  <c r="M28" i="24"/>
  <c r="S28" i="24" s="1"/>
  <c r="A29" i="24"/>
  <c r="B29" i="24"/>
  <c r="N29" i="24" s="1"/>
  <c r="P29" i="24" s="1"/>
  <c r="V29" i="24" s="1"/>
  <c r="C29" i="24"/>
  <c r="D29" i="24"/>
  <c r="O29" i="24" s="1"/>
  <c r="Q29" i="24" s="1"/>
  <c r="W29" i="24" s="1"/>
  <c r="E29" i="24"/>
  <c r="F29" i="24"/>
  <c r="G29" i="24"/>
  <c r="H29" i="24"/>
  <c r="I29" i="24"/>
  <c r="J29" i="24"/>
  <c r="K29" i="24"/>
  <c r="L29" i="24"/>
  <c r="R29" i="24" s="1"/>
  <c r="M29" i="24"/>
  <c r="A30" i="24"/>
  <c r="B30" i="24"/>
  <c r="C30" i="24"/>
  <c r="D30" i="24"/>
  <c r="E30" i="24"/>
  <c r="O30" i="24" s="1"/>
  <c r="F30" i="24"/>
  <c r="G30" i="24"/>
  <c r="H30" i="24"/>
  <c r="I30" i="24"/>
  <c r="J30" i="24"/>
  <c r="K30" i="24"/>
  <c r="L30" i="24"/>
  <c r="M30" i="24"/>
  <c r="Q30" i="24"/>
  <c r="W30" i="24" s="1"/>
  <c r="A31" i="24"/>
  <c r="B31" i="24"/>
  <c r="N31" i="24" s="1"/>
  <c r="P31" i="24" s="1"/>
  <c r="V31" i="24" s="1"/>
  <c r="C31" i="24"/>
  <c r="D31" i="24"/>
  <c r="O31" i="24" s="1"/>
  <c r="Q31" i="24" s="1"/>
  <c r="W31" i="24" s="1"/>
  <c r="Y31" i="24" s="1"/>
  <c r="E31" i="24"/>
  <c r="F31" i="24"/>
  <c r="G31" i="24"/>
  <c r="H31" i="24"/>
  <c r="I31" i="24"/>
  <c r="J31" i="24"/>
  <c r="K31" i="24"/>
  <c r="L31" i="24"/>
  <c r="M31" i="24"/>
  <c r="A32" i="24"/>
  <c r="B32" i="24"/>
  <c r="C32" i="24"/>
  <c r="D32" i="24"/>
  <c r="E32" i="24"/>
  <c r="O32" i="24" s="1"/>
  <c r="F32" i="24"/>
  <c r="G32" i="24"/>
  <c r="H32" i="24"/>
  <c r="N32" i="24" s="1"/>
  <c r="P32" i="24" s="1"/>
  <c r="V32" i="24" s="1"/>
  <c r="I32" i="24"/>
  <c r="J32" i="24"/>
  <c r="K32" i="24"/>
  <c r="L32" i="24"/>
  <c r="M32" i="24"/>
  <c r="Q32" i="24"/>
  <c r="W32" i="24" s="1"/>
  <c r="Y32" i="24"/>
  <c r="A33" i="24"/>
  <c r="B33" i="24"/>
  <c r="N33" i="24" s="1"/>
  <c r="P33" i="24" s="1"/>
  <c r="V33" i="24" s="1"/>
  <c r="C33" i="24"/>
  <c r="D33" i="24"/>
  <c r="O33" i="24" s="1"/>
  <c r="Q33" i="24" s="1"/>
  <c r="W33" i="24" s="1"/>
  <c r="E33" i="24"/>
  <c r="F33" i="24"/>
  <c r="G33" i="24"/>
  <c r="H33" i="24"/>
  <c r="I33" i="24"/>
  <c r="J33" i="24"/>
  <c r="K33" i="24"/>
  <c r="L33" i="24"/>
  <c r="M33" i="24"/>
  <c r="A34" i="24"/>
  <c r="B34" i="24"/>
  <c r="C34" i="24"/>
  <c r="D34" i="24"/>
  <c r="E34" i="24"/>
  <c r="O34" i="24" s="1"/>
  <c r="Q34" i="24" s="1"/>
  <c r="W34" i="24" s="1"/>
  <c r="F34" i="24"/>
  <c r="G34" i="24"/>
  <c r="H34" i="24"/>
  <c r="I34" i="24"/>
  <c r="J34" i="24"/>
  <c r="K34" i="24"/>
  <c r="L34" i="24"/>
  <c r="M34" i="24"/>
  <c r="A35" i="24"/>
  <c r="B35" i="24"/>
  <c r="C35" i="24"/>
  <c r="D35" i="24"/>
  <c r="O35" i="24" s="1"/>
  <c r="Q35" i="24" s="1"/>
  <c r="W35" i="24" s="1"/>
  <c r="E35" i="24"/>
  <c r="F35" i="24"/>
  <c r="G35" i="24"/>
  <c r="H35" i="24"/>
  <c r="I35" i="24"/>
  <c r="J35" i="24"/>
  <c r="K35" i="24"/>
  <c r="L35" i="24"/>
  <c r="M35" i="24"/>
  <c r="A36" i="24"/>
  <c r="B36" i="24"/>
  <c r="C36" i="24"/>
  <c r="D36" i="24"/>
  <c r="E36" i="24"/>
  <c r="O36" i="24" s="1"/>
  <c r="Q36" i="24" s="1"/>
  <c r="W36" i="24" s="1"/>
  <c r="F36" i="24"/>
  <c r="G36" i="24"/>
  <c r="H36" i="24"/>
  <c r="I36" i="24"/>
  <c r="J36" i="24"/>
  <c r="K36" i="24"/>
  <c r="L36" i="24"/>
  <c r="M36" i="24"/>
  <c r="A37" i="24"/>
  <c r="B37" i="24"/>
  <c r="N37" i="24" s="1"/>
  <c r="P37" i="24" s="1"/>
  <c r="V37" i="24" s="1"/>
  <c r="C37" i="24"/>
  <c r="D37" i="24"/>
  <c r="O37" i="24" s="1"/>
  <c r="Q37" i="24" s="1"/>
  <c r="W37" i="24" s="1"/>
  <c r="E37" i="24"/>
  <c r="F37" i="24"/>
  <c r="G37" i="24"/>
  <c r="H37" i="24"/>
  <c r="I37" i="24"/>
  <c r="J37" i="24"/>
  <c r="K37" i="24"/>
  <c r="L37" i="24"/>
  <c r="M37" i="24"/>
  <c r="A38" i="24"/>
  <c r="B38" i="24"/>
  <c r="C38" i="24"/>
  <c r="D38" i="24"/>
  <c r="E38" i="24"/>
  <c r="O38" i="24" s="1"/>
  <c r="Q38" i="24" s="1"/>
  <c r="W38" i="24" s="1"/>
  <c r="F38" i="24"/>
  <c r="G38" i="24"/>
  <c r="H38" i="24"/>
  <c r="I38" i="24"/>
  <c r="J38" i="24"/>
  <c r="K38" i="24"/>
  <c r="L38" i="24"/>
  <c r="M38" i="24"/>
  <c r="A39" i="24"/>
  <c r="B39" i="24"/>
  <c r="N39" i="24" s="1"/>
  <c r="C39" i="24"/>
  <c r="D39" i="24"/>
  <c r="O39" i="24" s="1"/>
  <c r="Q39" i="24" s="1"/>
  <c r="W39" i="24" s="1"/>
  <c r="E39" i="24"/>
  <c r="F39" i="24"/>
  <c r="G39" i="24"/>
  <c r="H39" i="24"/>
  <c r="I39" i="24"/>
  <c r="J39" i="24"/>
  <c r="K39" i="24"/>
  <c r="L39" i="24"/>
  <c r="M39" i="24"/>
  <c r="A40" i="24"/>
  <c r="B40" i="24"/>
  <c r="C40" i="24"/>
  <c r="D40" i="24"/>
  <c r="E40" i="24"/>
  <c r="O40" i="24" s="1"/>
  <c r="Q40" i="24" s="1"/>
  <c r="W40" i="24" s="1"/>
  <c r="F40" i="24"/>
  <c r="G40" i="24"/>
  <c r="H40" i="24"/>
  <c r="I40" i="24"/>
  <c r="N40" i="24" s="1"/>
  <c r="P40" i="24" s="1"/>
  <c r="V40" i="24" s="1"/>
  <c r="Y40" i="24" s="1"/>
  <c r="J40" i="24"/>
  <c r="K40" i="24"/>
  <c r="L40" i="24"/>
  <c r="M40" i="24"/>
  <c r="A41" i="24"/>
  <c r="B41" i="24"/>
  <c r="C41" i="24"/>
  <c r="D41" i="24"/>
  <c r="O41" i="24" s="1"/>
  <c r="Q41" i="24" s="1"/>
  <c r="W41" i="24" s="1"/>
  <c r="E41" i="24"/>
  <c r="F41" i="24"/>
  <c r="G41" i="24"/>
  <c r="H41" i="24"/>
  <c r="I41" i="24"/>
  <c r="J41" i="24"/>
  <c r="K41" i="24"/>
  <c r="L41" i="24"/>
  <c r="M41" i="24"/>
  <c r="A42" i="24"/>
  <c r="B42" i="24"/>
  <c r="C42" i="24"/>
  <c r="D42" i="24"/>
  <c r="O42" i="24" s="1"/>
  <c r="Q42" i="24" s="1"/>
  <c r="W42" i="24" s="1"/>
  <c r="E42" i="24"/>
  <c r="F42" i="24"/>
  <c r="G42" i="24"/>
  <c r="N42" i="24" s="1"/>
  <c r="P42" i="24" s="1"/>
  <c r="V42" i="24" s="1"/>
  <c r="Y42" i="24" s="1"/>
  <c r="H42" i="24"/>
  <c r="I42" i="24"/>
  <c r="J42" i="24"/>
  <c r="K42" i="24"/>
  <c r="L42" i="24"/>
  <c r="M42" i="24"/>
  <c r="A43" i="24"/>
  <c r="B43" i="24"/>
  <c r="C43" i="24"/>
  <c r="D43" i="24"/>
  <c r="O43" i="24" s="1"/>
  <c r="Q43" i="24" s="1"/>
  <c r="W43" i="24" s="1"/>
  <c r="E43" i="24"/>
  <c r="F43" i="24"/>
  <c r="G43" i="24"/>
  <c r="H43" i="24"/>
  <c r="I43" i="24"/>
  <c r="J43" i="24"/>
  <c r="K43" i="24"/>
  <c r="L43" i="24"/>
  <c r="M43" i="24"/>
  <c r="A44" i="24"/>
  <c r="B44" i="24"/>
  <c r="C44" i="24"/>
  <c r="D44" i="24"/>
  <c r="O44" i="24" s="1"/>
  <c r="Q44" i="24" s="1"/>
  <c r="W44" i="24" s="1"/>
  <c r="E44" i="24"/>
  <c r="F44" i="24"/>
  <c r="G44" i="24"/>
  <c r="N44" i="24" s="1"/>
  <c r="P44" i="24" s="1"/>
  <c r="V44" i="24" s="1"/>
  <c r="H44" i="24"/>
  <c r="I44" i="24"/>
  <c r="J44" i="24"/>
  <c r="K44" i="24"/>
  <c r="L44" i="24"/>
  <c r="M44" i="24"/>
  <c r="A45" i="24"/>
  <c r="B45" i="24"/>
  <c r="C45" i="24"/>
  <c r="D45" i="24"/>
  <c r="O45" i="24" s="1"/>
  <c r="Q45" i="24" s="1"/>
  <c r="W45" i="24" s="1"/>
  <c r="E45" i="24"/>
  <c r="F45" i="24"/>
  <c r="G45" i="24"/>
  <c r="H45" i="24"/>
  <c r="I45" i="24"/>
  <c r="J45" i="24"/>
  <c r="K45" i="24"/>
  <c r="L45" i="24"/>
  <c r="M45" i="24"/>
  <c r="A46" i="24"/>
  <c r="B46" i="24"/>
  <c r="C46" i="24"/>
  <c r="D46" i="24"/>
  <c r="O46" i="24" s="1"/>
  <c r="Q46" i="24" s="1"/>
  <c r="W46" i="24" s="1"/>
  <c r="E46" i="24"/>
  <c r="F46" i="24"/>
  <c r="G46" i="24"/>
  <c r="N46" i="24" s="1"/>
  <c r="P46" i="24" s="1"/>
  <c r="V46" i="24" s="1"/>
  <c r="Y46" i="24" s="1"/>
  <c r="H46" i="24"/>
  <c r="I46" i="24"/>
  <c r="J46" i="24"/>
  <c r="K46" i="24"/>
  <c r="L46" i="24"/>
  <c r="M46" i="24"/>
  <c r="A47" i="24"/>
  <c r="B47" i="24"/>
  <c r="C47" i="24"/>
  <c r="D47" i="24"/>
  <c r="O47" i="24" s="1"/>
  <c r="Q47" i="24" s="1"/>
  <c r="W47" i="24" s="1"/>
  <c r="E47" i="24"/>
  <c r="F47" i="24"/>
  <c r="G47" i="24"/>
  <c r="H47" i="24"/>
  <c r="I47" i="24"/>
  <c r="J47" i="24"/>
  <c r="K47" i="24"/>
  <c r="L47" i="24"/>
  <c r="M47" i="24"/>
  <c r="S47" i="24" s="1"/>
  <c r="A48" i="24"/>
  <c r="B48" i="24"/>
  <c r="C48" i="24"/>
  <c r="D48" i="24"/>
  <c r="O48" i="24" s="1"/>
  <c r="Q48" i="24" s="1"/>
  <c r="W48" i="24" s="1"/>
  <c r="E48" i="24"/>
  <c r="F48" i="24"/>
  <c r="G48" i="24"/>
  <c r="H48" i="24"/>
  <c r="I48" i="24"/>
  <c r="J48" i="24"/>
  <c r="K48" i="24"/>
  <c r="L48" i="24"/>
  <c r="M48" i="24"/>
  <c r="N48" i="24"/>
  <c r="P48" i="24" s="1"/>
  <c r="V48" i="24" s="1"/>
  <c r="A49" i="24"/>
  <c r="B49" i="24"/>
  <c r="C49" i="24"/>
  <c r="D49" i="24"/>
  <c r="O49" i="24" s="1"/>
  <c r="Q49" i="24" s="1"/>
  <c r="W49" i="24" s="1"/>
  <c r="E49" i="24"/>
  <c r="F49" i="24"/>
  <c r="G49" i="24"/>
  <c r="H49" i="24"/>
  <c r="I49" i="24"/>
  <c r="J49" i="24"/>
  <c r="K49" i="24"/>
  <c r="L49" i="24"/>
  <c r="M49" i="24"/>
  <c r="A50" i="24"/>
  <c r="B50" i="24"/>
  <c r="C50" i="24"/>
  <c r="D50" i="24"/>
  <c r="O50" i="24" s="1"/>
  <c r="Q50" i="24" s="1"/>
  <c r="W50" i="24" s="1"/>
  <c r="E50" i="24"/>
  <c r="F50" i="24"/>
  <c r="G50" i="24"/>
  <c r="H50" i="24"/>
  <c r="I50" i="24"/>
  <c r="J50" i="24"/>
  <c r="K50" i="24"/>
  <c r="L50" i="24"/>
  <c r="M50" i="24"/>
  <c r="N50" i="24"/>
  <c r="P50" i="24" s="1"/>
  <c r="V50" i="24" s="1"/>
  <c r="Y50" i="24" s="1"/>
  <c r="A51" i="24"/>
  <c r="B51" i="24"/>
  <c r="C51" i="24"/>
  <c r="D51" i="24"/>
  <c r="O51" i="24" s="1"/>
  <c r="Q51" i="24" s="1"/>
  <c r="W51" i="24" s="1"/>
  <c r="E51" i="24"/>
  <c r="F51" i="24"/>
  <c r="G51" i="24"/>
  <c r="H51" i="24"/>
  <c r="I51" i="24"/>
  <c r="J51" i="24"/>
  <c r="K51" i="24"/>
  <c r="L51" i="24"/>
  <c r="M51" i="24"/>
  <c r="A52" i="24"/>
  <c r="B52" i="24"/>
  <c r="C52" i="24"/>
  <c r="D52" i="24"/>
  <c r="O52" i="24" s="1"/>
  <c r="Q52" i="24" s="1"/>
  <c r="W52" i="24" s="1"/>
  <c r="E52" i="24"/>
  <c r="F52" i="24"/>
  <c r="G52" i="24"/>
  <c r="H52" i="24"/>
  <c r="I52" i="24"/>
  <c r="J52" i="24"/>
  <c r="K52" i="24"/>
  <c r="L52" i="24"/>
  <c r="M52" i="24"/>
  <c r="N52" i="24"/>
  <c r="P52" i="24" s="1"/>
  <c r="V52" i="24" s="1"/>
  <c r="A53" i="24"/>
  <c r="B53" i="24"/>
  <c r="C53" i="24"/>
  <c r="D53" i="24"/>
  <c r="O53" i="24" s="1"/>
  <c r="Q53" i="24" s="1"/>
  <c r="W53" i="24" s="1"/>
  <c r="E53" i="24"/>
  <c r="F53" i="24"/>
  <c r="G53" i="24"/>
  <c r="H53" i="24"/>
  <c r="I53" i="24"/>
  <c r="J53" i="24"/>
  <c r="K53" i="24"/>
  <c r="L53" i="24"/>
  <c r="M53" i="24"/>
  <c r="S53" i="24" s="1"/>
  <c r="N53" i="24"/>
  <c r="P53" i="24" s="1"/>
  <c r="V53" i="24" s="1"/>
  <c r="Y53" i="24" s="1"/>
  <c r="A54" i="24"/>
  <c r="B54" i="24"/>
  <c r="N54" i="24" s="1"/>
  <c r="P54" i="24" s="1"/>
  <c r="C54" i="24"/>
  <c r="D54" i="24"/>
  <c r="E54" i="24"/>
  <c r="O54" i="24" s="1"/>
  <c r="Q54" i="24" s="1"/>
  <c r="F54" i="24"/>
  <c r="G54" i="24"/>
  <c r="H54" i="24"/>
  <c r="I54" i="24"/>
  <c r="J54" i="24"/>
  <c r="K54" i="24"/>
  <c r="L54" i="24"/>
  <c r="M54" i="24"/>
  <c r="A55" i="24"/>
  <c r="B55" i="24"/>
  <c r="C55" i="24"/>
  <c r="D55" i="24"/>
  <c r="O55" i="24" s="1"/>
  <c r="Q55" i="24" s="1"/>
  <c r="W55" i="24" s="1"/>
  <c r="E55" i="24"/>
  <c r="F55" i="24"/>
  <c r="G55" i="24"/>
  <c r="H55" i="24"/>
  <c r="I55" i="24"/>
  <c r="J55" i="24"/>
  <c r="K55" i="24"/>
  <c r="L55" i="24"/>
  <c r="M55" i="24"/>
  <c r="S55" i="24" s="1"/>
  <c r="N55" i="24"/>
  <c r="P55" i="24" s="1"/>
  <c r="V55" i="24" s="1"/>
  <c r="Y55" i="24" s="1"/>
  <c r="A56" i="24"/>
  <c r="B56" i="24"/>
  <c r="N56" i="24" s="1"/>
  <c r="P56" i="24" s="1"/>
  <c r="C56" i="24"/>
  <c r="D56" i="24"/>
  <c r="E56" i="24"/>
  <c r="O56" i="24" s="1"/>
  <c r="Q56" i="24" s="1"/>
  <c r="F56" i="24"/>
  <c r="G56" i="24"/>
  <c r="H56" i="24"/>
  <c r="I56" i="24"/>
  <c r="J56" i="24"/>
  <c r="K56" i="24"/>
  <c r="L56" i="24"/>
  <c r="M56" i="24"/>
  <c r="A57" i="24"/>
  <c r="B57" i="24"/>
  <c r="C57" i="24"/>
  <c r="D57" i="24"/>
  <c r="O57" i="24" s="1"/>
  <c r="Q57" i="24" s="1"/>
  <c r="W57" i="24" s="1"/>
  <c r="E57" i="24"/>
  <c r="F57" i="24"/>
  <c r="G57" i="24"/>
  <c r="H57" i="24"/>
  <c r="I57" i="24"/>
  <c r="J57" i="24"/>
  <c r="K57" i="24"/>
  <c r="L57" i="24"/>
  <c r="M57" i="24"/>
  <c r="S57" i="24" s="1"/>
  <c r="N57" i="24"/>
  <c r="P57" i="24" s="1"/>
  <c r="V57" i="24" s="1"/>
  <c r="Y57" i="24" s="1"/>
  <c r="A58" i="24"/>
  <c r="B58" i="24"/>
  <c r="C58" i="24"/>
  <c r="D58" i="24"/>
  <c r="E58" i="24"/>
  <c r="O58" i="24" s="1"/>
  <c r="Q58" i="24" s="1"/>
  <c r="F58" i="24"/>
  <c r="G58" i="24"/>
  <c r="H58" i="24"/>
  <c r="I58" i="24"/>
  <c r="J58" i="24"/>
  <c r="K58" i="24"/>
  <c r="L58" i="24"/>
  <c r="M58" i="24"/>
  <c r="A59" i="24"/>
  <c r="B59" i="24"/>
  <c r="C59" i="24"/>
  <c r="D59" i="24"/>
  <c r="O59" i="24" s="1"/>
  <c r="Q59" i="24" s="1"/>
  <c r="W59" i="24" s="1"/>
  <c r="E59" i="24"/>
  <c r="F59" i="24"/>
  <c r="G59" i="24"/>
  <c r="H59" i="24"/>
  <c r="I59" i="24"/>
  <c r="J59" i="24"/>
  <c r="K59" i="24"/>
  <c r="L59" i="24"/>
  <c r="M59" i="24"/>
  <c r="N59" i="24"/>
  <c r="A60" i="24"/>
  <c r="B60" i="24"/>
  <c r="C60" i="24"/>
  <c r="D60" i="24"/>
  <c r="E60" i="24"/>
  <c r="O60" i="24" s="1"/>
  <c r="Q60" i="24" s="1"/>
  <c r="W60" i="24" s="1"/>
  <c r="F60" i="24"/>
  <c r="G60" i="24"/>
  <c r="H60" i="24"/>
  <c r="I60" i="24"/>
  <c r="J60" i="24"/>
  <c r="K60" i="24"/>
  <c r="L60" i="24"/>
  <c r="M60" i="24"/>
  <c r="S60" i="24" s="1"/>
  <c r="A61" i="24"/>
  <c r="B61" i="24"/>
  <c r="C61" i="24"/>
  <c r="D61" i="24"/>
  <c r="O61" i="24" s="1"/>
  <c r="Q61" i="24" s="1"/>
  <c r="W61" i="24" s="1"/>
  <c r="E61" i="24"/>
  <c r="F61" i="24"/>
  <c r="G61" i="24"/>
  <c r="H61" i="24"/>
  <c r="I61" i="24"/>
  <c r="J61" i="24"/>
  <c r="K61" i="24"/>
  <c r="L61" i="24"/>
  <c r="M61" i="24"/>
  <c r="S61" i="24" s="1"/>
  <c r="N61" i="24"/>
  <c r="A62" i="24"/>
  <c r="B62" i="24"/>
  <c r="N62" i="24" s="1"/>
  <c r="P62" i="24" s="1"/>
  <c r="C62" i="24"/>
  <c r="D62" i="24"/>
  <c r="E62" i="24"/>
  <c r="O62" i="24" s="1"/>
  <c r="Q62" i="24" s="1"/>
  <c r="W62" i="24" s="1"/>
  <c r="F62" i="24"/>
  <c r="G62" i="24"/>
  <c r="H62" i="24"/>
  <c r="I62" i="24"/>
  <c r="J62" i="24"/>
  <c r="K62" i="24"/>
  <c r="L62" i="24"/>
  <c r="M62" i="24"/>
  <c r="S62" i="24" s="1"/>
  <c r="A63" i="24"/>
  <c r="B63" i="24"/>
  <c r="C63" i="24"/>
  <c r="D63" i="24"/>
  <c r="O63" i="24" s="1"/>
  <c r="Q63" i="24" s="1"/>
  <c r="W63" i="24" s="1"/>
  <c r="E63" i="24"/>
  <c r="F63" i="24"/>
  <c r="G63" i="24"/>
  <c r="H63" i="24"/>
  <c r="I63" i="24"/>
  <c r="J63" i="24"/>
  <c r="K63" i="24"/>
  <c r="L63" i="24"/>
  <c r="M63" i="24"/>
  <c r="S63" i="24" s="1"/>
  <c r="N63" i="24"/>
  <c r="P63" i="24" s="1"/>
  <c r="V63" i="24" s="1"/>
  <c r="Y63" i="24" s="1"/>
  <c r="A64" i="24"/>
  <c r="B64" i="24"/>
  <c r="N64" i="24" s="1"/>
  <c r="C64" i="24"/>
  <c r="D64" i="24"/>
  <c r="E64" i="24"/>
  <c r="O64" i="24" s="1"/>
  <c r="Q64" i="24" s="1"/>
  <c r="W64" i="24" s="1"/>
  <c r="F64" i="24"/>
  <c r="G64" i="24"/>
  <c r="H64" i="24"/>
  <c r="I64" i="24"/>
  <c r="J64" i="24"/>
  <c r="K64" i="24"/>
  <c r="L64" i="24"/>
  <c r="M64" i="24"/>
  <c r="S64" i="24" s="1"/>
  <c r="P64" i="24"/>
  <c r="A65" i="24"/>
  <c r="B65" i="24"/>
  <c r="C65" i="24"/>
  <c r="D65" i="24"/>
  <c r="O65" i="24" s="1"/>
  <c r="Q65" i="24" s="1"/>
  <c r="W65" i="24" s="1"/>
  <c r="E65" i="24"/>
  <c r="F65" i="24"/>
  <c r="G65" i="24"/>
  <c r="H65" i="24"/>
  <c r="I65" i="24"/>
  <c r="J65" i="24"/>
  <c r="K65" i="24"/>
  <c r="L65" i="24"/>
  <c r="M65" i="24"/>
  <c r="N65" i="24"/>
  <c r="A66" i="24"/>
  <c r="B66" i="24"/>
  <c r="N66" i="24" s="1"/>
  <c r="P66" i="24" s="1"/>
  <c r="C66" i="24"/>
  <c r="D66" i="24"/>
  <c r="E66" i="24"/>
  <c r="O66" i="24" s="1"/>
  <c r="Q66" i="24" s="1"/>
  <c r="W66" i="24" s="1"/>
  <c r="F66" i="24"/>
  <c r="G66" i="24"/>
  <c r="H66" i="24"/>
  <c r="I66" i="24"/>
  <c r="J66" i="24"/>
  <c r="K66" i="24"/>
  <c r="L66" i="24"/>
  <c r="M66" i="24"/>
  <c r="S66" i="24" s="1"/>
  <c r="A67" i="24"/>
  <c r="B67" i="24"/>
  <c r="C67" i="24"/>
  <c r="D67" i="24"/>
  <c r="O67" i="24" s="1"/>
  <c r="Q67" i="24" s="1"/>
  <c r="W67" i="24" s="1"/>
  <c r="E67" i="24"/>
  <c r="F67" i="24"/>
  <c r="G67" i="24"/>
  <c r="H67" i="24"/>
  <c r="I67" i="24"/>
  <c r="J67" i="24"/>
  <c r="K67" i="24"/>
  <c r="L67" i="24"/>
  <c r="M67" i="24"/>
  <c r="N67" i="24"/>
  <c r="A68" i="24"/>
  <c r="B68" i="24"/>
  <c r="N68" i="24" s="1"/>
  <c r="C68" i="24"/>
  <c r="D68" i="24"/>
  <c r="E68" i="24"/>
  <c r="O68" i="24" s="1"/>
  <c r="Q68" i="24" s="1"/>
  <c r="W68" i="24" s="1"/>
  <c r="F68" i="24"/>
  <c r="G68" i="24"/>
  <c r="H68" i="24"/>
  <c r="I68" i="24"/>
  <c r="J68" i="24"/>
  <c r="K68" i="24"/>
  <c r="L68" i="24"/>
  <c r="M68" i="24"/>
  <c r="P68" i="24"/>
  <c r="A69" i="24"/>
  <c r="B69" i="24"/>
  <c r="C69" i="24"/>
  <c r="D69" i="24"/>
  <c r="E69" i="24"/>
  <c r="F69" i="24"/>
  <c r="G69" i="24"/>
  <c r="H69" i="24"/>
  <c r="I69" i="24"/>
  <c r="J69" i="24"/>
  <c r="K69" i="24"/>
  <c r="L69" i="24"/>
  <c r="M69" i="24"/>
  <c r="N69" i="24"/>
  <c r="A70" i="24"/>
  <c r="B70" i="24"/>
  <c r="C70" i="24"/>
  <c r="D70" i="24"/>
  <c r="E70" i="24"/>
  <c r="O70" i="24" s="1"/>
  <c r="F70" i="24"/>
  <c r="G70" i="24"/>
  <c r="H70" i="24"/>
  <c r="I70" i="24"/>
  <c r="J70" i="24"/>
  <c r="K70" i="24"/>
  <c r="L70" i="24"/>
  <c r="M70" i="24"/>
  <c r="Q70" i="24"/>
  <c r="W70" i="24" s="1"/>
  <c r="A71" i="24"/>
  <c r="B71" i="24"/>
  <c r="C71" i="24"/>
  <c r="D71" i="24"/>
  <c r="E71" i="24"/>
  <c r="F71" i="24"/>
  <c r="G71" i="24"/>
  <c r="H71" i="24"/>
  <c r="I71" i="24"/>
  <c r="N71" i="24" s="1"/>
  <c r="P71" i="24" s="1"/>
  <c r="V71" i="24" s="1"/>
  <c r="J71" i="24"/>
  <c r="K71" i="24"/>
  <c r="L71" i="24"/>
  <c r="M71" i="24"/>
  <c r="A72" i="24"/>
  <c r="B72" i="24"/>
  <c r="C72" i="24"/>
  <c r="D72" i="24"/>
  <c r="E72" i="24"/>
  <c r="F72" i="24"/>
  <c r="G72" i="24"/>
  <c r="H72" i="24"/>
  <c r="I72" i="24"/>
  <c r="J72" i="24"/>
  <c r="K72" i="24"/>
  <c r="L72" i="24"/>
  <c r="M72" i="24"/>
  <c r="A73" i="24"/>
  <c r="B73" i="24"/>
  <c r="C73" i="24"/>
  <c r="D73" i="24"/>
  <c r="O73" i="24" s="1"/>
  <c r="Q73" i="24" s="1"/>
  <c r="W73" i="24" s="1"/>
  <c r="E73" i="24"/>
  <c r="F73" i="24"/>
  <c r="G73" i="24"/>
  <c r="H73" i="24"/>
  <c r="I73" i="24"/>
  <c r="J73" i="24"/>
  <c r="K73" i="24"/>
  <c r="L73" i="24"/>
  <c r="M73" i="24"/>
  <c r="N73" i="24"/>
  <c r="A74" i="24"/>
  <c r="B74" i="24"/>
  <c r="C74" i="24"/>
  <c r="D74" i="24"/>
  <c r="E74" i="24"/>
  <c r="F74" i="24"/>
  <c r="G74" i="24"/>
  <c r="H74" i="24"/>
  <c r="I74" i="24"/>
  <c r="J74" i="24"/>
  <c r="K74" i="24"/>
  <c r="L74" i="24"/>
  <c r="M74" i="24"/>
  <c r="A75" i="24"/>
  <c r="B75" i="24"/>
  <c r="C75" i="24"/>
  <c r="D75" i="24"/>
  <c r="O75" i="24" s="1"/>
  <c r="Q75" i="24" s="1"/>
  <c r="W75" i="24" s="1"/>
  <c r="E75" i="24"/>
  <c r="F75" i="24"/>
  <c r="G75" i="24"/>
  <c r="H75" i="24"/>
  <c r="I75" i="24"/>
  <c r="J75" i="24"/>
  <c r="K75" i="24"/>
  <c r="L75" i="24"/>
  <c r="M75" i="24"/>
  <c r="N75" i="24"/>
  <c r="A76" i="24"/>
  <c r="B76" i="24"/>
  <c r="C76" i="24"/>
  <c r="D76" i="24"/>
  <c r="E76" i="24"/>
  <c r="F76" i="24"/>
  <c r="G76" i="24"/>
  <c r="H76" i="24"/>
  <c r="I76" i="24"/>
  <c r="J76" i="24"/>
  <c r="K76" i="24"/>
  <c r="L76" i="24"/>
  <c r="M76" i="24"/>
  <c r="A77" i="24"/>
  <c r="B77" i="24"/>
  <c r="C77" i="24"/>
  <c r="D77" i="24"/>
  <c r="O77" i="24" s="1"/>
  <c r="Q77" i="24" s="1"/>
  <c r="E77" i="24"/>
  <c r="F77" i="24"/>
  <c r="G77" i="24"/>
  <c r="N77" i="24" s="1"/>
  <c r="P77" i="24" s="1"/>
  <c r="V77" i="24" s="1"/>
  <c r="H77" i="24"/>
  <c r="I77" i="24"/>
  <c r="J77" i="24"/>
  <c r="K77" i="24"/>
  <c r="L77" i="24"/>
  <c r="M77" i="24"/>
  <c r="A78" i="24"/>
  <c r="B78" i="24"/>
  <c r="N78" i="24" s="1"/>
  <c r="P78" i="24" s="1"/>
  <c r="V78" i="24" s="1"/>
  <c r="Y78" i="24" s="1"/>
  <c r="C78" i="24"/>
  <c r="D78" i="24"/>
  <c r="E78" i="24"/>
  <c r="O78" i="24" s="1"/>
  <c r="Q78" i="24" s="1"/>
  <c r="W78" i="24" s="1"/>
  <c r="F78" i="24"/>
  <c r="G78" i="24"/>
  <c r="H78" i="24"/>
  <c r="I78" i="24"/>
  <c r="J78" i="24"/>
  <c r="K78" i="24"/>
  <c r="L78" i="24"/>
  <c r="M78" i="24"/>
  <c r="S78" i="24" s="1"/>
  <c r="A79" i="24"/>
  <c r="B79" i="24"/>
  <c r="C79" i="24"/>
  <c r="N79" i="24" s="1"/>
  <c r="P79" i="24" s="1"/>
  <c r="V79" i="24" s="1"/>
  <c r="D79" i="24"/>
  <c r="O79" i="24" s="1"/>
  <c r="Q79" i="24" s="1"/>
  <c r="E79" i="24"/>
  <c r="F79" i="24"/>
  <c r="G79" i="24"/>
  <c r="H79" i="24"/>
  <c r="I79" i="24"/>
  <c r="J79" i="24"/>
  <c r="K79" i="24"/>
  <c r="L79" i="24"/>
  <c r="R79" i="24" s="1"/>
  <c r="M79" i="24"/>
  <c r="A80" i="24"/>
  <c r="B80" i="24"/>
  <c r="N80" i="24" s="1"/>
  <c r="P80" i="24" s="1"/>
  <c r="V80" i="24" s="1"/>
  <c r="C80" i="24"/>
  <c r="D80" i="24"/>
  <c r="O80" i="24" s="1"/>
  <c r="Q80" i="24" s="1"/>
  <c r="W80" i="24" s="1"/>
  <c r="E80" i="24"/>
  <c r="F80" i="24"/>
  <c r="G80" i="24"/>
  <c r="H80" i="24"/>
  <c r="I80" i="24"/>
  <c r="J80" i="24"/>
  <c r="K80" i="24"/>
  <c r="L80" i="24"/>
  <c r="R80" i="24" s="1"/>
  <c r="M80" i="24"/>
  <c r="A81" i="24"/>
  <c r="B81" i="24"/>
  <c r="C81" i="24"/>
  <c r="N81" i="24" s="1"/>
  <c r="P81" i="24" s="1"/>
  <c r="V81" i="24" s="1"/>
  <c r="D81" i="24"/>
  <c r="O81" i="24" s="1"/>
  <c r="Q81" i="24" s="1"/>
  <c r="E81" i="24"/>
  <c r="F81" i="24"/>
  <c r="G81" i="24"/>
  <c r="H81" i="24"/>
  <c r="I81" i="24"/>
  <c r="J81" i="24"/>
  <c r="K81" i="24"/>
  <c r="L81" i="24"/>
  <c r="M81" i="24"/>
  <c r="A82" i="24"/>
  <c r="B82" i="24"/>
  <c r="N82" i="24" s="1"/>
  <c r="P82" i="24" s="1"/>
  <c r="V82" i="24" s="1"/>
  <c r="Y82" i="24" s="1"/>
  <c r="C82" i="24"/>
  <c r="D82" i="24"/>
  <c r="O82" i="24" s="1"/>
  <c r="Q82" i="24" s="1"/>
  <c r="W82" i="24" s="1"/>
  <c r="E82" i="24"/>
  <c r="F82" i="24"/>
  <c r="G82" i="24"/>
  <c r="H82" i="24"/>
  <c r="I82" i="24"/>
  <c r="J82" i="24"/>
  <c r="K82" i="24"/>
  <c r="L82" i="24"/>
  <c r="M82" i="24"/>
  <c r="S82" i="24" s="1"/>
  <c r="A83" i="24"/>
  <c r="B83" i="24"/>
  <c r="C83" i="24"/>
  <c r="N83" i="24" s="1"/>
  <c r="P83" i="24" s="1"/>
  <c r="V83" i="24" s="1"/>
  <c r="D83" i="24"/>
  <c r="O83" i="24" s="1"/>
  <c r="Q83" i="24" s="1"/>
  <c r="E83" i="24"/>
  <c r="F83" i="24"/>
  <c r="G83" i="24"/>
  <c r="H83" i="24"/>
  <c r="I83" i="24"/>
  <c r="J83" i="24"/>
  <c r="K83" i="24"/>
  <c r="L83" i="24"/>
  <c r="R83" i="24" s="1"/>
  <c r="M83" i="24"/>
  <c r="A84" i="24"/>
  <c r="B84" i="24"/>
  <c r="N84" i="24" s="1"/>
  <c r="P84" i="24" s="1"/>
  <c r="V84" i="24" s="1"/>
  <c r="C84" i="24"/>
  <c r="D84" i="24"/>
  <c r="O84" i="24" s="1"/>
  <c r="Q84" i="24" s="1"/>
  <c r="W84" i="24" s="1"/>
  <c r="E84" i="24"/>
  <c r="F84" i="24"/>
  <c r="G84" i="24"/>
  <c r="H84" i="24"/>
  <c r="I84" i="24"/>
  <c r="J84" i="24"/>
  <c r="K84" i="24"/>
  <c r="L84" i="24"/>
  <c r="R84" i="24" s="1"/>
  <c r="M84" i="24"/>
  <c r="A85" i="24"/>
  <c r="B85" i="24"/>
  <c r="C85" i="24"/>
  <c r="N85" i="24" s="1"/>
  <c r="P85" i="24" s="1"/>
  <c r="V85" i="24" s="1"/>
  <c r="D85" i="24"/>
  <c r="O85" i="24" s="1"/>
  <c r="Q85" i="24" s="1"/>
  <c r="E85" i="24"/>
  <c r="F85" i="24"/>
  <c r="G85" i="24"/>
  <c r="H85" i="24"/>
  <c r="I85" i="24"/>
  <c r="J85" i="24"/>
  <c r="K85" i="24"/>
  <c r="L85" i="24"/>
  <c r="M85" i="24"/>
  <c r="A86" i="24"/>
  <c r="B86" i="24"/>
  <c r="N86" i="24" s="1"/>
  <c r="P86" i="24" s="1"/>
  <c r="V86" i="24" s="1"/>
  <c r="Y86" i="24" s="1"/>
  <c r="C86" i="24"/>
  <c r="D86" i="24"/>
  <c r="O86" i="24" s="1"/>
  <c r="Q86" i="24" s="1"/>
  <c r="W86" i="24" s="1"/>
  <c r="E86" i="24"/>
  <c r="F86" i="24"/>
  <c r="G86" i="24"/>
  <c r="H86" i="24"/>
  <c r="I86" i="24"/>
  <c r="J86" i="24"/>
  <c r="K86" i="24"/>
  <c r="L86" i="24"/>
  <c r="M86" i="24"/>
  <c r="S86" i="24" s="1"/>
  <c r="A87" i="24"/>
  <c r="B87" i="24"/>
  <c r="C87" i="24"/>
  <c r="D87" i="24"/>
  <c r="O87" i="24" s="1"/>
  <c r="Q87" i="24" s="1"/>
  <c r="E87" i="24"/>
  <c r="F87" i="24"/>
  <c r="G87" i="24"/>
  <c r="H87" i="24"/>
  <c r="I87" i="24"/>
  <c r="J87" i="24"/>
  <c r="K87" i="24"/>
  <c r="L87" i="24"/>
  <c r="M87" i="24"/>
  <c r="A88" i="24"/>
  <c r="B88" i="24"/>
  <c r="N88" i="24" s="1"/>
  <c r="P88" i="24" s="1"/>
  <c r="V88" i="24" s="1"/>
  <c r="C88" i="24"/>
  <c r="D88" i="24"/>
  <c r="E88" i="24"/>
  <c r="F88" i="24"/>
  <c r="G88" i="24"/>
  <c r="H88" i="24"/>
  <c r="I88" i="24"/>
  <c r="J88" i="24"/>
  <c r="K88" i="24"/>
  <c r="L88" i="24"/>
  <c r="M88" i="24"/>
  <c r="A89" i="24"/>
  <c r="B89" i="24"/>
  <c r="C89" i="24"/>
  <c r="D89" i="24"/>
  <c r="O89" i="24" s="1"/>
  <c r="Q89" i="24" s="1"/>
  <c r="E89" i="24"/>
  <c r="F89" i="24"/>
  <c r="G89" i="24"/>
  <c r="N89" i="24" s="1"/>
  <c r="P89" i="24" s="1"/>
  <c r="V89" i="24" s="1"/>
  <c r="H89" i="24"/>
  <c r="I89" i="24"/>
  <c r="J89" i="24"/>
  <c r="K89" i="24"/>
  <c r="L89" i="24"/>
  <c r="R89" i="24" s="1"/>
  <c r="M89" i="24"/>
  <c r="A90" i="24"/>
  <c r="B90" i="24"/>
  <c r="N90" i="24" s="1"/>
  <c r="P90" i="24" s="1"/>
  <c r="V90" i="24" s="1"/>
  <c r="C90" i="24"/>
  <c r="D90" i="24"/>
  <c r="E90" i="24"/>
  <c r="F90" i="24"/>
  <c r="G90" i="24"/>
  <c r="H90" i="24"/>
  <c r="I90" i="24"/>
  <c r="J90" i="24"/>
  <c r="K90" i="24"/>
  <c r="L90" i="24"/>
  <c r="R90" i="24" s="1"/>
  <c r="M90" i="24"/>
  <c r="A91" i="24"/>
  <c r="B91" i="24"/>
  <c r="C91" i="24"/>
  <c r="D91" i="24"/>
  <c r="O91" i="24" s="1"/>
  <c r="E91" i="24"/>
  <c r="F91" i="24"/>
  <c r="G91" i="24"/>
  <c r="N91" i="24" s="1"/>
  <c r="P91" i="24" s="1"/>
  <c r="V91" i="24" s="1"/>
  <c r="H91" i="24"/>
  <c r="I91" i="24"/>
  <c r="J91" i="24"/>
  <c r="K91" i="24"/>
  <c r="L91" i="24"/>
  <c r="M91" i="24"/>
  <c r="Q91" i="24"/>
  <c r="A92" i="24"/>
  <c r="B92" i="24"/>
  <c r="N92" i="24" s="1"/>
  <c r="P92" i="24" s="1"/>
  <c r="V92" i="24" s="1"/>
  <c r="C92" i="24"/>
  <c r="D92" i="24"/>
  <c r="O92" i="24" s="1"/>
  <c r="Q92" i="24" s="1"/>
  <c r="W92" i="24" s="1"/>
  <c r="E92" i="24"/>
  <c r="F92" i="24"/>
  <c r="G92" i="24"/>
  <c r="H92" i="24"/>
  <c r="I92" i="24"/>
  <c r="J92" i="24"/>
  <c r="K92" i="24"/>
  <c r="L92" i="24"/>
  <c r="R92" i="24" s="1"/>
  <c r="M92" i="24"/>
  <c r="A93" i="24"/>
  <c r="B93" i="24"/>
  <c r="C93" i="24"/>
  <c r="D93" i="24"/>
  <c r="O93" i="24" s="1"/>
  <c r="E93" i="24"/>
  <c r="F93" i="24"/>
  <c r="G93" i="24"/>
  <c r="H93" i="24"/>
  <c r="I93" i="24"/>
  <c r="J93" i="24"/>
  <c r="K93" i="24"/>
  <c r="L93" i="24"/>
  <c r="M93" i="24"/>
  <c r="Q93" i="24"/>
  <c r="A94" i="24"/>
  <c r="B94" i="24"/>
  <c r="N94" i="24" s="1"/>
  <c r="P94" i="24" s="1"/>
  <c r="V94" i="24" s="1"/>
  <c r="C94" i="24"/>
  <c r="D94" i="24"/>
  <c r="E94" i="24"/>
  <c r="F94" i="24"/>
  <c r="G94" i="24"/>
  <c r="H94" i="24"/>
  <c r="I94" i="24"/>
  <c r="J94" i="24"/>
  <c r="K94" i="24"/>
  <c r="L94" i="24"/>
  <c r="M94" i="24"/>
  <c r="A95" i="24"/>
  <c r="B95" i="24"/>
  <c r="C95" i="24"/>
  <c r="D95" i="24"/>
  <c r="O95" i="24" s="1"/>
  <c r="Q95" i="24" s="1"/>
  <c r="E95" i="24"/>
  <c r="F95" i="24"/>
  <c r="G95" i="24"/>
  <c r="H95" i="24"/>
  <c r="I95" i="24"/>
  <c r="J95" i="24"/>
  <c r="K95" i="24"/>
  <c r="L95" i="24"/>
  <c r="M95" i="24"/>
  <c r="A96" i="24"/>
  <c r="B96" i="24"/>
  <c r="N96" i="24" s="1"/>
  <c r="P96" i="24" s="1"/>
  <c r="V96" i="24" s="1"/>
  <c r="C96" i="24"/>
  <c r="D96" i="24"/>
  <c r="E96" i="24"/>
  <c r="F96" i="24"/>
  <c r="G96" i="24"/>
  <c r="H96" i="24"/>
  <c r="I96" i="24"/>
  <c r="J96" i="24"/>
  <c r="K96" i="24"/>
  <c r="L96" i="24"/>
  <c r="M96" i="24"/>
  <c r="A97" i="24"/>
  <c r="B97" i="24"/>
  <c r="C97" i="24"/>
  <c r="D97" i="24"/>
  <c r="O97" i="24" s="1"/>
  <c r="Q97" i="24" s="1"/>
  <c r="E97" i="24"/>
  <c r="F97" i="24"/>
  <c r="G97" i="24"/>
  <c r="H97" i="24"/>
  <c r="N97" i="24" s="1"/>
  <c r="P97" i="24" s="1"/>
  <c r="V97" i="24" s="1"/>
  <c r="I97" i="24"/>
  <c r="J97" i="24"/>
  <c r="K97" i="24"/>
  <c r="L97" i="24"/>
  <c r="R97" i="24" s="1"/>
  <c r="M97" i="24"/>
  <c r="A98" i="24"/>
  <c r="B98" i="24"/>
  <c r="N98" i="24" s="1"/>
  <c r="C98" i="24"/>
  <c r="D98" i="24"/>
  <c r="E98" i="24"/>
  <c r="F98" i="24"/>
  <c r="G98" i="24"/>
  <c r="H98" i="24"/>
  <c r="I98" i="24"/>
  <c r="J98" i="24"/>
  <c r="K98" i="24"/>
  <c r="L98" i="24"/>
  <c r="M98" i="24"/>
  <c r="P98" i="24"/>
  <c r="V98" i="24" s="1"/>
  <c r="A99" i="24"/>
  <c r="B99" i="24"/>
  <c r="C99" i="24"/>
  <c r="D99" i="24"/>
  <c r="O99" i="24" s="1"/>
  <c r="E99" i="24"/>
  <c r="F99" i="24"/>
  <c r="G99" i="24"/>
  <c r="H99" i="24"/>
  <c r="I99" i="24"/>
  <c r="J99" i="24"/>
  <c r="K99" i="24"/>
  <c r="L99" i="24"/>
  <c r="M99" i="24"/>
  <c r="Q99" i="24"/>
  <c r="W99" i="24" s="1"/>
  <c r="A100" i="24"/>
  <c r="B100" i="24"/>
  <c r="N100" i="24" s="1"/>
  <c r="P100" i="24" s="1"/>
  <c r="V100" i="24" s="1"/>
  <c r="C100" i="24"/>
  <c r="D100" i="24"/>
  <c r="E100" i="24"/>
  <c r="F100" i="24"/>
  <c r="G100" i="24"/>
  <c r="H100" i="24"/>
  <c r="I100" i="24"/>
  <c r="J100" i="24"/>
  <c r="K100" i="24"/>
  <c r="L100" i="24"/>
  <c r="M100" i="24"/>
  <c r="A101" i="24"/>
  <c r="B101" i="24"/>
  <c r="C101" i="24"/>
  <c r="D101" i="24"/>
  <c r="O101" i="24" s="1"/>
  <c r="E101" i="24"/>
  <c r="F101" i="24"/>
  <c r="G101" i="24"/>
  <c r="H101" i="24"/>
  <c r="I101" i="24"/>
  <c r="J101" i="24"/>
  <c r="K101" i="24"/>
  <c r="L101" i="24"/>
  <c r="M101" i="24"/>
  <c r="S101" i="24" s="1"/>
  <c r="Q101" i="24"/>
  <c r="W101" i="24" s="1"/>
  <c r="A102" i="24"/>
  <c r="B102" i="24"/>
  <c r="C102" i="24"/>
  <c r="D102" i="24"/>
  <c r="O102" i="24" s="1"/>
  <c r="Q102" i="24" s="1"/>
  <c r="W102" i="24" s="1"/>
  <c r="E102" i="24"/>
  <c r="F102" i="24"/>
  <c r="G102" i="24"/>
  <c r="H102" i="24"/>
  <c r="I102" i="24"/>
  <c r="J102" i="24"/>
  <c r="K102" i="24"/>
  <c r="L102" i="24"/>
  <c r="M102" i="24"/>
  <c r="A103" i="24"/>
  <c r="B103" i="24"/>
  <c r="C103" i="24"/>
  <c r="D103" i="24"/>
  <c r="O103" i="24" s="1"/>
  <c r="Q103" i="24" s="1"/>
  <c r="W103" i="24" s="1"/>
  <c r="E103" i="24"/>
  <c r="F103" i="24"/>
  <c r="G103" i="24"/>
  <c r="H103" i="24"/>
  <c r="I103" i="24"/>
  <c r="J103" i="24"/>
  <c r="K103" i="24"/>
  <c r="L103" i="24"/>
  <c r="M103" i="24"/>
  <c r="A104" i="24"/>
  <c r="B104" i="24"/>
  <c r="N104" i="24" s="1"/>
  <c r="C104" i="24"/>
  <c r="D104" i="24"/>
  <c r="E104" i="24"/>
  <c r="F104" i="24"/>
  <c r="G104" i="24"/>
  <c r="H104" i="24"/>
  <c r="I104" i="24"/>
  <c r="J104" i="24"/>
  <c r="K104" i="24"/>
  <c r="L104" i="24"/>
  <c r="M104" i="24"/>
  <c r="P104" i="24"/>
  <c r="V104" i="24" s="1"/>
  <c r="A105" i="24"/>
  <c r="B105" i="24"/>
  <c r="C105" i="24"/>
  <c r="D105" i="24"/>
  <c r="E105" i="24"/>
  <c r="F105" i="24"/>
  <c r="G105" i="24"/>
  <c r="H105" i="24"/>
  <c r="I105" i="24"/>
  <c r="J105" i="24"/>
  <c r="K105" i="24"/>
  <c r="L105" i="24"/>
  <c r="M105" i="24"/>
  <c r="A106" i="24"/>
  <c r="B106" i="24"/>
  <c r="C106" i="24"/>
  <c r="D106" i="24"/>
  <c r="E106" i="24"/>
  <c r="F106" i="24"/>
  <c r="G106" i="24"/>
  <c r="H106" i="24"/>
  <c r="I106" i="24"/>
  <c r="J106" i="24"/>
  <c r="K106" i="24"/>
  <c r="L106" i="24"/>
  <c r="M106" i="24"/>
  <c r="A107" i="24"/>
  <c r="B107" i="24"/>
  <c r="C107" i="24"/>
  <c r="D107" i="24"/>
  <c r="O107" i="24" s="1"/>
  <c r="Q107" i="24" s="1"/>
  <c r="W107" i="24" s="1"/>
  <c r="E107" i="24"/>
  <c r="F107" i="24"/>
  <c r="F111" i="24" s="1"/>
  <c r="G107" i="24"/>
  <c r="N107" i="24" s="1"/>
  <c r="P107" i="24" s="1"/>
  <c r="V107" i="24" s="1"/>
  <c r="Y107" i="24" s="1"/>
  <c r="H107" i="24"/>
  <c r="I107" i="24"/>
  <c r="J107" i="24"/>
  <c r="K107" i="24"/>
  <c r="L107" i="24"/>
  <c r="M107" i="24"/>
  <c r="A108" i="24"/>
  <c r="B108" i="24"/>
  <c r="C108" i="24"/>
  <c r="D108" i="24"/>
  <c r="E108" i="24"/>
  <c r="E111" i="24" s="1"/>
  <c r="F108" i="24"/>
  <c r="G108" i="24"/>
  <c r="H108" i="24"/>
  <c r="I108" i="24"/>
  <c r="J108" i="24"/>
  <c r="K108" i="24"/>
  <c r="L108" i="24"/>
  <c r="M108" i="24"/>
  <c r="A109" i="24"/>
  <c r="B109" i="24"/>
  <c r="C109" i="24"/>
  <c r="N109" i="24" s="1"/>
  <c r="P109" i="24" s="1"/>
  <c r="V109" i="24" s="1"/>
  <c r="D109" i="24"/>
  <c r="O109" i="24" s="1"/>
  <c r="Q109" i="24" s="1"/>
  <c r="E109" i="24"/>
  <c r="F109" i="24"/>
  <c r="G109" i="24"/>
  <c r="G111" i="24" s="1"/>
  <c r="H109" i="24"/>
  <c r="I109" i="24"/>
  <c r="J109" i="24"/>
  <c r="K109" i="24"/>
  <c r="K111" i="24" s="1"/>
  <c r="L109" i="24"/>
  <c r="M109" i="24"/>
  <c r="A110" i="24"/>
  <c r="B110" i="24"/>
  <c r="N110" i="24" s="1"/>
  <c r="P110" i="24" s="1"/>
  <c r="C110" i="24"/>
  <c r="D110" i="24"/>
  <c r="E110" i="24"/>
  <c r="O110" i="24" s="1"/>
  <c r="Q110" i="24" s="1"/>
  <c r="F110" i="24"/>
  <c r="G110" i="24"/>
  <c r="H110" i="24"/>
  <c r="I110" i="24"/>
  <c r="J110" i="24"/>
  <c r="J111" i="24" s="1"/>
  <c r="K110" i="24"/>
  <c r="L110" i="24"/>
  <c r="M110" i="24"/>
  <c r="D111" i="24"/>
  <c r="H111" i="24"/>
  <c r="I111" i="24"/>
  <c r="B8" i="23"/>
  <c r="C8" i="23"/>
  <c r="O12" i="23" s="1"/>
  <c r="Q12" i="23" s="1"/>
  <c r="W12" i="23" s="1"/>
  <c r="D8" i="23"/>
  <c r="L12" i="23" s="1"/>
  <c r="E8" i="23"/>
  <c r="F8" i="23"/>
  <c r="G8" i="23"/>
  <c r="L14" i="23" s="1"/>
  <c r="H8" i="23"/>
  <c r="I8" i="23"/>
  <c r="J8" i="23"/>
  <c r="K8" i="23"/>
  <c r="A11" i="23"/>
  <c r="B11" i="23"/>
  <c r="C11" i="23"/>
  <c r="D11" i="23"/>
  <c r="E11" i="23"/>
  <c r="F11" i="23"/>
  <c r="G11" i="23"/>
  <c r="H11" i="23"/>
  <c r="I11" i="23"/>
  <c r="J11" i="23"/>
  <c r="K11" i="23"/>
  <c r="L11" i="23"/>
  <c r="R11" i="23" s="1"/>
  <c r="M11" i="23"/>
  <c r="N11" i="23"/>
  <c r="P11" i="23" s="1"/>
  <c r="V11" i="23" s="1"/>
  <c r="A12" i="23"/>
  <c r="B12" i="23"/>
  <c r="N12" i="23" s="1"/>
  <c r="P12" i="23" s="1"/>
  <c r="V12" i="23" s="1"/>
  <c r="Y12" i="23" s="1"/>
  <c r="C12" i="23"/>
  <c r="D12" i="23"/>
  <c r="E12" i="23"/>
  <c r="F12" i="23"/>
  <c r="G12" i="23"/>
  <c r="H12" i="23"/>
  <c r="I12" i="23"/>
  <c r="J12" i="23"/>
  <c r="K12" i="23"/>
  <c r="M12" i="23"/>
  <c r="A13" i="23"/>
  <c r="B13" i="23"/>
  <c r="C13" i="23"/>
  <c r="D13" i="23"/>
  <c r="E13" i="23"/>
  <c r="F13" i="23"/>
  <c r="G13" i="23"/>
  <c r="H13" i="23"/>
  <c r="I13" i="23"/>
  <c r="J13" i="23"/>
  <c r="K13" i="23"/>
  <c r="L13" i="23"/>
  <c r="M13" i="23"/>
  <c r="N13" i="23"/>
  <c r="P13" i="23" s="1"/>
  <c r="V13" i="23" s="1"/>
  <c r="A14" i="23"/>
  <c r="B14" i="23"/>
  <c r="N14" i="23" s="1"/>
  <c r="C14" i="23"/>
  <c r="D14" i="23"/>
  <c r="E14" i="23"/>
  <c r="F14" i="23"/>
  <c r="G14" i="23"/>
  <c r="H14" i="23"/>
  <c r="I14" i="23"/>
  <c r="J14" i="23"/>
  <c r="K14" i="23"/>
  <c r="M14" i="23"/>
  <c r="A15" i="23"/>
  <c r="B15" i="23"/>
  <c r="C15" i="23"/>
  <c r="D15" i="23"/>
  <c r="E15" i="23"/>
  <c r="F15" i="23"/>
  <c r="G15" i="23"/>
  <c r="H15" i="23"/>
  <c r="I15" i="23"/>
  <c r="N15" i="23" s="1"/>
  <c r="P15" i="23" s="1"/>
  <c r="V15" i="23" s="1"/>
  <c r="J15" i="23"/>
  <c r="K15" i="23"/>
  <c r="L15" i="23"/>
  <c r="M15" i="23"/>
  <c r="A16" i="23"/>
  <c r="B16" i="23"/>
  <c r="N16" i="23" s="1"/>
  <c r="P16" i="23" s="1"/>
  <c r="C16" i="23"/>
  <c r="D16" i="23"/>
  <c r="E16" i="23"/>
  <c r="F16" i="23"/>
  <c r="G16" i="23"/>
  <c r="H16" i="23"/>
  <c r="I16" i="23"/>
  <c r="J16" i="23"/>
  <c r="K16" i="23"/>
  <c r="L16" i="23"/>
  <c r="M16" i="23"/>
  <c r="A17" i="23"/>
  <c r="B17" i="23"/>
  <c r="C17" i="23"/>
  <c r="D17" i="23"/>
  <c r="E17" i="23"/>
  <c r="F17" i="23"/>
  <c r="G17" i="23"/>
  <c r="H17" i="23"/>
  <c r="I17" i="23"/>
  <c r="N17" i="23" s="1"/>
  <c r="P17" i="23" s="1"/>
  <c r="V17" i="23" s="1"/>
  <c r="J17" i="23"/>
  <c r="K17" i="23"/>
  <c r="L17" i="23"/>
  <c r="M17" i="23"/>
  <c r="A18" i="23"/>
  <c r="B18" i="23"/>
  <c r="N18" i="23" s="1"/>
  <c r="P18" i="23" s="1"/>
  <c r="C18" i="23"/>
  <c r="D18" i="23"/>
  <c r="E18" i="23"/>
  <c r="F18" i="23"/>
  <c r="G18" i="23"/>
  <c r="H18" i="23"/>
  <c r="I18" i="23"/>
  <c r="J18" i="23"/>
  <c r="K18" i="23"/>
  <c r="L18" i="23"/>
  <c r="M18" i="23"/>
  <c r="A19" i="23"/>
  <c r="B19" i="23"/>
  <c r="C19" i="23"/>
  <c r="D19" i="23"/>
  <c r="E19" i="23"/>
  <c r="F19" i="23"/>
  <c r="G19" i="23"/>
  <c r="H19" i="23"/>
  <c r="I19" i="23"/>
  <c r="N19" i="23" s="1"/>
  <c r="P19" i="23" s="1"/>
  <c r="V19" i="23" s="1"/>
  <c r="J19" i="23"/>
  <c r="K19" i="23"/>
  <c r="L19" i="23"/>
  <c r="R19" i="23" s="1"/>
  <c r="M19" i="23"/>
  <c r="A20" i="23"/>
  <c r="B20" i="23"/>
  <c r="N20" i="23" s="1"/>
  <c r="P20" i="23" s="1"/>
  <c r="C20" i="23"/>
  <c r="D20" i="23"/>
  <c r="E20" i="23"/>
  <c r="F20" i="23"/>
  <c r="G20" i="23"/>
  <c r="H20" i="23"/>
  <c r="I20" i="23"/>
  <c r="J20" i="23"/>
  <c r="K20" i="23"/>
  <c r="L20" i="23"/>
  <c r="M20" i="23"/>
  <c r="A21" i="23"/>
  <c r="B21" i="23"/>
  <c r="C21" i="23"/>
  <c r="D21" i="23"/>
  <c r="E21" i="23"/>
  <c r="F21" i="23"/>
  <c r="G21" i="23"/>
  <c r="H21" i="23"/>
  <c r="I21" i="23"/>
  <c r="N21" i="23" s="1"/>
  <c r="P21" i="23" s="1"/>
  <c r="V21" i="23" s="1"/>
  <c r="J21" i="23"/>
  <c r="K21" i="23"/>
  <c r="L21" i="23"/>
  <c r="M21" i="23"/>
  <c r="A22" i="23"/>
  <c r="B22" i="23"/>
  <c r="N22" i="23" s="1"/>
  <c r="P22" i="23" s="1"/>
  <c r="C22" i="23"/>
  <c r="D22" i="23"/>
  <c r="E22" i="23"/>
  <c r="F22" i="23"/>
  <c r="G22" i="23"/>
  <c r="H22" i="23"/>
  <c r="I22" i="23"/>
  <c r="J22" i="23"/>
  <c r="K22" i="23"/>
  <c r="L22" i="23"/>
  <c r="M22" i="23"/>
  <c r="A23" i="23"/>
  <c r="B23" i="23"/>
  <c r="C23" i="23"/>
  <c r="D23" i="23"/>
  <c r="E23" i="23"/>
  <c r="F23" i="23"/>
  <c r="G23" i="23"/>
  <c r="H23" i="23"/>
  <c r="I23" i="23"/>
  <c r="N23" i="23" s="1"/>
  <c r="P23" i="23" s="1"/>
  <c r="V23" i="23" s="1"/>
  <c r="J23" i="23"/>
  <c r="K23" i="23"/>
  <c r="L23" i="23"/>
  <c r="M23" i="23"/>
  <c r="A24" i="23"/>
  <c r="B24" i="23"/>
  <c r="N24" i="23" s="1"/>
  <c r="P24" i="23" s="1"/>
  <c r="C24" i="23"/>
  <c r="D24" i="23"/>
  <c r="E24" i="23"/>
  <c r="F24" i="23"/>
  <c r="G24" i="23"/>
  <c r="H24" i="23"/>
  <c r="I24" i="23"/>
  <c r="J24" i="23"/>
  <c r="K24" i="23"/>
  <c r="L24" i="23"/>
  <c r="M24" i="23"/>
  <c r="A25" i="23"/>
  <c r="B25" i="23"/>
  <c r="C25" i="23"/>
  <c r="D25" i="23"/>
  <c r="E25" i="23"/>
  <c r="F25" i="23"/>
  <c r="G25" i="23"/>
  <c r="H25" i="23"/>
  <c r="I25" i="23"/>
  <c r="N25" i="23" s="1"/>
  <c r="P25" i="23" s="1"/>
  <c r="V25" i="23" s="1"/>
  <c r="J25" i="23"/>
  <c r="K25" i="23"/>
  <c r="L25" i="23"/>
  <c r="M25" i="23"/>
  <c r="A26" i="23"/>
  <c r="B26" i="23"/>
  <c r="N26" i="23" s="1"/>
  <c r="P26" i="23" s="1"/>
  <c r="C26" i="23"/>
  <c r="D26" i="23"/>
  <c r="O26" i="23" s="1"/>
  <c r="Q26" i="23" s="1"/>
  <c r="W26" i="23" s="1"/>
  <c r="E26" i="23"/>
  <c r="F26" i="23"/>
  <c r="G26" i="23"/>
  <c r="H26" i="23"/>
  <c r="I26" i="23"/>
  <c r="J26" i="23"/>
  <c r="K26" i="23"/>
  <c r="L26" i="23"/>
  <c r="M26" i="23"/>
  <c r="A27" i="23"/>
  <c r="B27" i="23"/>
  <c r="C27" i="23"/>
  <c r="D27" i="23"/>
  <c r="O27" i="23" s="1"/>
  <c r="Q27" i="23" s="1"/>
  <c r="W27" i="23" s="1"/>
  <c r="E27" i="23"/>
  <c r="F27" i="23"/>
  <c r="G27" i="23"/>
  <c r="H27" i="23"/>
  <c r="I27" i="23"/>
  <c r="N27" i="23" s="1"/>
  <c r="P27" i="23" s="1"/>
  <c r="V27" i="23" s="1"/>
  <c r="J27" i="23"/>
  <c r="K27" i="23"/>
  <c r="L27" i="23"/>
  <c r="R27" i="23" s="1"/>
  <c r="M27" i="23"/>
  <c r="S27" i="23" s="1"/>
  <c r="A28" i="23"/>
  <c r="B28" i="23"/>
  <c r="C28" i="23"/>
  <c r="D28" i="23"/>
  <c r="O28" i="23" s="1"/>
  <c r="E28" i="23"/>
  <c r="F28" i="23"/>
  <c r="G28" i="23"/>
  <c r="H28" i="23"/>
  <c r="I28" i="23"/>
  <c r="J28" i="23"/>
  <c r="K28" i="23"/>
  <c r="L28" i="23"/>
  <c r="M28" i="23"/>
  <c r="Q28" i="23"/>
  <c r="W28" i="23" s="1"/>
  <c r="A29" i="23"/>
  <c r="B29" i="23"/>
  <c r="C29" i="23"/>
  <c r="D29" i="23"/>
  <c r="E29" i="23"/>
  <c r="F29" i="23"/>
  <c r="G29" i="23"/>
  <c r="H29" i="23"/>
  <c r="I29" i="23"/>
  <c r="N29" i="23" s="1"/>
  <c r="P29" i="23" s="1"/>
  <c r="V29" i="23" s="1"/>
  <c r="J29" i="23"/>
  <c r="K29" i="23"/>
  <c r="L29" i="23"/>
  <c r="M29" i="23"/>
  <c r="A30" i="23"/>
  <c r="B30" i="23"/>
  <c r="C30" i="23"/>
  <c r="D30" i="23"/>
  <c r="E30" i="23"/>
  <c r="F30" i="23"/>
  <c r="G30" i="23"/>
  <c r="H30" i="23"/>
  <c r="I30" i="23"/>
  <c r="J30" i="23"/>
  <c r="K30" i="23"/>
  <c r="L30" i="23"/>
  <c r="M30" i="23"/>
  <c r="A31" i="23"/>
  <c r="B31" i="23"/>
  <c r="C31" i="23"/>
  <c r="D31" i="23"/>
  <c r="E31" i="23"/>
  <c r="F31" i="23"/>
  <c r="G31" i="23"/>
  <c r="H31" i="23"/>
  <c r="I31" i="23"/>
  <c r="N31" i="23" s="1"/>
  <c r="J31" i="23"/>
  <c r="K31" i="23"/>
  <c r="L31" i="23"/>
  <c r="M31" i="23"/>
  <c r="A32" i="23"/>
  <c r="B32" i="23"/>
  <c r="N32" i="23" s="1"/>
  <c r="P32" i="23" s="1"/>
  <c r="C32" i="23"/>
  <c r="D32" i="23"/>
  <c r="E32" i="23"/>
  <c r="F32" i="23"/>
  <c r="G32" i="23"/>
  <c r="H32" i="23"/>
  <c r="I32" i="23"/>
  <c r="J32" i="23"/>
  <c r="K32" i="23"/>
  <c r="L32" i="23"/>
  <c r="M32" i="23"/>
  <c r="A33" i="23"/>
  <c r="B33" i="23"/>
  <c r="C33" i="23"/>
  <c r="D33" i="23"/>
  <c r="E33" i="23"/>
  <c r="F33" i="23"/>
  <c r="G33" i="23"/>
  <c r="H33" i="23"/>
  <c r="I33" i="23"/>
  <c r="N33" i="23" s="1"/>
  <c r="P33" i="23" s="1"/>
  <c r="V33" i="23" s="1"/>
  <c r="J33" i="23"/>
  <c r="K33" i="23"/>
  <c r="L33" i="23"/>
  <c r="M33" i="23"/>
  <c r="A34" i="23"/>
  <c r="B34" i="23"/>
  <c r="C34" i="23"/>
  <c r="D34" i="23"/>
  <c r="E34" i="23"/>
  <c r="F34" i="23"/>
  <c r="G34" i="23"/>
  <c r="H34" i="23"/>
  <c r="I34" i="23"/>
  <c r="J34" i="23"/>
  <c r="K34" i="23"/>
  <c r="L34" i="23"/>
  <c r="M34" i="23"/>
  <c r="A35" i="23"/>
  <c r="B35" i="23"/>
  <c r="C35" i="23"/>
  <c r="D35" i="23"/>
  <c r="E35" i="23"/>
  <c r="F35" i="23"/>
  <c r="G35" i="23"/>
  <c r="H35" i="23"/>
  <c r="I35" i="23"/>
  <c r="N35" i="23" s="1"/>
  <c r="P35" i="23" s="1"/>
  <c r="V35" i="23" s="1"/>
  <c r="J35" i="23"/>
  <c r="K35" i="23"/>
  <c r="L35" i="23"/>
  <c r="M35" i="23"/>
  <c r="A36" i="23"/>
  <c r="B36" i="23"/>
  <c r="C36" i="23"/>
  <c r="D36" i="23"/>
  <c r="E36" i="23"/>
  <c r="F36" i="23"/>
  <c r="G36" i="23"/>
  <c r="H36" i="23"/>
  <c r="I36" i="23"/>
  <c r="J36" i="23"/>
  <c r="K36" i="23"/>
  <c r="L36" i="23"/>
  <c r="M36" i="23"/>
  <c r="A37" i="23"/>
  <c r="B37" i="23"/>
  <c r="C37" i="23"/>
  <c r="D37" i="23"/>
  <c r="E37" i="23"/>
  <c r="F37" i="23"/>
  <c r="G37" i="23"/>
  <c r="H37" i="23"/>
  <c r="I37" i="23"/>
  <c r="N37" i="23" s="1"/>
  <c r="P37" i="23" s="1"/>
  <c r="V37" i="23" s="1"/>
  <c r="J37" i="23"/>
  <c r="K37" i="23"/>
  <c r="L37" i="23"/>
  <c r="M37" i="23"/>
  <c r="A38" i="23"/>
  <c r="B38" i="23"/>
  <c r="N38" i="23" s="1"/>
  <c r="P38" i="23" s="1"/>
  <c r="R38" i="23" s="1"/>
  <c r="C38" i="23"/>
  <c r="D38" i="23"/>
  <c r="E38" i="23"/>
  <c r="F38" i="23"/>
  <c r="G38" i="23"/>
  <c r="H38" i="23"/>
  <c r="I38" i="23"/>
  <c r="J38" i="23"/>
  <c r="K38" i="23"/>
  <c r="L38" i="23"/>
  <c r="M38" i="23"/>
  <c r="A39" i="23"/>
  <c r="B39" i="23"/>
  <c r="C39" i="23"/>
  <c r="D39" i="23"/>
  <c r="O39" i="23" s="1"/>
  <c r="Q39" i="23" s="1"/>
  <c r="W39" i="23" s="1"/>
  <c r="E39" i="23"/>
  <c r="F39" i="23"/>
  <c r="G39" i="23"/>
  <c r="H39" i="23"/>
  <c r="I39" i="23"/>
  <c r="J39" i="23"/>
  <c r="K39" i="23"/>
  <c r="L39" i="23"/>
  <c r="M39" i="23"/>
  <c r="N39" i="23"/>
  <c r="A40" i="23"/>
  <c r="B40" i="23"/>
  <c r="C40" i="23"/>
  <c r="D40" i="23"/>
  <c r="O40" i="23" s="1"/>
  <c r="Q40" i="23" s="1"/>
  <c r="W40" i="23" s="1"/>
  <c r="E40" i="23"/>
  <c r="F40" i="23"/>
  <c r="G40" i="23"/>
  <c r="H40" i="23"/>
  <c r="I40" i="23"/>
  <c r="J40" i="23"/>
  <c r="K40" i="23"/>
  <c r="L40" i="23"/>
  <c r="M40" i="23"/>
  <c r="N40" i="23"/>
  <c r="A41" i="23"/>
  <c r="B41" i="23"/>
  <c r="C41" i="23"/>
  <c r="D41" i="23"/>
  <c r="O41" i="23" s="1"/>
  <c r="Q41" i="23" s="1"/>
  <c r="W41" i="23" s="1"/>
  <c r="E41" i="23"/>
  <c r="F41" i="23"/>
  <c r="G41" i="23"/>
  <c r="H41" i="23"/>
  <c r="I41" i="23"/>
  <c r="J41" i="23"/>
  <c r="K41" i="23"/>
  <c r="L41" i="23"/>
  <c r="M41" i="23"/>
  <c r="N41" i="23"/>
  <c r="P41" i="23" s="1"/>
  <c r="V41" i="23"/>
  <c r="Y41" i="23" s="1"/>
  <c r="A42" i="23"/>
  <c r="B42" i="23"/>
  <c r="C42" i="23"/>
  <c r="D42" i="23"/>
  <c r="O42" i="23" s="1"/>
  <c r="Q42" i="23" s="1"/>
  <c r="W42" i="23" s="1"/>
  <c r="E42" i="23"/>
  <c r="F42" i="23"/>
  <c r="G42" i="23"/>
  <c r="H42" i="23"/>
  <c r="I42" i="23"/>
  <c r="J42" i="23"/>
  <c r="K42" i="23"/>
  <c r="L42" i="23"/>
  <c r="M42" i="23"/>
  <c r="N42" i="23"/>
  <c r="A43" i="23"/>
  <c r="B43" i="23"/>
  <c r="C43" i="23"/>
  <c r="D43" i="23"/>
  <c r="O43" i="23" s="1"/>
  <c r="Q43" i="23" s="1"/>
  <c r="W43" i="23" s="1"/>
  <c r="E43" i="23"/>
  <c r="F43" i="23"/>
  <c r="G43" i="23"/>
  <c r="H43" i="23"/>
  <c r="I43" i="23"/>
  <c r="J43" i="23"/>
  <c r="K43" i="23"/>
  <c r="L43" i="23"/>
  <c r="M43" i="23"/>
  <c r="N43" i="23"/>
  <c r="A44" i="23"/>
  <c r="B44" i="23"/>
  <c r="C44" i="23"/>
  <c r="D44" i="23"/>
  <c r="O44" i="23" s="1"/>
  <c r="Q44" i="23" s="1"/>
  <c r="W44" i="23" s="1"/>
  <c r="E44" i="23"/>
  <c r="F44" i="23"/>
  <c r="G44" i="23"/>
  <c r="H44" i="23"/>
  <c r="I44" i="23"/>
  <c r="J44" i="23"/>
  <c r="K44" i="23"/>
  <c r="L44" i="23"/>
  <c r="M44" i="23"/>
  <c r="N44" i="23"/>
  <c r="P44" i="23" s="1"/>
  <c r="V44" i="23" s="1"/>
  <c r="Y44" i="23" s="1"/>
  <c r="A45" i="23"/>
  <c r="B45" i="23"/>
  <c r="C45" i="23"/>
  <c r="D45" i="23"/>
  <c r="O45" i="23" s="1"/>
  <c r="Q45" i="23" s="1"/>
  <c r="W45" i="23" s="1"/>
  <c r="E45" i="23"/>
  <c r="F45" i="23"/>
  <c r="G45" i="23"/>
  <c r="H45" i="23"/>
  <c r="I45" i="23"/>
  <c r="J45" i="23"/>
  <c r="K45" i="23"/>
  <c r="L45" i="23"/>
  <c r="M45" i="23"/>
  <c r="N45" i="23"/>
  <c r="P45" i="23" s="1"/>
  <c r="V45" i="23"/>
  <c r="Y45" i="23" s="1"/>
  <c r="A46" i="23"/>
  <c r="B46" i="23"/>
  <c r="C46" i="23"/>
  <c r="D46" i="23"/>
  <c r="O46" i="23" s="1"/>
  <c r="Q46" i="23" s="1"/>
  <c r="W46" i="23" s="1"/>
  <c r="E46" i="23"/>
  <c r="F46" i="23"/>
  <c r="G46" i="23"/>
  <c r="H46" i="23"/>
  <c r="I46" i="23"/>
  <c r="J46" i="23"/>
  <c r="K46" i="23"/>
  <c r="L46" i="23"/>
  <c r="M46" i="23"/>
  <c r="N46" i="23"/>
  <c r="A47" i="23"/>
  <c r="B47" i="23"/>
  <c r="C47" i="23"/>
  <c r="D47" i="23"/>
  <c r="O47" i="23" s="1"/>
  <c r="Q47" i="23" s="1"/>
  <c r="W47" i="23" s="1"/>
  <c r="E47" i="23"/>
  <c r="F47" i="23"/>
  <c r="G47" i="23"/>
  <c r="H47" i="23"/>
  <c r="I47" i="23"/>
  <c r="J47" i="23"/>
  <c r="K47" i="23"/>
  <c r="L47" i="23"/>
  <c r="M47" i="23"/>
  <c r="N47" i="23"/>
  <c r="A48" i="23"/>
  <c r="B48" i="23"/>
  <c r="C48" i="23"/>
  <c r="D48" i="23"/>
  <c r="O48" i="23" s="1"/>
  <c r="Q48" i="23" s="1"/>
  <c r="W48" i="23" s="1"/>
  <c r="E48" i="23"/>
  <c r="F48" i="23"/>
  <c r="G48" i="23"/>
  <c r="H48" i="23"/>
  <c r="I48" i="23"/>
  <c r="J48" i="23"/>
  <c r="K48" i="23"/>
  <c r="L48" i="23"/>
  <c r="M48" i="23"/>
  <c r="N48" i="23"/>
  <c r="A49" i="23"/>
  <c r="B49" i="23"/>
  <c r="C49" i="23"/>
  <c r="D49" i="23"/>
  <c r="O49" i="23" s="1"/>
  <c r="Q49" i="23" s="1"/>
  <c r="W49" i="23" s="1"/>
  <c r="E49" i="23"/>
  <c r="F49" i="23"/>
  <c r="G49" i="23"/>
  <c r="H49" i="23"/>
  <c r="I49" i="23"/>
  <c r="J49" i="23"/>
  <c r="K49" i="23"/>
  <c r="L49" i="23"/>
  <c r="M49" i="23"/>
  <c r="N49" i="23"/>
  <c r="P49" i="23" s="1"/>
  <c r="V49" i="23"/>
  <c r="Y49" i="23" s="1"/>
  <c r="A50" i="23"/>
  <c r="B50" i="23"/>
  <c r="C50" i="23"/>
  <c r="D50" i="23"/>
  <c r="O50" i="23" s="1"/>
  <c r="Q50" i="23" s="1"/>
  <c r="W50" i="23" s="1"/>
  <c r="E50" i="23"/>
  <c r="F50" i="23"/>
  <c r="G50" i="23"/>
  <c r="H50" i="23"/>
  <c r="I50" i="23"/>
  <c r="J50" i="23"/>
  <c r="K50" i="23"/>
  <c r="L50" i="23"/>
  <c r="M50" i="23"/>
  <c r="N50" i="23"/>
  <c r="A51" i="23"/>
  <c r="B51" i="23"/>
  <c r="C51" i="23"/>
  <c r="D51" i="23"/>
  <c r="O51" i="23" s="1"/>
  <c r="Q51" i="23" s="1"/>
  <c r="W51" i="23" s="1"/>
  <c r="E51" i="23"/>
  <c r="F51" i="23"/>
  <c r="G51" i="23"/>
  <c r="H51" i="23"/>
  <c r="I51" i="23"/>
  <c r="J51" i="23"/>
  <c r="K51" i="23"/>
  <c r="L51" i="23"/>
  <c r="M51" i="23"/>
  <c r="N51" i="23"/>
  <c r="A52" i="23"/>
  <c r="B52" i="23"/>
  <c r="C52" i="23"/>
  <c r="D52" i="23"/>
  <c r="O52" i="23" s="1"/>
  <c r="Q52" i="23" s="1"/>
  <c r="W52" i="23" s="1"/>
  <c r="E52" i="23"/>
  <c r="F52" i="23"/>
  <c r="G52" i="23"/>
  <c r="H52" i="23"/>
  <c r="I52" i="23"/>
  <c r="J52" i="23"/>
  <c r="K52" i="23"/>
  <c r="L52" i="23"/>
  <c r="M52" i="23"/>
  <c r="N52" i="23"/>
  <c r="A53" i="23"/>
  <c r="B53" i="23"/>
  <c r="C53" i="23"/>
  <c r="D53" i="23"/>
  <c r="O53" i="23" s="1"/>
  <c r="Q53" i="23" s="1"/>
  <c r="W53" i="23" s="1"/>
  <c r="E53" i="23"/>
  <c r="F53" i="23"/>
  <c r="G53" i="23"/>
  <c r="H53" i="23"/>
  <c r="I53" i="23"/>
  <c r="J53" i="23"/>
  <c r="K53" i="23"/>
  <c r="L53" i="23"/>
  <c r="M53" i="23"/>
  <c r="S53" i="23" s="1"/>
  <c r="N53" i="23"/>
  <c r="A54" i="23"/>
  <c r="B54" i="23"/>
  <c r="C54" i="23"/>
  <c r="D54" i="23"/>
  <c r="O54" i="23" s="1"/>
  <c r="Q54" i="23" s="1"/>
  <c r="W54" i="23" s="1"/>
  <c r="E54" i="23"/>
  <c r="F54" i="23"/>
  <c r="G54" i="23"/>
  <c r="H54" i="23"/>
  <c r="I54" i="23"/>
  <c r="J54" i="23"/>
  <c r="K54" i="23"/>
  <c r="L54" i="23"/>
  <c r="M54" i="23"/>
  <c r="A55" i="23"/>
  <c r="B55" i="23"/>
  <c r="C55" i="23"/>
  <c r="D55" i="23"/>
  <c r="E55" i="23"/>
  <c r="F55" i="23"/>
  <c r="G55" i="23"/>
  <c r="H55" i="23"/>
  <c r="I55" i="23"/>
  <c r="J55" i="23"/>
  <c r="K55" i="23"/>
  <c r="L55" i="23"/>
  <c r="M55" i="23"/>
  <c r="N55" i="23"/>
  <c r="P55" i="23" s="1"/>
  <c r="V55" i="23" s="1"/>
  <c r="A56" i="23"/>
  <c r="B56" i="23"/>
  <c r="N56" i="23" s="1"/>
  <c r="P56" i="23" s="1"/>
  <c r="C56" i="23"/>
  <c r="D56" i="23"/>
  <c r="E56" i="23"/>
  <c r="F56" i="23"/>
  <c r="G56" i="23"/>
  <c r="H56" i="23"/>
  <c r="I56" i="23"/>
  <c r="J56" i="23"/>
  <c r="K56" i="23"/>
  <c r="L56" i="23"/>
  <c r="M56" i="23"/>
  <c r="A57" i="23"/>
  <c r="B57" i="23"/>
  <c r="C57" i="23"/>
  <c r="D57" i="23"/>
  <c r="O57" i="23" s="1"/>
  <c r="Q57" i="23" s="1"/>
  <c r="W57" i="23" s="1"/>
  <c r="E57" i="23"/>
  <c r="F57" i="23"/>
  <c r="G57" i="23"/>
  <c r="H57" i="23"/>
  <c r="I57" i="23"/>
  <c r="J57" i="23"/>
  <c r="K57" i="23"/>
  <c r="L57" i="23"/>
  <c r="M57" i="23"/>
  <c r="N57" i="23"/>
  <c r="A58" i="23"/>
  <c r="B58" i="23"/>
  <c r="C58" i="23"/>
  <c r="D58" i="23"/>
  <c r="E58" i="23"/>
  <c r="F58" i="23"/>
  <c r="G58" i="23"/>
  <c r="H58" i="23"/>
  <c r="I58" i="23"/>
  <c r="J58" i="23"/>
  <c r="K58" i="23"/>
  <c r="L58" i="23"/>
  <c r="M58" i="23"/>
  <c r="A59" i="23"/>
  <c r="B59" i="23"/>
  <c r="C59" i="23"/>
  <c r="D59" i="23"/>
  <c r="E59" i="23"/>
  <c r="F59" i="23"/>
  <c r="G59" i="23"/>
  <c r="H59" i="23"/>
  <c r="I59" i="23"/>
  <c r="N59" i="23" s="1"/>
  <c r="P59" i="23" s="1"/>
  <c r="V59" i="23" s="1"/>
  <c r="J59" i="23"/>
  <c r="K59" i="23"/>
  <c r="L59" i="23"/>
  <c r="M59" i="23"/>
  <c r="A60" i="23"/>
  <c r="B60" i="23"/>
  <c r="C60" i="23"/>
  <c r="D60" i="23"/>
  <c r="O60" i="23" s="1"/>
  <c r="Q60" i="23" s="1"/>
  <c r="W60" i="23" s="1"/>
  <c r="E60" i="23"/>
  <c r="F60" i="23"/>
  <c r="G60" i="23"/>
  <c r="H60" i="23"/>
  <c r="I60" i="23"/>
  <c r="J60" i="23"/>
  <c r="K60" i="23"/>
  <c r="L60" i="23"/>
  <c r="M60" i="23"/>
  <c r="A61" i="23"/>
  <c r="B61" i="23"/>
  <c r="C61" i="23"/>
  <c r="D61" i="23"/>
  <c r="E61" i="23"/>
  <c r="F61" i="23"/>
  <c r="G61" i="23"/>
  <c r="H61" i="23"/>
  <c r="I61" i="23"/>
  <c r="N61" i="23" s="1"/>
  <c r="P61" i="23" s="1"/>
  <c r="V61" i="23" s="1"/>
  <c r="J61" i="23"/>
  <c r="K61" i="23"/>
  <c r="L61" i="23"/>
  <c r="M61" i="23"/>
  <c r="A62" i="23"/>
  <c r="B62" i="23"/>
  <c r="C62" i="23"/>
  <c r="D62" i="23"/>
  <c r="O62" i="23" s="1"/>
  <c r="Q62" i="23" s="1"/>
  <c r="W62" i="23" s="1"/>
  <c r="E62" i="23"/>
  <c r="F62" i="23"/>
  <c r="G62" i="23"/>
  <c r="H62" i="23"/>
  <c r="I62" i="23"/>
  <c r="J62" i="23"/>
  <c r="K62" i="23"/>
  <c r="L62" i="23"/>
  <c r="M62" i="23"/>
  <c r="A63" i="23"/>
  <c r="B63" i="23"/>
  <c r="C63" i="23"/>
  <c r="D63" i="23"/>
  <c r="E63" i="23"/>
  <c r="F63" i="23"/>
  <c r="G63" i="23"/>
  <c r="H63" i="23"/>
  <c r="I63" i="23"/>
  <c r="N63" i="23" s="1"/>
  <c r="P63" i="23" s="1"/>
  <c r="V63" i="23" s="1"/>
  <c r="J63" i="23"/>
  <c r="K63" i="23"/>
  <c r="L63" i="23"/>
  <c r="M63" i="23"/>
  <c r="A64" i="23"/>
  <c r="B64" i="23"/>
  <c r="C64" i="23"/>
  <c r="D64" i="23"/>
  <c r="E64" i="23"/>
  <c r="F64" i="23"/>
  <c r="G64" i="23"/>
  <c r="H64" i="23"/>
  <c r="I64" i="23"/>
  <c r="J64" i="23"/>
  <c r="K64" i="23"/>
  <c r="L64" i="23"/>
  <c r="M64" i="23"/>
  <c r="A65" i="23"/>
  <c r="B65" i="23"/>
  <c r="C65" i="23"/>
  <c r="D65" i="23"/>
  <c r="E65" i="23"/>
  <c r="F65" i="23"/>
  <c r="G65" i="23"/>
  <c r="H65" i="23"/>
  <c r="I65" i="23"/>
  <c r="N65" i="23" s="1"/>
  <c r="P65" i="23" s="1"/>
  <c r="V65" i="23" s="1"/>
  <c r="J65" i="23"/>
  <c r="K65" i="23"/>
  <c r="L65" i="23"/>
  <c r="M65" i="23"/>
  <c r="A66" i="23"/>
  <c r="B66" i="23"/>
  <c r="C66" i="23"/>
  <c r="D66" i="23"/>
  <c r="E66" i="23"/>
  <c r="F66" i="23"/>
  <c r="G66" i="23"/>
  <c r="H66" i="23"/>
  <c r="I66" i="23"/>
  <c r="J66" i="23"/>
  <c r="K66" i="23"/>
  <c r="L66" i="23"/>
  <c r="M66" i="23"/>
  <c r="A67" i="23"/>
  <c r="B67" i="23"/>
  <c r="C67" i="23"/>
  <c r="D67" i="23"/>
  <c r="E67" i="23"/>
  <c r="F67" i="23"/>
  <c r="G67" i="23"/>
  <c r="H67" i="23"/>
  <c r="I67" i="23"/>
  <c r="N67" i="23" s="1"/>
  <c r="P67" i="23" s="1"/>
  <c r="V67" i="23" s="1"/>
  <c r="J67" i="23"/>
  <c r="K67" i="23"/>
  <c r="L67" i="23"/>
  <c r="M67" i="23"/>
  <c r="A68" i="23"/>
  <c r="B68" i="23"/>
  <c r="C68" i="23"/>
  <c r="D68" i="23"/>
  <c r="E68" i="23"/>
  <c r="F68" i="23"/>
  <c r="G68" i="23"/>
  <c r="H68" i="23"/>
  <c r="I68" i="23"/>
  <c r="J68" i="23"/>
  <c r="K68" i="23"/>
  <c r="L68" i="23"/>
  <c r="M68" i="23"/>
  <c r="A69" i="23"/>
  <c r="B69" i="23"/>
  <c r="C69" i="23"/>
  <c r="D69" i="23"/>
  <c r="O69" i="23" s="1"/>
  <c r="Q69" i="23" s="1"/>
  <c r="W69" i="23" s="1"/>
  <c r="E69" i="23"/>
  <c r="F69" i="23"/>
  <c r="G69" i="23"/>
  <c r="H69" i="23"/>
  <c r="N69" i="23" s="1"/>
  <c r="P69" i="23" s="1"/>
  <c r="V69" i="23" s="1"/>
  <c r="Y69" i="23" s="1"/>
  <c r="I69" i="23"/>
  <c r="J69" i="23"/>
  <c r="K69" i="23"/>
  <c r="L69" i="23"/>
  <c r="M69" i="23"/>
  <c r="A70" i="23"/>
  <c r="B70" i="23"/>
  <c r="C70" i="23"/>
  <c r="D70" i="23"/>
  <c r="E70" i="23"/>
  <c r="F70" i="23"/>
  <c r="G70" i="23"/>
  <c r="H70" i="23"/>
  <c r="I70" i="23"/>
  <c r="J70" i="23"/>
  <c r="K70" i="23"/>
  <c r="L70" i="23"/>
  <c r="M70" i="23"/>
  <c r="N70" i="23"/>
  <c r="P70" i="23" s="1"/>
  <c r="A71" i="23"/>
  <c r="B71" i="23"/>
  <c r="N71" i="23" s="1"/>
  <c r="P71" i="23" s="1"/>
  <c r="C71" i="23"/>
  <c r="D71" i="23"/>
  <c r="E71" i="23"/>
  <c r="F71" i="23"/>
  <c r="G71" i="23"/>
  <c r="H71" i="23"/>
  <c r="I71" i="23"/>
  <c r="J71" i="23"/>
  <c r="O71" i="23" s="1"/>
  <c r="Q71" i="23" s="1"/>
  <c r="K71" i="23"/>
  <c r="L71" i="23"/>
  <c r="M71" i="23"/>
  <c r="A72" i="23"/>
  <c r="B72" i="23"/>
  <c r="C72" i="23"/>
  <c r="D72" i="23"/>
  <c r="E72" i="23"/>
  <c r="F72" i="23"/>
  <c r="G72" i="23"/>
  <c r="N72" i="23" s="1"/>
  <c r="P72" i="23" s="1"/>
  <c r="H72" i="23"/>
  <c r="I72" i="23"/>
  <c r="J72" i="23"/>
  <c r="K72" i="23"/>
  <c r="L72" i="23"/>
  <c r="M72" i="23"/>
  <c r="O72" i="23"/>
  <c r="Q72" i="23" s="1"/>
  <c r="S72" i="23" s="1"/>
  <c r="A73" i="23"/>
  <c r="B73" i="23"/>
  <c r="N73" i="23" s="1"/>
  <c r="P73" i="23" s="1"/>
  <c r="C73" i="23"/>
  <c r="D73" i="23"/>
  <c r="E73" i="23"/>
  <c r="F73" i="23"/>
  <c r="G73" i="23"/>
  <c r="H73" i="23"/>
  <c r="I73" i="23"/>
  <c r="J73" i="23"/>
  <c r="O73" i="23" s="1"/>
  <c r="Q73" i="23" s="1"/>
  <c r="W73" i="23" s="1"/>
  <c r="K73" i="23"/>
  <c r="L73" i="23"/>
  <c r="M73" i="23"/>
  <c r="A74" i="23"/>
  <c r="B74" i="23"/>
  <c r="C74" i="23"/>
  <c r="D74" i="23"/>
  <c r="E74" i="23"/>
  <c r="F74" i="23"/>
  <c r="G74" i="23"/>
  <c r="N74" i="23" s="1"/>
  <c r="P74" i="23" s="1"/>
  <c r="H74" i="23"/>
  <c r="I74" i="23"/>
  <c r="J74" i="23"/>
  <c r="K74" i="23"/>
  <c r="L74" i="23"/>
  <c r="M74" i="23"/>
  <c r="O74" i="23"/>
  <c r="Q74" i="23" s="1"/>
  <c r="S74" i="23" s="1"/>
  <c r="A75" i="23"/>
  <c r="B75" i="23"/>
  <c r="C75" i="23"/>
  <c r="D75" i="23"/>
  <c r="E75" i="23"/>
  <c r="F75" i="23"/>
  <c r="G75" i="23"/>
  <c r="H75" i="23"/>
  <c r="I75" i="23"/>
  <c r="J75" i="23"/>
  <c r="K75" i="23"/>
  <c r="L75" i="23"/>
  <c r="M75" i="23"/>
  <c r="A76" i="23"/>
  <c r="B76" i="23"/>
  <c r="C76" i="23"/>
  <c r="D76" i="23"/>
  <c r="E76" i="23"/>
  <c r="F76" i="23"/>
  <c r="G76" i="23"/>
  <c r="N76" i="23" s="1"/>
  <c r="P76" i="23" s="1"/>
  <c r="H76" i="23"/>
  <c r="I76" i="23"/>
  <c r="J76" i="23"/>
  <c r="K76" i="23"/>
  <c r="L76" i="23"/>
  <c r="M76" i="23"/>
  <c r="O76" i="23"/>
  <c r="Q76" i="23" s="1"/>
  <c r="S76" i="23" s="1"/>
  <c r="W76" i="23"/>
  <c r="A77" i="23"/>
  <c r="B77" i="23"/>
  <c r="C77" i="23"/>
  <c r="D77" i="23"/>
  <c r="E77" i="23"/>
  <c r="F77" i="23"/>
  <c r="G77" i="23"/>
  <c r="H77" i="23"/>
  <c r="I77" i="23"/>
  <c r="J77" i="23"/>
  <c r="K77" i="23"/>
  <c r="L77" i="23"/>
  <c r="M77" i="23"/>
  <c r="A78" i="23"/>
  <c r="B78" i="23"/>
  <c r="C78" i="23"/>
  <c r="D78" i="23"/>
  <c r="E78" i="23"/>
  <c r="F78" i="23"/>
  <c r="G78" i="23"/>
  <c r="N78" i="23" s="1"/>
  <c r="P78" i="23" s="1"/>
  <c r="H78" i="23"/>
  <c r="I78" i="23"/>
  <c r="J78" i="23"/>
  <c r="K78" i="23"/>
  <c r="L78" i="23"/>
  <c r="M78" i="23"/>
  <c r="O78" i="23"/>
  <c r="Q78" i="23" s="1"/>
  <c r="S78" i="23" s="1"/>
  <c r="W78" i="23"/>
  <c r="A79" i="23"/>
  <c r="B79" i="23"/>
  <c r="N79" i="23" s="1"/>
  <c r="P79" i="23" s="1"/>
  <c r="C79" i="23"/>
  <c r="D79" i="23"/>
  <c r="E79" i="23"/>
  <c r="F79" i="23"/>
  <c r="G79" i="23"/>
  <c r="H79" i="23"/>
  <c r="I79" i="23"/>
  <c r="J79" i="23"/>
  <c r="O79" i="23" s="1"/>
  <c r="Q79" i="23" s="1"/>
  <c r="W79" i="23" s="1"/>
  <c r="K79" i="23"/>
  <c r="L79" i="23"/>
  <c r="M79" i="23"/>
  <c r="A80" i="23"/>
  <c r="B80" i="23"/>
  <c r="C80" i="23"/>
  <c r="D80" i="23"/>
  <c r="E80" i="23"/>
  <c r="F80" i="23"/>
  <c r="G80" i="23"/>
  <c r="N80" i="23" s="1"/>
  <c r="P80" i="23" s="1"/>
  <c r="H80" i="23"/>
  <c r="I80" i="23"/>
  <c r="J80" i="23"/>
  <c r="K80" i="23"/>
  <c r="L80" i="23"/>
  <c r="M80" i="23"/>
  <c r="O80" i="23"/>
  <c r="Q80" i="23" s="1"/>
  <c r="S80" i="23" s="1"/>
  <c r="A81" i="23"/>
  <c r="B81" i="23"/>
  <c r="N81" i="23" s="1"/>
  <c r="P81" i="23" s="1"/>
  <c r="C81" i="23"/>
  <c r="D81" i="23"/>
  <c r="E81" i="23"/>
  <c r="F81" i="23"/>
  <c r="G81" i="23"/>
  <c r="H81" i="23"/>
  <c r="I81" i="23"/>
  <c r="J81" i="23"/>
  <c r="K81" i="23"/>
  <c r="O81" i="23" s="1"/>
  <c r="Q81" i="23" s="1"/>
  <c r="W81" i="23" s="1"/>
  <c r="L81" i="23"/>
  <c r="M81" i="23"/>
  <c r="A82" i="23"/>
  <c r="B82" i="23"/>
  <c r="C82" i="23"/>
  <c r="D82" i="23"/>
  <c r="E82" i="23"/>
  <c r="F82" i="23"/>
  <c r="G82" i="23"/>
  <c r="N82" i="23" s="1"/>
  <c r="P82" i="23" s="1"/>
  <c r="H82" i="23"/>
  <c r="I82" i="23"/>
  <c r="J82" i="23"/>
  <c r="K82" i="23"/>
  <c r="L82" i="23"/>
  <c r="M82" i="23"/>
  <c r="O82" i="23"/>
  <c r="Q82" i="23" s="1"/>
  <c r="S82" i="23" s="1"/>
  <c r="A83" i="23"/>
  <c r="B83" i="23"/>
  <c r="C83" i="23"/>
  <c r="D83" i="23"/>
  <c r="E83" i="23"/>
  <c r="F83" i="23"/>
  <c r="G83" i="23"/>
  <c r="H83" i="23"/>
  <c r="I83" i="23"/>
  <c r="J83" i="23"/>
  <c r="K83" i="23"/>
  <c r="O83" i="23" s="1"/>
  <c r="Q83" i="23" s="1"/>
  <c r="W83" i="23" s="1"/>
  <c r="L83" i="23"/>
  <c r="M83" i="23"/>
  <c r="S83" i="23"/>
  <c r="A84" i="23"/>
  <c r="B84" i="23"/>
  <c r="C84" i="23"/>
  <c r="D84" i="23"/>
  <c r="E84" i="23"/>
  <c r="F84" i="23"/>
  <c r="G84" i="23"/>
  <c r="N84" i="23" s="1"/>
  <c r="P84" i="23" s="1"/>
  <c r="H84" i="23"/>
  <c r="I84" i="23"/>
  <c r="J84" i="23"/>
  <c r="K84" i="23"/>
  <c r="L84" i="23"/>
  <c r="M84" i="23"/>
  <c r="O84" i="23"/>
  <c r="Q84" i="23" s="1"/>
  <c r="S84" i="23" s="1"/>
  <c r="W84" i="23"/>
  <c r="A85" i="23"/>
  <c r="B85" i="23"/>
  <c r="C85" i="23"/>
  <c r="D85" i="23"/>
  <c r="E85" i="23"/>
  <c r="F85" i="23"/>
  <c r="G85" i="23"/>
  <c r="H85" i="23"/>
  <c r="I85" i="23"/>
  <c r="J85" i="23"/>
  <c r="K85" i="23"/>
  <c r="O85" i="23" s="1"/>
  <c r="Q85" i="23" s="1"/>
  <c r="L85" i="23"/>
  <c r="M85" i="23"/>
  <c r="S85" i="23"/>
  <c r="W85" i="23"/>
  <c r="A86" i="23"/>
  <c r="B86" i="23"/>
  <c r="C86" i="23"/>
  <c r="D86" i="23"/>
  <c r="E86" i="23"/>
  <c r="F86" i="23"/>
  <c r="G86" i="23"/>
  <c r="H86" i="23"/>
  <c r="I86" i="23"/>
  <c r="J86" i="23"/>
  <c r="K86" i="23"/>
  <c r="L86" i="23"/>
  <c r="M86" i="23"/>
  <c r="O86" i="23"/>
  <c r="Q86" i="23" s="1"/>
  <c r="S86" i="23" s="1"/>
  <c r="A87" i="23"/>
  <c r="B87" i="23"/>
  <c r="C87" i="23"/>
  <c r="D87" i="23"/>
  <c r="E87" i="23"/>
  <c r="F87" i="23"/>
  <c r="G87" i="23"/>
  <c r="H87" i="23"/>
  <c r="I87" i="23"/>
  <c r="J87" i="23"/>
  <c r="K87" i="23"/>
  <c r="L87" i="23"/>
  <c r="M87" i="23"/>
  <c r="O87" i="23"/>
  <c r="Q87" i="23" s="1"/>
  <c r="S87" i="23" s="1"/>
  <c r="A88" i="23"/>
  <c r="B88" i="23"/>
  <c r="C88" i="23"/>
  <c r="N88" i="23" s="1"/>
  <c r="P88" i="23" s="1"/>
  <c r="D88" i="23"/>
  <c r="E88" i="23"/>
  <c r="F88" i="23"/>
  <c r="O88" i="23" s="1"/>
  <c r="Q88" i="23" s="1"/>
  <c r="G88" i="23"/>
  <c r="H88" i="23"/>
  <c r="I88" i="23"/>
  <c r="J88" i="23"/>
  <c r="K88" i="23"/>
  <c r="L88" i="23"/>
  <c r="M88" i="23"/>
  <c r="A89" i="23"/>
  <c r="B89" i="23"/>
  <c r="C89" i="23"/>
  <c r="D89" i="23"/>
  <c r="E89" i="23"/>
  <c r="F89" i="23"/>
  <c r="G89" i="23"/>
  <c r="H89" i="23"/>
  <c r="I89" i="23"/>
  <c r="J89" i="23"/>
  <c r="K89" i="23"/>
  <c r="L89" i="23"/>
  <c r="M89" i="23"/>
  <c r="O89" i="23"/>
  <c r="Q89" i="23" s="1"/>
  <c r="W89" i="23" s="1"/>
  <c r="S89" i="23"/>
  <c r="A90" i="23"/>
  <c r="B90" i="23"/>
  <c r="C90" i="23"/>
  <c r="N90" i="23" s="1"/>
  <c r="P90" i="23" s="1"/>
  <c r="D90" i="23"/>
  <c r="E90" i="23"/>
  <c r="F90" i="23"/>
  <c r="O90" i="23" s="1"/>
  <c r="Q90" i="23" s="1"/>
  <c r="G90" i="23"/>
  <c r="H90" i="23"/>
  <c r="I90" i="23"/>
  <c r="J90" i="23"/>
  <c r="K90" i="23"/>
  <c r="L90" i="23"/>
  <c r="M90" i="23"/>
  <c r="A91" i="23"/>
  <c r="B91" i="23"/>
  <c r="C91" i="23"/>
  <c r="D91" i="23"/>
  <c r="E91" i="23"/>
  <c r="O91" i="23" s="1"/>
  <c r="Q91" i="23" s="1"/>
  <c r="W91" i="23" s="1"/>
  <c r="F91" i="23"/>
  <c r="G91" i="23"/>
  <c r="H91" i="23"/>
  <c r="I91" i="23"/>
  <c r="J91" i="23"/>
  <c r="K91" i="23"/>
  <c r="L91" i="23"/>
  <c r="M91" i="23"/>
  <c r="S91" i="23" s="1"/>
  <c r="A92" i="23"/>
  <c r="B92" i="23"/>
  <c r="C92" i="23"/>
  <c r="D92" i="23"/>
  <c r="E92" i="23"/>
  <c r="F92" i="23"/>
  <c r="G92" i="23"/>
  <c r="N92" i="23" s="1"/>
  <c r="P92" i="23" s="1"/>
  <c r="H92" i="23"/>
  <c r="I92" i="23"/>
  <c r="J92" i="23"/>
  <c r="K92" i="23"/>
  <c r="L92" i="23"/>
  <c r="M92" i="23"/>
  <c r="S92" i="23" s="1"/>
  <c r="O92" i="23"/>
  <c r="Q92" i="23" s="1"/>
  <c r="W92" i="23" s="1"/>
  <c r="A93" i="23"/>
  <c r="B93" i="23"/>
  <c r="C93" i="23"/>
  <c r="D93" i="23"/>
  <c r="E93" i="23"/>
  <c r="F93" i="23"/>
  <c r="G93" i="23"/>
  <c r="H93" i="23"/>
  <c r="I93" i="23"/>
  <c r="J93" i="23"/>
  <c r="K93" i="23"/>
  <c r="L93" i="23"/>
  <c r="M93" i="23"/>
  <c r="O93" i="23"/>
  <c r="Q93" i="23"/>
  <c r="W93" i="23" s="1"/>
  <c r="S93" i="23"/>
  <c r="A94" i="23"/>
  <c r="B94" i="23"/>
  <c r="B111" i="23" s="1"/>
  <c r="C94" i="23"/>
  <c r="D94" i="23"/>
  <c r="E94" i="23"/>
  <c r="F94" i="23"/>
  <c r="G94" i="23"/>
  <c r="H94" i="23"/>
  <c r="I94" i="23"/>
  <c r="J94" i="23"/>
  <c r="O94" i="23" s="1"/>
  <c r="Q94" i="23" s="1"/>
  <c r="K94" i="23"/>
  <c r="L94" i="23"/>
  <c r="M94" i="23"/>
  <c r="A95" i="23"/>
  <c r="B95" i="23"/>
  <c r="N95" i="23" s="1"/>
  <c r="P95" i="23" s="1"/>
  <c r="C95" i="23"/>
  <c r="D95" i="23"/>
  <c r="E95" i="23"/>
  <c r="F95" i="23"/>
  <c r="G95" i="23"/>
  <c r="H95" i="23"/>
  <c r="I95" i="23"/>
  <c r="J95" i="23"/>
  <c r="O95" i="23" s="1"/>
  <c r="Q95" i="23" s="1"/>
  <c r="K95" i="23"/>
  <c r="L95" i="23"/>
  <c r="M95" i="23"/>
  <c r="A96" i="23"/>
  <c r="B96" i="23"/>
  <c r="N96" i="23" s="1"/>
  <c r="P96" i="23" s="1"/>
  <c r="C96" i="23"/>
  <c r="D96" i="23"/>
  <c r="E96" i="23"/>
  <c r="F96" i="23"/>
  <c r="G96" i="23"/>
  <c r="H96" i="23"/>
  <c r="I96" i="23"/>
  <c r="J96" i="23"/>
  <c r="O96" i="23" s="1"/>
  <c r="Q96" i="23" s="1"/>
  <c r="K96" i="23"/>
  <c r="L96" i="23"/>
  <c r="M96" i="23"/>
  <c r="A97" i="23"/>
  <c r="B97" i="23"/>
  <c r="N97" i="23" s="1"/>
  <c r="P97" i="23" s="1"/>
  <c r="C97" i="23"/>
  <c r="D97" i="23"/>
  <c r="E97" i="23"/>
  <c r="F97" i="23"/>
  <c r="G97" i="23"/>
  <c r="H97" i="23"/>
  <c r="I97" i="23"/>
  <c r="J97" i="23"/>
  <c r="O97" i="23" s="1"/>
  <c r="Q97" i="23" s="1"/>
  <c r="K97" i="23"/>
  <c r="L97" i="23"/>
  <c r="M97" i="23"/>
  <c r="A98" i="23"/>
  <c r="B98" i="23"/>
  <c r="C98" i="23"/>
  <c r="D98" i="23"/>
  <c r="E98" i="23"/>
  <c r="F98" i="23"/>
  <c r="G98" i="23"/>
  <c r="N98" i="23" s="1"/>
  <c r="P98" i="23" s="1"/>
  <c r="H98" i="23"/>
  <c r="I98" i="23"/>
  <c r="J98" i="23"/>
  <c r="K98" i="23"/>
  <c r="L98" i="23"/>
  <c r="M98" i="23"/>
  <c r="S98" i="23" s="1"/>
  <c r="O98" i="23"/>
  <c r="Q98" i="23"/>
  <c r="W98" i="23" s="1"/>
  <c r="A99" i="23"/>
  <c r="B99" i="23"/>
  <c r="N99" i="23" s="1"/>
  <c r="P99" i="23" s="1"/>
  <c r="V99" i="23" s="1"/>
  <c r="C99" i="23"/>
  <c r="D99" i="23"/>
  <c r="E99" i="23"/>
  <c r="F99" i="23"/>
  <c r="G99" i="23"/>
  <c r="H99" i="23"/>
  <c r="I99" i="23"/>
  <c r="J99" i="23"/>
  <c r="K99" i="23"/>
  <c r="L99" i="23"/>
  <c r="R99" i="23" s="1"/>
  <c r="M99" i="23"/>
  <c r="S99" i="23" s="1"/>
  <c r="O99" i="23"/>
  <c r="Q99" i="23" s="1"/>
  <c r="W99" i="23" s="1"/>
  <c r="A100" i="23"/>
  <c r="B100" i="23"/>
  <c r="N100" i="23" s="1"/>
  <c r="P100" i="23" s="1"/>
  <c r="C100" i="23"/>
  <c r="D100" i="23"/>
  <c r="E100" i="23"/>
  <c r="O100" i="23" s="1"/>
  <c r="Q100" i="23" s="1"/>
  <c r="W100" i="23" s="1"/>
  <c r="F100" i="23"/>
  <c r="G100" i="23"/>
  <c r="H100" i="23"/>
  <c r="I100" i="23"/>
  <c r="J100" i="23"/>
  <c r="K100" i="23"/>
  <c r="K111" i="23" s="1"/>
  <c r="L100" i="23"/>
  <c r="M100" i="23"/>
  <c r="S100" i="23" s="1"/>
  <c r="A101" i="23"/>
  <c r="B101" i="23"/>
  <c r="C101" i="23"/>
  <c r="N101" i="23" s="1"/>
  <c r="P101" i="23" s="1"/>
  <c r="D101" i="23"/>
  <c r="O101" i="23" s="1"/>
  <c r="Q101" i="23" s="1"/>
  <c r="E101" i="23"/>
  <c r="F101" i="23"/>
  <c r="G101" i="23"/>
  <c r="H101" i="23"/>
  <c r="I101" i="23"/>
  <c r="J101" i="23"/>
  <c r="K101" i="23"/>
  <c r="L101" i="23"/>
  <c r="M101" i="23"/>
  <c r="A102" i="23"/>
  <c r="B102" i="23"/>
  <c r="C102" i="23"/>
  <c r="D102" i="23"/>
  <c r="E102" i="23"/>
  <c r="F102" i="23"/>
  <c r="G102" i="23"/>
  <c r="N102" i="23" s="1"/>
  <c r="P102" i="23" s="1"/>
  <c r="H102" i="23"/>
  <c r="I102" i="23"/>
  <c r="J102" i="23"/>
  <c r="K102" i="23"/>
  <c r="L102" i="23"/>
  <c r="M102" i="23"/>
  <c r="S102" i="23" s="1"/>
  <c r="O102" i="23"/>
  <c r="Q102" i="23"/>
  <c r="W102" i="23" s="1"/>
  <c r="A103" i="23"/>
  <c r="B103" i="23"/>
  <c r="N103" i="23" s="1"/>
  <c r="P103" i="23" s="1"/>
  <c r="V103" i="23" s="1"/>
  <c r="C103" i="23"/>
  <c r="D103" i="23"/>
  <c r="E103" i="23"/>
  <c r="F103" i="23"/>
  <c r="G103" i="23"/>
  <c r="G111" i="23" s="1"/>
  <c r="H103" i="23"/>
  <c r="I103" i="23"/>
  <c r="J103" i="23"/>
  <c r="K103" i="23"/>
  <c r="L103" i="23"/>
  <c r="R103" i="23" s="1"/>
  <c r="M103" i="23"/>
  <c r="S103" i="23" s="1"/>
  <c r="O103" i="23"/>
  <c r="Q103" i="23" s="1"/>
  <c r="W103" i="23" s="1"/>
  <c r="A104" i="23"/>
  <c r="B104" i="23"/>
  <c r="N104" i="23" s="1"/>
  <c r="P104" i="23" s="1"/>
  <c r="C104" i="23"/>
  <c r="C111" i="23" s="1"/>
  <c r="D104" i="23"/>
  <c r="E104" i="23"/>
  <c r="O104" i="23" s="1"/>
  <c r="Q104" i="23" s="1"/>
  <c r="W104" i="23" s="1"/>
  <c r="F104" i="23"/>
  <c r="G104" i="23"/>
  <c r="H104" i="23"/>
  <c r="I104" i="23"/>
  <c r="J104" i="23"/>
  <c r="K104" i="23"/>
  <c r="L104" i="23"/>
  <c r="M104" i="23"/>
  <c r="S104" i="23" s="1"/>
  <c r="A105" i="23"/>
  <c r="B105" i="23"/>
  <c r="C105" i="23"/>
  <c r="N105" i="23" s="1"/>
  <c r="P105" i="23" s="1"/>
  <c r="D105" i="23"/>
  <c r="O105" i="23" s="1"/>
  <c r="Q105" i="23" s="1"/>
  <c r="E105" i="23"/>
  <c r="F105" i="23"/>
  <c r="G105" i="23"/>
  <c r="H105" i="23"/>
  <c r="I105" i="23"/>
  <c r="J105" i="23"/>
  <c r="K105" i="23"/>
  <c r="L105" i="23"/>
  <c r="M105" i="23"/>
  <c r="A106" i="23"/>
  <c r="B106" i="23"/>
  <c r="C106" i="23"/>
  <c r="D106" i="23"/>
  <c r="E106" i="23"/>
  <c r="F106" i="23"/>
  <c r="G106" i="23"/>
  <c r="N106" i="23" s="1"/>
  <c r="P106" i="23" s="1"/>
  <c r="H106" i="23"/>
  <c r="I106" i="23"/>
  <c r="J106" i="23"/>
  <c r="K106" i="23"/>
  <c r="L106" i="23"/>
  <c r="M106" i="23"/>
  <c r="S106" i="23" s="1"/>
  <c r="O106" i="23"/>
  <c r="Q106" i="23"/>
  <c r="W106" i="23" s="1"/>
  <c r="A107" i="23"/>
  <c r="B107" i="23"/>
  <c r="N107" i="23" s="1"/>
  <c r="P107" i="23" s="1"/>
  <c r="V107" i="23" s="1"/>
  <c r="C107" i="23"/>
  <c r="D107" i="23"/>
  <c r="D111" i="23" s="1"/>
  <c r="E107" i="23"/>
  <c r="F107" i="23"/>
  <c r="G107" i="23"/>
  <c r="H107" i="23"/>
  <c r="I107" i="23"/>
  <c r="J107" i="23"/>
  <c r="K107" i="23"/>
  <c r="L107" i="23"/>
  <c r="M107" i="23"/>
  <c r="O107" i="23"/>
  <c r="Q107" i="23" s="1"/>
  <c r="W107" i="23" s="1"/>
  <c r="A108" i="23"/>
  <c r="B108" i="23"/>
  <c r="N108" i="23" s="1"/>
  <c r="P108" i="23" s="1"/>
  <c r="C108" i="23"/>
  <c r="D108" i="23"/>
  <c r="E108" i="23"/>
  <c r="E111" i="23" s="1"/>
  <c r="F108" i="23"/>
  <c r="G108" i="23"/>
  <c r="H108" i="23"/>
  <c r="I108" i="23"/>
  <c r="J108" i="23"/>
  <c r="J111" i="23" s="1"/>
  <c r="K108" i="23"/>
  <c r="L108" i="23"/>
  <c r="M108" i="23"/>
  <c r="A109" i="23"/>
  <c r="B109" i="23"/>
  <c r="C109" i="23"/>
  <c r="N109" i="23" s="1"/>
  <c r="P109" i="23" s="1"/>
  <c r="D109" i="23"/>
  <c r="O109" i="23" s="1"/>
  <c r="Q109" i="23" s="1"/>
  <c r="E109" i="23"/>
  <c r="F109" i="23"/>
  <c r="G109" i="23"/>
  <c r="H109" i="23"/>
  <c r="I109" i="23"/>
  <c r="J109" i="23"/>
  <c r="K109" i="23"/>
  <c r="L109" i="23"/>
  <c r="M109" i="23"/>
  <c r="A110" i="23"/>
  <c r="B110" i="23"/>
  <c r="C110" i="23"/>
  <c r="D110" i="23"/>
  <c r="E110" i="23"/>
  <c r="F110" i="23"/>
  <c r="G110" i="23"/>
  <c r="N110" i="23" s="1"/>
  <c r="P110" i="23" s="1"/>
  <c r="H110" i="23"/>
  <c r="I110" i="23"/>
  <c r="J110" i="23"/>
  <c r="K110" i="23"/>
  <c r="L110" i="23"/>
  <c r="M110" i="23"/>
  <c r="S110" i="23" s="1"/>
  <c r="O110" i="23"/>
  <c r="Q110" i="23"/>
  <c r="W110" i="23" s="1"/>
  <c r="F111" i="23"/>
  <c r="H111" i="23"/>
  <c r="Q53" i="30" l="1"/>
  <c r="W53" i="30" s="1"/>
  <c r="N50" i="30"/>
  <c r="O82" i="30"/>
  <c r="Q82" i="30" s="1"/>
  <c r="W82" i="30" s="1"/>
  <c r="O63" i="30"/>
  <c r="N60" i="30"/>
  <c r="O60" i="30"/>
  <c r="O47" i="30"/>
  <c r="R68" i="30"/>
  <c r="O108" i="30"/>
  <c r="Q108" i="30" s="1"/>
  <c r="W108" i="30" s="1"/>
  <c r="D111" i="30"/>
  <c r="M80" i="30"/>
  <c r="L76" i="30"/>
  <c r="M73" i="30"/>
  <c r="L69" i="30"/>
  <c r="P69" i="30" s="1"/>
  <c r="V69" i="30" s="1"/>
  <c r="L65" i="30"/>
  <c r="P65" i="30" s="1"/>
  <c r="L61" i="30"/>
  <c r="L58" i="30"/>
  <c r="O57" i="30"/>
  <c r="M55" i="30"/>
  <c r="N54" i="30"/>
  <c r="P54" i="30" s="1"/>
  <c r="O54" i="30"/>
  <c r="M52" i="30"/>
  <c r="L45" i="30"/>
  <c r="P45" i="30" s="1"/>
  <c r="V45" i="30" s="1"/>
  <c r="Y45" i="30" s="1"/>
  <c r="O45" i="30"/>
  <c r="Q45" i="30" s="1"/>
  <c r="W45" i="30" s="1"/>
  <c r="O41" i="30"/>
  <c r="Q41" i="30" s="1"/>
  <c r="W41" i="30" s="1"/>
  <c r="M38" i="30"/>
  <c r="O13" i="30"/>
  <c r="Q88" i="30"/>
  <c r="W88" i="30" s="1"/>
  <c r="P76" i="30"/>
  <c r="R76" i="30" s="1"/>
  <c r="P61" i="30"/>
  <c r="Q50" i="30"/>
  <c r="W50" i="30" s="1"/>
  <c r="R102" i="30"/>
  <c r="R98" i="30"/>
  <c r="R94" i="30"/>
  <c r="O86" i="30"/>
  <c r="Q86" i="30" s="1"/>
  <c r="W86" i="30" s="1"/>
  <c r="H111" i="30"/>
  <c r="N64" i="30"/>
  <c r="P64" i="30" s="1"/>
  <c r="V64" i="30" s="1"/>
  <c r="O64" i="30"/>
  <c r="Q64" i="30" s="1"/>
  <c r="W64" i="30" s="1"/>
  <c r="O51" i="30"/>
  <c r="Q51" i="30" s="1"/>
  <c r="W51" i="30" s="1"/>
  <c r="M49" i="30"/>
  <c r="N48" i="30"/>
  <c r="P48" i="30" s="1"/>
  <c r="O48" i="30"/>
  <c r="Q48" i="30" s="1"/>
  <c r="W48" i="30" s="1"/>
  <c r="M46" i="30"/>
  <c r="M43" i="30"/>
  <c r="Q43" i="30" s="1"/>
  <c r="N109" i="30"/>
  <c r="P109" i="30" s="1"/>
  <c r="O109" i="30"/>
  <c r="Q109" i="30" s="1"/>
  <c r="R70" i="30"/>
  <c r="O61" i="30"/>
  <c r="Q61" i="30" s="1"/>
  <c r="W61" i="30" s="1"/>
  <c r="N58" i="30"/>
  <c r="P58" i="30" s="1"/>
  <c r="O58" i="30"/>
  <c r="Q58" i="30" s="1"/>
  <c r="W58" i="30" s="1"/>
  <c r="L49" i="30"/>
  <c r="P49" i="30" s="1"/>
  <c r="L46" i="30"/>
  <c r="L43" i="30"/>
  <c r="M41" i="30"/>
  <c r="O33" i="30"/>
  <c r="O17" i="30"/>
  <c r="R95" i="30"/>
  <c r="R91" i="30"/>
  <c r="R74" i="30"/>
  <c r="Q55" i="30"/>
  <c r="W55" i="30" s="1"/>
  <c r="S53" i="30"/>
  <c r="Q52" i="30"/>
  <c r="W52" i="30" s="1"/>
  <c r="S50" i="30"/>
  <c r="P47" i="30"/>
  <c r="O84" i="30"/>
  <c r="Q84" i="30" s="1"/>
  <c r="W84" i="30" s="1"/>
  <c r="L78" i="30"/>
  <c r="M75" i="30"/>
  <c r="N75" i="30"/>
  <c r="L71" i="30"/>
  <c r="P71" i="30" s="1"/>
  <c r="L67" i="30"/>
  <c r="M63" i="30"/>
  <c r="N62" i="30"/>
  <c r="P62" i="30" s="1"/>
  <c r="O62" i="30"/>
  <c r="Q62" i="30" s="1"/>
  <c r="W62" i="30" s="1"/>
  <c r="M60" i="30"/>
  <c r="L53" i="30"/>
  <c r="P53" i="30" s="1"/>
  <c r="L50" i="30"/>
  <c r="O49" i="30"/>
  <c r="Q49" i="30" s="1"/>
  <c r="W49" i="30" s="1"/>
  <c r="M47" i="30"/>
  <c r="N46" i="30"/>
  <c r="P46" i="30" s="1"/>
  <c r="O46" i="30"/>
  <c r="Q46" i="30" s="1"/>
  <c r="W46" i="30" s="1"/>
  <c r="M44" i="30"/>
  <c r="M39" i="30"/>
  <c r="Q39" i="30" s="1"/>
  <c r="W39" i="30" s="1"/>
  <c r="R103" i="30"/>
  <c r="R99" i="30"/>
  <c r="O110" i="30"/>
  <c r="Q110" i="30" s="1"/>
  <c r="W110" i="30" s="1"/>
  <c r="S108" i="30"/>
  <c r="N107" i="30"/>
  <c r="P107" i="30" s="1"/>
  <c r="V107" i="30" s="1"/>
  <c r="Y107" i="30" s="1"/>
  <c r="O107" i="30"/>
  <c r="Q107" i="30" s="1"/>
  <c r="J111" i="30"/>
  <c r="B111" i="30"/>
  <c r="M79" i="30"/>
  <c r="N79" i="30"/>
  <c r="P79" i="30" s="1"/>
  <c r="V79" i="30" s="1"/>
  <c r="L75" i="30"/>
  <c r="F111" i="30"/>
  <c r="M68" i="30"/>
  <c r="L63" i="30"/>
  <c r="P63" i="30" s="1"/>
  <c r="L60" i="30"/>
  <c r="O59" i="30"/>
  <c r="Q59" i="30" s="1"/>
  <c r="W59" i="30" s="1"/>
  <c r="M57" i="30"/>
  <c r="N56" i="30"/>
  <c r="P56" i="30" s="1"/>
  <c r="O56" i="30"/>
  <c r="Q56" i="30" s="1"/>
  <c r="W56" i="30" s="1"/>
  <c r="M54" i="30"/>
  <c r="R107" i="30"/>
  <c r="S107" i="30"/>
  <c r="W107" i="30"/>
  <c r="R104" i="30"/>
  <c r="R100" i="30"/>
  <c r="R96" i="30"/>
  <c r="R92" i="30"/>
  <c r="R79" i="30"/>
  <c r="V106" i="30"/>
  <c r="Y106" i="30" s="1"/>
  <c r="R106" i="30"/>
  <c r="R105" i="30"/>
  <c r="R101" i="30"/>
  <c r="R97" i="30"/>
  <c r="R93" i="30"/>
  <c r="R90" i="30"/>
  <c r="V90" i="30"/>
  <c r="S106" i="30"/>
  <c r="V110" i="30"/>
  <c r="Y110" i="30" s="1"/>
  <c r="R110" i="30"/>
  <c r="R109" i="30"/>
  <c r="V109" i="30"/>
  <c r="Y109" i="30" s="1"/>
  <c r="S109" i="30"/>
  <c r="W109" i="30"/>
  <c r="V108" i="30"/>
  <c r="Y108" i="30" s="1"/>
  <c r="R108" i="30"/>
  <c r="O89" i="30"/>
  <c r="Q89" i="30" s="1"/>
  <c r="W89" i="30" s="1"/>
  <c r="O87" i="30"/>
  <c r="Q87" i="30" s="1"/>
  <c r="W87" i="30" s="1"/>
  <c r="O85" i="30"/>
  <c r="Q85" i="30" s="1"/>
  <c r="W85" i="30" s="1"/>
  <c r="O83" i="30"/>
  <c r="Q83" i="30" s="1"/>
  <c r="W83" i="30" s="1"/>
  <c r="O81" i="30"/>
  <c r="Q81" i="30" s="1"/>
  <c r="W81" i="30" s="1"/>
  <c r="V66" i="30"/>
  <c r="S88" i="30"/>
  <c r="N88" i="30"/>
  <c r="P88" i="30" s="1"/>
  <c r="S86" i="30"/>
  <c r="N86" i="30"/>
  <c r="P86" i="30" s="1"/>
  <c r="S84" i="30"/>
  <c r="N84" i="30"/>
  <c r="P84" i="30" s="1"/>
  <c r="S82" i="30"/>
  <c r="N82" i="30"/>
  <c r="P82" i="30" s="1"/>
  <c r="O105" i="30"/>
  <c r="Q105" i="30" s="1"/>
  <c r="W105" i="30" s="1"/>
  <c r="Y105" i="30" s="1"/>
  <c r="O104" i="30"/>
  <c r="Q104" i="30" s="1"/>
  <c r="W104" i="30" s="1"/>
  <c r="Y104" i="30" s="1"/>
  <c r="O103" i="30"/>
  <c r="Q103" i="30" s="1"/>
  <c r="W103" i="30" s="1"/>
  <c r="Y103" i="30" s="1"/>
  <c r="O102" i="30"/>
  <c r="Q102" i="30" s="1"/>
  <c r="W102" i="30" s="1"/>
  <c r="Y102" i="30" s="1"/>
  <c r="O101" i="30"/>
  <c r="Q101" i="30" s="1"/>
  <c r="W101" i="30" s="1"/>
  <c r="Y101" i="30" s="1"/>
  <c r="O100" i="30"/>
  <c r="Q100" i="30" s="1"/>
  <c r="W100" i="30" s="1"/>
  <c r="Y100" i="30" s="1"/>
  <c r="O99" i="30"/>
  <c r="Q99" i="30" s="1"/>
  <c r="W99" i="30" s="1"/>
  <c r="Y99" i="30" s="1"/>
  <c r="O98" i="30"/>
  <c r="Q98" i="30" s="1"/>
  <c r="W98" i="30" s="1"/>
  <c r="Y98" i="30" s="1"/>
  <c r="O97" i="30"/>
  <c r="Q97" i="30" s="1"/>
  <c r="W97" i="30" s="1"/>
  <c r="Y97" i="30" s="1"/>
  <c r="O96" i="30"/>
  <c r="Q96" i="30" s="1"/>
  <c r="W96" i="30" s="1"/>
  <c r="Y96" i="30" s="1"/>
  <c r="O95" i="30"/>
  <c r="Q95" i="30" s="1"/>
  <c r="W95" i="30" s="1"/>
  <c r="Y95" i="30" s="1"/>
  <c r="O94" i="30"/>
  <c r="Q94" i="30" s="1"/>
  <c r="W94" i="30" s="1"/>
  <c r="Y94" i="30" s="1"/>
  <c r="O93" i="30"/>
  <c r="Q93" i="30" s="1"/>
  <c r="W93" i="30" s="1"/>
  <c r="Y93" i="30" s="1"/>
  <c r="O92" i="30"/>
  <c r="Q92" i="30" s="1"/>
  <c r="W92" i="30" s="1"/>
  <c r="Y92" i="30" s="1"/>
  <c r="O91" i="30"/>
  <c r="Q91" i="30" s="1"/>
  <c r="W91" i="30" s="1"/>
  <c r="Y91" i="30" s="1"/>
  <c r="O90" i="30"/>
  <c r="Q90" i="30" s="1"/>
  <c r="W90" i="30" s="1"/>
  <c r="P89" i="30"/>
  <c r="V89" i="30" s="1"/>
  <c r="Y89" i="30" s="1"/>
  <c r="P87" i="30"/>
  <c r="V87" i="30" s="1"/>
  <c r="Y87" i="30" s="1"/>
  <c r="P85" i="30"/>
  <c r="V85" i="30" s="1"/>
  <c r="Y85" i="30" s="1"/>
  <c r="P83" i="30"/>
  <c r="V83" i="30" s="1"/>
  <c r="Y83" i="30" s="1"/>
  <c r="P81" i="30"/>
  <c r="V81" i="30" s="1"/>
  <c r="V80" i="30"/>
  <c r="P77" i="30"/>
  <c r="V77" i="30" s="1"/>
  <c r="V76" i="30"/>
  <c r="P73" i="30"/>
  <c r="V73" i="30" s="1"/>
  <c r="V72" i="30"/>
  <c r="S89" i="30"/>
  <c r="S87" i="30"/>
  <c r="S81" i="30"/>
  <c r="R87" i="30"/>
  <c r="R81" i="30"/>
  <c r="R62" i="30"/>
  <c r="V62" i="30"/>
  <c r="Y62" i="30" s="1"/>
  <c r="V57" i="30"/>
  <c r="R57" i="30"/>
  <c r="S64" i="30"/>
  <c r="R56" i="30"/>
  <c r="V56" i="30"/>
  <c r="Y56" i="30" s="1"/>
  <c r="V51" i="30"/>
  <c r="Y51" i="30" s="1"/>
  <c r="R51" i="30"/>
  <c r="O80" i="30"/>
  <c r="Q80" i="30" s="1"/>
  <c r="W80" i="30" s="1"/>
  <c r="O79" i="30"/>
  <c r="Q79" i="30" s="1"/>
  <c r="W79" i="30" s="1"/>
  <c r="Y79" i="30" s="1"/>
  <c r="O78" i="30"/>
  <c r="Q78" i="30" s="1"/>
  <c r="W78" i="30" s="1"/>
  <c r="O77" i="30"/>
  <c r="Q77" i="30" s="1"/>
  <c r="W77" i="30" s="1"/>
  <c r="O76" i="30"/>
  <c r="Q76" i="30" s="1"/>
  <c r="W76" i="30" s="1"/>
  <c r="O75" i="30"/>
  <c r="Q75" i="30" s="1"/>
  <c r="W75" i="30" s="1"/>
  <c r="O74" i="30"/>
  <c r="Q74" i="30" s="1"/>
  <c r="W74" i="30" s="1"/>
  <c r="Y74" i="30" s="1"/>
  <c r="O73" i="30"/>
  <c r="Q73" i="30" s="1"/>
  <c r="W73" i="30" s="1"/>
  <c r="O72" i="30"/>
  <c r="Q72" i="30" s="1"/>
  <c r="W72" i="30" s="1"/>
  <c r="O71" i="30"/>
  <c r="Q71" i="30" s="1"/>
  <c r="W71" i="30" s="1"/>
  <c r="O70" i="30"/>
  <c r="Q70" i="30" s="1"/>
  <c r="W70" i="30" s="1"/>
  <c r="Y70" i="30" s="1"/>
  <c r="O69" i="30"/>
  <c r="Q69" i="30" s="1"/>
  <c r="W69" i="30" s="1"/>
  <c r="O68" i="30"/>
  <c r="Q68" i="30" s="1"/>
  <c r="W68" i="30" s="1"/>
  <c r="Y68" i="30" s="1"/>
  <c r="O67" i="30"/>
  <c r="Q67" i="30" s="1"/>
  <c r="W67" i="30" s="1"/>
  <c r="O66" i="30"/>
  <c r="Q66" i="30" s="1"/>
  <c r="W66" i="30" s="1"/>
  <c r="V61" i="30"/>
  <c r="Y61" i="30" s="1"/>
  <c r="R61" i="30"/>
  <c r="S48" i="30"/>
  <c r="V55" i="30"/>
  <c r="Y55" i="30" s="1"/>
  <c r="R55" i="30"/>
  <c r="O65" i="30"/>
  <c r="Q65" i="30" s="1"/>
  <c r="W65" i="30" s="1"/>
  <c r="S55" i="30"/>
  <c r="R54" i="30"/>
  <c r="V54" i="30"/>
  <c r="S52" i="30"/>
  <c r="S62" i="30"/>
  <c r="V59" i="30"/>
  <c r="Y59" i="30" s="1"/>
  <c r="R59" i="30"/>
  <c r="S49" i="30"/>
  <c r="R48" i="30"/>
  <c r="V48" i="30"/>
  <c r="Y48" i="30" s="1"/>
  <c r="S46" i="30"/>
  <c r="R58" i="30"/>
  <c r="V58" i="30"/>
  <c r="Y58" i="30" s="1"/>
  <c r="R52" i="30"/>
  <c r="V52" i="30"/>
  <c r="Y52" i="30" s="1"/>
  <c r="V47" i="30"/>
  <c r="R47" i="30"/>
  <c r="R46" i="30"/>
  <c r="V46" i="30"/>
  <c r="Y46" i="30" s="1"/>
  <c r="S39" i="30"/>
  <c r="S41" i="30"/>
  <c r="L12" i="30"/>
  <c r="L14" i="30"/>
  <c r="L16" i="30"/>
  <c r="L18" i="30"/>
  <c r="L20" i="30"/>
  <c r="L22" i="30"/>
  <c r="L24" i="30"/>
  <c r="L26" i="30"/>
  <c r="L28" i="30"/>
  <c r="L30" i="30"/>
  <c r="L32" i="30"/>
  <c r="L34" i="30"/>
  <c r="L36" i="30"/>
  <c r="L38" i="30"/>
  <c r="L40" i="30"/>
  <c r="L42" i="30"/>
  <c r="L44" i="30"/>
  <c r="M12" i="30"/>
  <c r="M14" i="30"/>
  <c r="M16" i="30"/>
  <c r="M18" i="30"/>
  <c r="M20" i="30"/>
  <c r="M22" i="30"/>
  <c r="M24" i="30"/>
  <c r="M26" i="30"/>
  <c r="M28" i="30"/>
  <c r="M30" i="30"/>
  <c r="M32" i="30"/>
  <c r="M34" i="30"/>
  <c r="M36" i="30"/>
  <c r="N12" i="30"/>
  <c r="N14" i="30"/>
  <c r="P14" i="30" s="1"/>
  <c r="V14" i="30" s="1"/>
  <c r="N16" i="30"/>
  <c r="N18" i="30"/>
  <c r="N20" i="30"/>
  <c r="P20" i="30" s="1"/>
  <c r="V20" i="30" s="1"/>
  <c r="N22" i="30"/>
  <c r="N24" i="30"/>
  <c r="P24" i="30" s="1"/>
  <c r="V24" i="30" s="1"/>
  <c r="N26" i="30"/>
  <c r="N28" i="30"/>
  <c r="P28" i="30" s="1"/>
  <c r="V28" i="30" s="1"/>
  <c r="N30" i="30"/>
  <c r="P30" i="30" s="1"/>
  <c r="V30" i="30" s="1"/>
  <c r="N32" i="30"/>
  <c r="N34" i="30"/>
  <c r="N36" i="30"/>
  <c r="P36" i="30" s="1"/>
  <c r="V36" i="30" s="1"/>
  <c r="N38" i="30"/>
  <c r="N40" i="30"/>
  <c r="P40" i="30" s="1"/>
  <c r="V40" i="30" s="1"/>
  <c r="N42" i="30"/>
  <c r="N44" i="30"/>
  <c r="P44" i="30" s="1"/>
  <c r="V44" i="30" s="1"/>
  <c r="O12" i="30"/>
  <c r="Q12" i="30" s="1"/>
  <c r="W12" i="30" s="1"/>
  <c r="O14" i="30"/>
  <c r="O16" i="30"/>
  <c r="O18" i="30"/>
  <c r="Q18" i="30" s="1"/>
  <c r="W18" i="30" s="1"/>
  <c r="O20" i="30"/>
  <c r="O22" i="30"/>
  <c r="Q22" i="30" s="1"/>
  <c r="W22" i="30" s="1"/>
  <c r="O24" i="30"/>
  <c r="O26" i="30"/>
  <c r="Q26" i="30" s="1"/>
  <c r="W26" i="30" s="1"/>
  <c r="O28" i="30"/>
  <c r="Q28" i="30" s="1"/>
  <c r="W28" i="30" s="1"/>
  <c r="O30" i="30"/>
  <c r="O32" i="30"/>
  <c r="O34" i="30"/>
  <c r="Q34" i="30" s="1"/>
  <c r="W34" i="30" s="1"/>
  <c r="O36" i="30"/>
  <c r="O38" i="30"/>
  <c r="Q38" i="30" s="1"/>
  <c r="W38" i="30" s="1"/>
  <c r="O40" i="30"/>
  <c r="Q40" i="30" s="1"/>
  <c r="W40" i="30" s="1"/>
  <c r="O42" i="30"/>
  <c r="Q42" i="30" s="1"/>
  <c r="O44" i="30"/>
  <c r="Q44" i="30" s="1"/>
  <c r="W44" i="30" s="1"/>
  <c r="L11" i="30"/>
  <c r="L13" i="30"/>
  <c r="L15" i="30"/>
  <c r="L17" i="30"/>
  <c r="L19" i="30"/>
  <c r="L21" i="30"/>
  <c r="L23" i="30"/>
  <c r="L25" i="30"/>
  <c r="L27" i="30"/>
  <c r="L29" i="30"/>
  <c r="L31" i="30"/>
  <c r="L33" i="30"/>
  <c r="L35" i="30"/>
  <c r="L37" i="30"/>
  <c r="L39" i="30"/>
  <c r="M11" i="30"/>
  <c r="M13" i="30"/>
  <c r="Q13" i="30" s="1"/>
  <c r="W13" i="30" s="1"/>
  <c r="M15" i="30"/>
  <c r="M17" i="30"/>
  <c r="Q17" i="30" s="1"/>
  <c r="W17" i="30" s="1"/>
  <c r="M19" i="30"/>
  <c r="Q19" i="30" s="1"/>
  <c r="W19" i="30" s="1"/>
  <c r="M21" i="30"/>
  <c r="Q21" i="30" s="1"/>
  <c r="W21" i="30" s="1"/>
  <c r="M23" i="30"/>
  <c r="Q23" i="30" s="1"/>
  <c r="W23" i="30" s="1"/>
  <c r="M25" i="30"/>
  <c r="Q25" i="30" s="1"/>
  <c r="W25" i="30" s="1"/>
  <c r="M27" i="30"/>
  <c r="M29" i="30"/>
  <c r="Q29" i="30" s="1"/>
  <c r="W29" i="30" s="1"/>
  <c r="M31" i="30"/>
  <c r="Q31" i="30" s="1"/>
  <c r="W31" i="30" s="1"/>
  <c r="M33" i="30"/>
  <c r="Q33" i="30" s="1"/>
  <c r="W33" i="30" s="1"/>
  <c r="M35" i="30"/>
  <c r="M37" i="30"/>
  <c r="Q37" i="30" s="1"/>
  <c r="W37" i="30" s="1"/>
  <c r="N11" i="30"/>
  <c r="P11" i="30" s="1"/>
  <c r="V11" i="30" s="1"/>
  <c r="N13" i="30"/>
  <c r="P13" i="30" s="1"/>
  <c r="V13" i="30" s="1"/>
  <c r="N15" i="30"/>
  <c r="P15" i="30" s="1"/>
  <c r="V15" i="30" s="1"/>
  <c r="N17" i="30"/>
  <c r="N19" i="30"/>
  <c r="N21" i="30"/>
  <c r="P21" i="30" s="1"/>
  <c r="V21" i="30" s="1"/>
  <c r="N23" i="30"/>
  <c r="P23" i="30" s="1"/>
  <c r="V23" i="30" s="1"/>
  <c r="N25" i="30"/>
  <c r="P25" i="30" s="1"/>
  <c r="V25" i="30" s="1"/>
  <c r="N27" i="30"/>
  <c r="P27" i="30" s="1"/>
  <c r="V27" i="30" s="1"/>
  <c r="N29" i="30"/>
  <c r="P29" i="30" s="1"/>
  <c r="V29" i="30" s="1"/>
  <c r="N31" i="30"/>
  <c r="P31" i="30" s="1"/>
  <c r="V31" i="30" s="1"/>
  <c r="N33" i="30"/>
  <c r="N35" i="30"/>
  <c r="N37" i="30"/>
  <c r="P37" i="30" s="1"/>
  <c r="V37" i="30" s="1"/>
  <c r="N39" i="30"/>
  <c r="P39" i="30" s="1"/>
  <c r="V39" i="30" s="1"/>
  <c r="Y39" i="30" s="1"/>
  <c r="N41" i="30"/>
  <c r="P41" i="30" s="1"/>
  <c r="V41" i="30" s="1"/>
  <c r="Y41" i="30" s="1"/>
  <c r="N43" i="30"/>
  <c r="P43" i="30" s="1"/>
  <c r="V43" i="30" s="1"/>
  <c r="W109" i="29"/>
  <c r="Y109" i="29" s="1"/>
  <c r="S109" i="29"/>
  <c r="W105" i="29"/>
  <c r="S105" i="29"/>
  <c r="R87" i="29"/>
  <c r="V87" i="29"/>
  <c r="Y87" i="29" s="1"/>
  <c r="R104" i="29"/>
  <c r="V104" i="29"/>
  <c r="W96" i="29"/>
  <c r="S96" i="29"/>
  <c r="Y94" i="29"/>
  <c r="W92" i="29"/>
  <c r="S92" i="29"/>
  <c r="V91" i="29"/>
  <c r="R91" i="29"/>
  <c r="S110" i="29"/>
  <c r="W110" i="29"/>
  <c r="R109" i="29"/>
  <c r="S106" i="29"/>
  <c r="W106" i="29"/>
  <c r="R105" i="29"/>
  <c r="R102" i="29"/>
  <c r="V102" i="29"/>
  <c r="Y102" i="29" s="1"/>
  <c r="Y101" i="29"/>
  <c r="S88" i="29"/>
  <c r="W88" i="29"/>
  <c r="S73" i="29"/>
  <c r="Y105" i="29"/>
  <c r="W97" i="29"/>
  <c r="Y97" i="29" s="1"/>
  <c r="S97" i="29"/>
  <c r="W93" i="29"/>
  <c r="S93" i="29"/>
  <c r="W90" i="29"/>
  <c r="S90" i="29"/>
  <c r="V85" i="29"/>
  <c r="Y85" i="29" s="1"/>
  <c r="R85" i="29"/>
  <c r="Y80" i="29"/>
  <c r="R110" i="29"/>
  <c r="W107" i="29"/>
  <c r="Y107" i="29" s="1"/>
  <c r="S107" i="29"/>
  <c r="W103" i="29"/>
  <c r="S103" i="29"/>
  <c r="R84" i="29"/>
  <c r="V84" i="29"/>
  <c r="Y110" i="29"/>
  <c r="Y106" i="29"/>
  <c r="V100" i="29"/>
  <c r="Y100" i="29" s="1"/>
  <c r="R100" i="29"/>
  <c r="W98" i="29"/>
  <c r="Y98" i="29" s="1"/>
  <c r="S98" i="29"/>
  <c r="Y96" i="29"/>
  <c r="W94" i="29"/>
  <c r="S94" i="29"/>
  <c r="Y92" i="29"/>
  <c r="S89" i="29"/>
  <c r="R88" i="29"/>
  <c r="V88" i="29"/>
  <c r="Y88" i="29" s="1"/>
  <c r="V83" i="29"/>
  <c r="Y83" i="29" s="1"/>
  <c r="R83" i="29"/>
  <c r="Y74" i="29"/>
  <c r="S108" i="29"/>
  <c r="W108" i="29"/>
  <c r="Y108" i="29" s="1"/>
  <c r="R107" i="29"/>
  <c r="S104" i="29"/>
  <c r="W104" i="29"/>
  <c r="R103" i="29"/>
  <c r="S102" i="29"/>
  <c r="W102" i="29"/>
  <c r="W91" i="29"/>
  <c r="S91" i="29"/>
  <c r="V90" i="29"/>
  <c r="Y90" i="29" s="1"/>
  <c r="R90" i="29"/>
  <c r="R82" i="29"/>
  <c r="V82" i="29"/>
  <c r="Y103" i="29"/>
  <c r="W99" i="29"/>
  <c r="Y99" i="29" s="1"/>
  <c r="S99" i="29"/>
  <c r="W95" i="29"/>
  <c r="Y95" i="29" s="1"/>
  <c r="S95" i="29"/>
  <c r="Y93" i="29"/>
  <c r="V89" i="29"/>
  <c r="Y89" i="29" s="1"/>
  <c r="R89" i="29"/>
  <c r="R86" i="29"/>
  <c r="V86" i="29"/>
  <c r="R81" i="29"/>
  <c r="V81" i="29"/>
  <c r="Y81" i="29" s="1"/>
  <c r="E111" i="29"/>
  <c r="S80" i="29"/>
  <c r="R67" i="29"/>
  <c r="R48" i="29"/>
  <c r="V48" i="29"/>
  <c r="Y48" i="29" s="1"/>
  <c r="N77" i="29"/>
  <c r="P77" i="29" s="1"/>
  <c r="V77" i="29" s="1"/>
  <c r="R52" i="29"/>
  <c r="V52" i="29"/>
  <c r="C111" i="29"/>
  <c r="R99" i="29"/>
  <c r="R98" i="29"/>
  <c r="R97" i="29"/>
  <c r="R96" i="29"/>
  <c r="R95" i="29"/>
  <c r="R94" i="29"/>
  <c r="R93" i="29"/>
  <c r="R92" i="29"/>
  <c r="O86" i="29"/>
  <c r="Q86" i="29" s="1"/>
  <c r="O51" i="29"/>
  <c r="Q51" i="29" s="1"/>
  <c r="B111" i="29"/>
  <c r="S85" i="29"/>
  <c r="O84" i="29"/>
  <c r="Q84" i="29" s="1"/>
  <c r="N70" i="29"/>
  <c r="P70" i="29" s="1"/>
  <c r="V70" i="29" s="1"/>
  <c r="Y70" i="29" s="1"/>
  <c r="S83" i="29"/>
  <c r="O82" i="29"/>
  <c r="Q82" i="29" s="1"/>
  <c r="S74" i="29"/>
  <c r="S81" i="29"/>
  <c r="N72" i="29"/>
  <c r="P72" i="29" s="1"/>
  <c r="V72" i="29" s="1"/>
  <c r="Y72" i="29" s="1"/>
  <c r="V59" i="29"/>
  <c r="Y59" i="29" s="1"/>
  <c r="R59" i="29"/>
  <c r="S56" i="29"/>
  <c r="O79" i="29"/>
  <c r="Q79" i="29" s="1"/>
  <c r="W79" i="29" s="1"/>
  <c r="S78" i="29"/>
  <c r="O59" i="29"/>
  <c r="Q59" i="29" s="1"/>
  <c r="W59" i="29" s="1"/>
  <c r="N73" i="29"/>
  <c r="P73" i="29" s="1"/>
  <c r="V73" i="29" s="1"/>
  <c r="Y73" i="29" s="1"/>
  <c r="R80" i="29"/>
  <c r="R78" i="29"/>
  <c r="O77" i="29"/>
  <c r="Q77" i="29" s="1"/>
  <c r="W77" i="29" s="1"/>
  <c r="R74" i="29"/>
  <c r="O73" i="29"/>
  <c r="Q73" i="29" s="1"/>
  <c r="W73" i="29" s="1"/>
  <c r="N71" i="29"/>
  <c r="P71" i="29" s="1"/>
  <c r="V71" i="29" s="1"/>
  <c r="N69" i="29"/>
  <c r="P69" i="29" s="1"/>
  <c r="V69" i="29" s="1"/>
  <c r="N67" i="29"/>
  <c r="P67" i="29" s="1"/>
  <c r="V67" i="29" s="1"/>
  <c r="O65" i="29"/>
  <c r="Q65" i="29" s="1"/>
  <c r="W65" i="29" s="1"/>
  <c r="O57" i="29"/>
  <c r="Q57" i="29" s="1"/>
  <c r="W57" i="29" s="1"/>
  <c r="O49" i="29"/>
  <c r="Q49" i="29" s="1"/>
  <c r="S46" i="29"/>
  <c r="N79" i="29"/>
  <c r="P79" i="29" s="1"/>
  <c r="V79" i="29" s="1"/>
  <c r="Y79" i="29" s="1"/>
  <c r="O72" i="29"/>
  <c r="Q72" i="29" s="1"/>
  <c r="W72" i="29" s="1"/>
  <c r="O71" i="29"/>
  <c r="Q71" i="29" s="1"/>
  <c r="W71" i="29" s="1"/>
  <c r="O70" i="29"/>
  <c r="Q70" i="29" s="1"/>
  <c r="W70" i="29" s="1"/>
  <c r="O69" i="29"/>
  <c r="Q69" i="29" s="1"/>
  <c r="W69" i="29" s="1"/>
  <c r="O68" i="29"/>
  <c r="Q68" i="29" s="1"/>
  <c r="W68" i="29" s="1"/>
  <c r="Y68" i="29" s="1"/>
  <c r="O67" i="29"/>
  <c r="Q67" i="29" s="1"/>
  <c r="W67" i="29" s="1"/>
  <c r="O66" i="29"/>
  <c r="Q66" i="29" s="1"/>
  <c r="W66" i="29" s="1"/>
  <c r="Y66" i="29" s="1"/>
  <c r="R62" i="29"/>
  <c r="S61" i="29"/>
  <c r="O60" i="29"/>
  <c r="Q60" i="29" s="1"/>
  <c r="W60" i="29" s="1"/>
  <c r="Y60" i="29" s="1"/>
  <c r="R54" i="29"/>
  <c r="S53" i="29"/>
  <c r="O52" i="29"/>
  <c r="Q52" i="29" s="1"/>
  <c r="W52" i="29" s="1"/>
  <c r="V50" i="29"/>
  <c r="Y50" i="29" s="1"/>
  <c r="S68" i="29"/>
  <c r="S66" i="29"/>
  <c r="O63" i="29"/>
  <c r="Q63" i="29" s="1"/>
  <c r="W63" i="29" s="1"/>
  <c r="Y63" i="29" s="1"/>
  <c r="O55" i="29"/>
  <c r="Q55" i="29" s="1"/>
  <c r="W55" i="29" s="1"/>
  <c r="Y55" i="29" s="1"/>
  <c r="S52" i="29"/>
  <c r="R51" i="29"/>
  <c r="O47" i="29"/>
  <c r="Q47" i="29" s="1"/>
  <c r="S76" i="29"/>
  <c r="N75" i="29"/>
  <c r="P75" i="29" s="1"/>
  <c r="R72" i="29"/>
  <c r="R68" i="29"/>
  <c r="R66" i="29"/>
  <c r="P61" i="29"/>
  <c r="V61" i="29" s="1"/>
  <c r="Y61" i="29" s="1"/>
  <c r="R60" i="29"/>
  <c r="S59" i="29"/>
  <c r="P53" i="29"/>
  <c r="V53" i="29" s="1"/>
  <c r="P45" i="29"/>
  <c r="V45" i="29" s="1"/>
  <c r="R76" i="29"/>
  <c r="O75" i="29"/>
  <c r="Q75" i="29" s="1"/>
  <c r="O61" i="29"/>
  <c r="Q61" i="29" s="1"/>
  <c r="W61" i="29" s="1"/>
  <c r="S58" i="29"/>
  <c r="O53" i="29"/>
  <c r="Q53" i="29" s="1"/>
  <c r="W53" i="29" s="1"/>
  <c r="S50" i="29"/>
  <c r="O45" i="29"/>
  <c r="Q45" i="29" s="1"/>
  <c r="V46" i="29"/>
  <c r="S43" i="29"/>
  <c r="P65" i="29"/>
  <c r="V65" i="29" s="1"/>
  <c r="Y65" i="29" s="1"/>
  <c r="R64" i="29"/>
  <c r="S63" i="29"/>
  <c r="O62" i="29"/>
  <c r="Q62" i="29" s="1"/>
  <c r="W62" i="29" s="1"/>
  <c r="Y62" i="29" s="1"/>
  <c r="P57" i="29"/>
  <c r="V57" i="29" s="1"/>
  <c r="Y57" i="29" s="1"/>
  <c r="R56" i="29"/>
  <c r="O54" i="29"/>
  <c r="Q54" i="29" s="1"/>
  <c r="W54" i="29" s="1"/>
  <c r="Y54" i="29" s="1"/>
  <c r="P49" i="29"/>
  <c r="V49" i="29" s="1"/>
  <c r="O46" i="29"/>
  <c r="Q46" i="29" s="1"/>
  <c r="W46" i="29" s="1"/>
  <c r="S41" i="29"/>
  <c r="Q33" i="29"/>
  <c r="W33" i="29" s="1"/>
  <c r="S39" i="29"/>
  <c r="S35" i="29"/>
  <c r="S37" i="29"/>
  <c r="L12" i="29"/>
  <c r="L14" i="29"/>
  <c r="L16" i="29"/>
  <c r="L18" i="29"/>
  <c r="L20" i="29"/>
  <c r="L22" i="29"/>
  <c r="L24" i="29"/>
  <c r="L26" i="29"/>
  <c r="L28" i="29"/>
  <c r="L30" i="29"/>
  <c r="L32" i="29"/>
  <c r="L34" i="29"/>
  <c r="L36" i="29"/>
  <c r="L38" i="29"/>
  <c r="L40" i="29"/>
  <c r="L42" i="29"/>
  <c r="L44" i="29"/>
  <c r="M12" i="29"/>
  <c r="M14" i="29"/>
  <c r="M16" i="29"/>
  <c r="M18" i="29"/>
  <c r="M20" i="29"/>
  <c r="M22" i="29"/>
  <c r="M24" i="29"/>
  <c r="M26" i="29"/>
  <c r="M28" i="29"/>
  <c r="M30" i="29"/>
  <c r="M32" i="29"/>
  <c r="M34" i="29"/>
  <c r="M36" i="29"/>
  <c r="N12" i="29"/>
  <c r="N14" i="29"/>
  <c r="P14" i="29" s="1"/>
  <c r="V14" i="29" s="1"/>
  <c r="N16" i="29"/>
  <c r="P16" i="29" s="1"/>
  <c r="V16" i="29" s="1"/>
  <c r="Y16" i="29" s="1"/>
  <c r="N18" i="29"/>
  <c r="P18" i="29" s="1"/>
  <c r="V18" i="29" s="1"/>
  <c r="N20" i="29"/>
  <c r="N22" i="29"/>
  <c r="P22" i="29" s="1"/>
  <c r="V22" i="29" s="1"/>
  <c r="N24" i="29"/>
  <c r="P24" i="29" s="1"/>
  <c r="V24" i="29" s="1"/>
  <c r="Y24" i="29" s="1"/>
  <c r="N26" i="29"/>
  <c r="P26" i="29" s="1"/>
  <c r="V26" i="29" s="1"/>
  <c r="N28" i="29"/>
  <c r="N30" i="29"/>
  <c r="P30" i="29" s="1"/>
  <c r="V30" i="29" s="1"/>
  <c r="N32" i="29"/>
  <c r="P32" i="29" s="1"/>
  <c r="V32" i="29" s="1"/>
  <c r="Y32" i="29" s="1"/>
  <c r="N34" i="29"/>
  <c r="P34" i="29" s="1"/>
  <c r="V34" i="29" s="1"/>
  <c r="N36" i="29"/>
  <c r="N38" i="29"/>
  <c r="P38" i="29" s="1"/>
  <c r="V38" i="29" s="1"/>
  <c r="N40" i="29"/>
  <c r="P40" i="29" s="1"/>
  <c r="V40" i="29" s="1"/>
  <c r="Y40" i="29" s="1"/>
  <c r="N42" i="29"/>
  <c r="P42" i="29" s="1"/>
  <c r="V42" i="29" s="1"/>
  <c r="N44" i="29"/>
  <c r="O12" i="29"/>
  <c r="Q12" i="29" s="1"/>
  <c r="W12" i="29" s="1"/>
  <c r="O14" i="29"/>
  <c r="Q14" i="29" s="1"/>
  <c r="W14" i="29" s="1"/>
  <c r="O16" i="29"/>
  <c r="Q16" i="29" s="1"/>
  <c r="W16" i="29" s="1"/>
  <c r="O18" i="29"/>
  <c r="O20" i="29"/>
  <c r="Q20" i="29" s="1"/>
  <c r="W20" i="29" s="1"/>
  <c r="O22" i="29"/>
  <c r="Q22" i="29" s="1"/>
  <c r="W22" i="29" s="1"/>
  <c r="O24" i="29"/>
  <c r="Q24" i="29" s="1"/>
  <c r="W24" i="29" s="1"/>
  <c r="O26" i="29"/>
  <c r="O28" i="29"/>
  <c r="Q28" i="29" s="1"/>
  <c r="W28" i="29" s="1"/>
  <c r="O30" i="29"/>
  <c r="Q30" i="29" s="1"/>
  <c r="W30" i="29" s="1"/>
  <c r="O32" i="29"/>
  <c r="Q32" i="29" s="1"/>
  <c r="W32" i="29" s="1"/>
  <c r="O34" i="29"/>
  <c r="O36" i="29"/>
  <c r="Q36" i="29" s="1"/>
  <c r="W36" i="29" s="1"/>
  <c r="O38" i="29"/>
  <c r="Q38" i="29" s="1"/>
  <c r="O40" i="29"/>
  <c r="Q40" i="29" s="1"/>
  <c r="W40" i="29" s="1"/>
  <c r="O42" i="29"/>
  <c r="Q42" i="29" s="1"/>
  <c r="O44" i="29"/>
  <c r="Q44" i="29" s="1"/>
  <c r="L11" i="29"/>
  <c r="L13" i="29"/>
  <c r="L15" i="29"/>
  <c r="L17" i="29"/>
  <c r="L19" i="29"/>
  <c r="L21" i="29"/>
  <c r="L23" i="29"/>
  <c r="L25" i="29"/>
  <c r="L27" i="29"/>
  <c r="L29" i="29"/>
  <c r="L31" i="29"/>
  <c r="L33" i="29"/>
  <c r="L35" i="29"/>
  <c r="L37" i="29"/>
  <c r="L39" i="29"/>
  <c r="M11" i="29"/>
  <c r="M13" i="29"/>
  <c r="Q13" i="29" s="1"/>
  <c r="W13" i="29" s="1"/>
  <c r="M15" i="29"/>
  <c r="Q15" i="29" s="1"/>
  <c r="W15" i="29" s="1"/>
  <c r="M17" i="29"/>
  <c r="Q17" i="29" s="1"/>
  <c r="W17" i="29" s="1"/>
  <c r="M19" i="29"/>
  <c r="Q19" i="29" s="1"/>
  <c r="W19" i="29" s="1"/>
  <c r="M21" i="29"/>
  <c r="M23" i="29"/>
  <c r="Q23" i="29" s="1"/>
  <c r="W23" i="29" s="1"/>
  <c r="M25" i="29"/>
  <c r="M27" i="29"/>
  <c r="M29" i="29"/>
  <c r="Q29" i="29" s="1"/>
  <c r="W29" i="29" s="1"/>
  <c r="M31" i="29"/>
  <c r="Q31" i="29" s="1"/>
  <c r="W31" i="29" s="1"/>
  <c r="N11" i="29"/>
  <c r="N13" i="29"/>
  <c r="P13" i="29" s="1"/>
  <c r="V13" i="29" s="1"/>
  <c r="N15" i="29"/>
  <c r="P15" i="29" s="1"/>
  <c r="V15" i="29" s="1"/>
  <c r="N17" i="29"/>
  <c r="P17" i="29" s="1"/>
  <c r="V17" i="29" s="1"/>
  <c r="N19" i="29"/>
  <c r="N21" i="29"/>
  <c r="P21" i="29" s="1"/>
  <c r="V21" i="29" s="1"/>
  <c r="N23" i="29"/>
  <c r="P23" i="29" s="1"/>
  <c r="V23" i="29" s="1"/>
  <c r="N25" i="29"/>
  <c r="P25" i="29" s="1"/>
  <c r="V25" i="29" s="1"/>
  <c r="N27" i="29"/>
  <c r="N29" i="29"/>
  <c r="P29" i="29" s="1"/>
  <c r="V29" i="29" s="1"/>
  <c r="N31" i="29"/>
  <c r="P31" i="29" s="1"/>
  <c r="V31" i="29" s="1"/>
  <c r="N33" i="29"/>
  <c r="P33" i="29" s="1"/>
  <c r="V33" i="29" s="1"/>
  <c r="Y33" i="29" s="1"/>
  <c r="N35" i="29"/>
  <c r="N37" i="29"/>
  <c r="P37" i="29" s="1"/>
  <c r="V37" i="29" s="1"/>
  <c r="Y37" i="29" s="1"/>
  <c r="N39" i="29"/>
  <c r="P39" i="29" s="1"/>
  <c r="V39" i="29" s="1"/>
  <c r="Y39" i="29" s="1"/>
  <c r="N41" i="29"/>
  <c r="P41" i="29" s="1"/>
  <c r="V41" i="29" s="1"/>
  <c r="Y41" i="29" s="1"/>
  <c r="N43" i="29"/>
  <c r="P43" i="29" s="1"/>
  <c r="V43" i="29" s="1"/>
  <c r="Y43" i="29" s="1"/>
  <c r="Y106" i="28"/>
  <c r="R110" i="28"/>
  <c r="S91" i="28"/>
  <c r="R105" i="28"/>
  <c r="Y82" i="28"/>
  <c r="Y86" i="28"/>
  <c r="R103" i="28"/>
  <c r="S109" i="28"/>
  <c r="S95" i="28"/>
  <c r="E111" i="28"/>
  <c r="N101" i="28"/>
  <c r="P101" i="28" s="1"/>
  <c r="N99" i="28"/>
  <c r="P99" i="28" s="1"/>
  <c r="N97" i="28"/>
  <c r="P97" i="28" s="1"/>
  <c r="N95" i="28"/>
  <c r="P95" i="28" s="1"/>
  <c r="N93" i="28"/>
  <c r="P93" i="28" s="1"/>
  <c r="O89" i="28"/>
  <c r="Q89" i="28" s="1"/>
  <c r="O85" i="28"/>
  <c r="Q85" i="28" s="1"/>
  <c r="O81" i="28"/>
  <c r="Q81" i="28" s="1"/>
  <c r="S102" i="28"/>
  <c r="S100" i="28"/>
  <c r="S98" i="28"/>
  <c r="S96" i="28"/>
  <c r="S94" i="28"/>
  <c r="S92" i="28"/>
  <c r="S88" i="28"/>
  <c r="S84" i="28"/>
  <c r="S78" i="28"/>
  <c r="R102" i="28"/>
  <c r="R100" i="28"/>
  <c r="R98" i="28"/>
  <c r="R96" i="28"/>
  <c r="R94" i="28"/>
  <c r="R92" i="28"/>
  <c r="N89" i="28"/>
  <c r="P89" i="28" s="1"/>
  <c r="N85" i="28"/>
  <c r="P85" i="28" s="1"/>
  <c r="R81" i="28"/>
  <c r="V81" i="28"/>
  <c r="S75" i="28"/>
  <c r="W75" i="28"/>
  <c r="S108" i="28"/>
  <c r="S106" i="28"/>
  <c r="S104" i="28"/>
  <c r="S76" i="28"/>
  <c r="O109" i="28"/>
  <c r="Q109" i="28" s="1"/>
  <c r="W109" i="28" s="1"/>
  <c r="R108" i="28"/>
  <c r="O107" i="28"/>
  <c r="Q107" i="28" s="1"/>
  <c r="W107" i="28" s="1"/>
  <c r="R106" i="28"/>
  <c r="O105" i="28"/>
  <c r="Q105" i="28" s="1"/>
  <c r="W105" i="28" s="1"/>
  <c r="R104" i="28"/>
  <c r="O103" i="28"/>
  <c r="Q103" i="28" s="1"/>
  <c r="W103" i="28" s="1"/>
  <c r="O91" i="28"/>
  <c r="Q91" i="28" s="1"/>
  <c r="W91" i="28" s="1"/>
  <c r="O87" i="28"/>
  <c r="Q87" i="28" s="1"/>
  <c r="W87" i="28" s="1"/>
  <c r="O83" i="28"/>
  <c r="Q83" i="28" s="1"/>
  <c r="W83" i="28" s="1"/>
  <c r="S90" i="28"/>
  <c r="S86" i="28"/>
  <c r="S82" i="28"/>
  <c r="Y76" i="28"/>
  <c r="S74" i="28"/>
  <c r="W74" i="28"/>
  <c r="N109" i="28"/>
  <c r="P109" i="28" s="1"/>
  <c r="V109" i="28" s="1"/>
  <c r="Y109" i="28" s="1"/>
  <c r="N107" i="28"/>
  <c r="P107" i="28" s="1"/>
  <c r="V107" i="28" s="1"/>
  <c r="Y107" i="28" s="1"/>
  <c r="N105" i="28"/>
  <c r="P105" i="28" s="1"/>
  <c r="V105" i="28" s="1"/>
  <c r="N103" i="28"/>
  <c r="P103" i="28" s="1"/>
  <c r="V103" i="28" s="1"/>
  <c r="Y103" i="28" s="1"/>
  <c r="O101" i="28"/>
  <c r="Q101" i="28" s="1"/>
  <c r="W101" i="28" s="1"/>
  <c r="O99" i="28"/>
  <c r="Q99" i="28" s="1"/>
  <c r="W99" i="28" s="1"/>
  <c r="O97" i="28"/>
  <c r="Q97" i="28" s="1"/>
  <c r="W97" i="28" s="1"/>
  <c r="O95" i="28"/>
  <c r="Q95" i="28" s="1"/>
  <c r="W95" i="28" s="1"/>
  <c r="O93" i="28"/>
  <c r="Q93" i="28" s="1"/>
  <c r="W93" i="28" s="1"/>
  <c r="N91" i="28"/>
  <c r="P91" i="28" s="1"/>
  <c r="R90" i="28"/>
  <c r="N87" i="28"/>
  <c r="P87" i="28" s="1"/>
  <c r="R86" i="28"/>
  <c r="N83" i="28"/>
  <c r="P83" i="28" s="1"/>
  <c r="R82" i="28"/>
  <c r="Q80" i="28"/>
  <c r="W80" i="28" s="1"/>
  <c r="Y80" i="28" s="1"/>
  <c r="R79" i="28"/>
  <c r="V79" i="28"/>
  <c r="Y79" i="28" s="1"/>
  <c r="N88" i="28"/>
  <c r="P88" i="28" s="1"/>
  <c r="V88" i="28" s="1"/>
  <c r="Y88" i="28" s="1"/>
  <c r="N84" i="28"/>
  <c r="P84" i="28" s="1"/>
  <c r="V84" i="28" s="1"/>
  <c r="Y84" i="28" s="1"/>
  <c r="R80" i="28"/>
  <c r="N74" i="28"/>
  <c r="P74" i="28" s="1"/>
  <c r="V74" i="28" s="1"/>
  <c r="Y74" i="28" s="1"/>
  <c r="N71" i="28"/>
  <c r="P71" i="28" s="1"/>
  <c r="N67" i="28"/>
  <c r="P67" i="28" s="1"/>
  <c r="N63" i="28"/>
  <c r="P63" i="28" s="1"/>
  <c r="V57" i="28"/>
  <c r="Y57" i="28" s="1"/>
  <c r="R57" i="28"/>
  <c r="Y38" i="28"/>
  <c r="S73" i="28"/>
  <c r="N70" i="28"/>
  <c r="P70" i="28" s="1"/>
  <c r="S69" i="28"/>
  <c r="N66" i="28"/>
  <c r="P66" i="28" s="1"/>
  <c r="S65" i="28"/>
  <c r="N62" i="28"/>
  <c r="P62" i="28" s="1"/>
  <c r="S61" i="28"/>
  <c r="R54" i="28"/>
  <c r="V54" i="28"/>
  <c r="Y54" i="28" s="1"/>
  <c r="Y52" i="28"/>
  <c r="N77" i="28"/>
  <c r="P77" i="28" s="1"/>
  <c r="Y46" i="28"/>
  <c r="N73" i="28"/>
  <c r="P73" i="28" s="1"/>
  <c r="N69" i="28"/>
  <c r="P69" i="28" s="1"/>
  <c r="N65" i="28"/>
  <c r="P65" i="28" s="1"/>
  <c r="N61" i="28"/>
  <c r="P61" i="28" s="1"/>
  <c r="S59" i="28"/>
  <c r="O58" i="28"/>
  <c r="Q58" i="28" s="1"/>
  <c r="V55" i="28"/>
  <c r="Y55" i="28" s="1"/>
  <c r="R55" i="28"/>
  <c r="Y50" i="28"/>
  <c r="Y44" i="28"/>
  <c r="P78" i="28"/>
  <c r="V78" i="28" s="1"/>
  <c r="Y78" i="28" s="1"/>
  <c r="V75" i="28"/>
  <c r="R75" i="28"/>
  <c r="N72" i="28"/>
  <c r="P72" i="28" s="1"/>
  <c r="S71" i="28"/>
  <c r="N68" i="28"/>
  <c r="P68" i="28" s="1"/>
  <c r="S67" i="28"/>
  <c r="N64" i="28"/>
  <c r="P64" i="28" s="1"/>
  <c r="S63" i="28"/>
  <c r="N60" i="28"/>
  <c r="P60" i="28" s="1"/>
  <c r="S57" i="28"/>
  <c r="R56" i="28"/>
  <c r="V56" i="28"/>
  <c r="Y56" i="28" s="1"/>
  <c r="R76" i="28"/>
  <c r="R58" i="28"/>
  <c r="V58" i="28"/>
  <c r="V59" i="28"/>
  <c r="Y59" i="28" s="1"/>
  <c r="R59" i="28"/>
  <c r="V53" i="28"/>
  <c r="Y53" i="28" s="1"/>
  <c r="R53" i="28"/>
  <c r="R52" i="28"/>
  <c r="O51" i="28"/>
  <c r="Q51" i="28" s="1"/>
  <c r="R50" i="28"/>
  <c r="O49" i="28"/>
  <c r="Q49" i="28" s="1"/>
  <c r="R48" i="28"/>
  <c r="O47" i="28"/>
  <c r="Q47" i="28" s="1"/>
  <c r="R46" i="28"/>
  <c r="N45" i="28"/>
  <c r="P45" i="28" s="1"/>
  <c r="O37" i="28"/>
  <c r="Q37" i="28" s="1"/>
  <c r="W37" i="28" s="1"/>
  <c r="S33" i="28"/>
  <c r="R32" i="28"/>
  <c r="S29" i="28"/>
  <c r="R28" i="28"/>
  <c r="S25" i="28"/>
  <c r="R24" i="28"/>
  <c r="S21" i="28"/>
  <c r="R20" i="28"/>
  <c r="R16" i="28"/>
  <c r="S40" i="28"/>
  <c r="S39" i="28"/>
  <c r="S38" i="28"/>
  <c r="S17" i="28"/>
  <c r="W17" i="28"/>
  <c r="R13" i="28"/>
  <c r="S13" i="28"/>
  <c r="W13" i="28"/>
  <c r="N51" i="28"/>
  <c r="P51" i="28" s="1"/>
  <c r="N49" i="28"/>
  <c r="P49" i="28" s="1"/>
  <c r="N47" i="28"/>
  <c r="P47" i="28" s="1"/>
  <c r="O43" i="28"/>
  <c r="Q43" i="28" s="1"/>
  <c r="W43" i="28" s="1"/>
  <c r="O41" i="28"/>
  <c r="Q41" i="28" s="1"/>
  <c r="W41" i="28" s="1"/>
  <c r="R40" i="28"/>
  <c r="R38" i="28"/>
  <c r="R37" i="28"/>
  <c r="V37" i="28"/>
  <c r="Y22" i="28"/>
  <c r="R11" i="28"/>
  <c r="S44" i="28"/>
  <c r="R33" i="28"/>
  <c r="V33" i="28"/>
  <c r="Y33" i="28" s="1"/>
  <c r="R29" i="28"/>
  <c r="V29" i="28"/>
  <c r="Y29" i="28" s="1"/>
  <c r="R25" i="28"/>
  <c r="V25" i="28"/>
  <c r="Y25" i="28" s="1"/>
  <c r="R21" i="28"/>
  <c r="V21" i="28"/>
  <c r="Y21" i="28" s="1"/>
  <c r="R17" i="28"/>
  <c r="V17" i="28"/>
  <c r="Y17" i="28" s="1"/>
  <c r="Y13" i="28"/>
  <c r="R44" i="28"/>
  <c r="N43" i="28"/>
  <c r="P43" i="28" s="1"/>
  <c r="N41" i="28"/>
  <c r="P41" i="28" s="1"/>
  <c r="N39" i="28"/>
  <c r="P39" i="28" s="1"/>
  <c r="S35" i="28"/>
  <c r="R34" i="28"/>
  <c r="S31" i="28"/>
  <c r="R30" i="28"/>
  <c r="S27" i="28"/>
  <c r="R26" i="28"/>
  <c r="S23" i="28"/>
  <c r="R12" i="28"/>
  <c r="S42" i="28"/>
  <c r="S19" i="28"/>
  <c r="W19" i="28"/>
  <c r="S15" i="28"/>
  <c r="W15" i="28"/>
  <c r="Q12" i="28"/>
  <c r="W12" i="28" s="1"/>
  <c r="Y12" i="28" s="1"/>
  <c r="O45" i="28"/>
  <c r="Q45" i="28" s="1"/>
  <c r="W45" i="28" s="1"/>
  <c r="R42" i="28"/>
  <c r="S36" i="28"/>
  <c r="Y20" i="28"/>
  <c r="S52" i="28"/>
  <c r="S50" i="28"/>
  <c r="S48" i="28"/>
  <c r="S46" i="28"/>
  <c r="R35" i="28"/>
  <c r="V35" i="28"/>
  <c r="Y35" i="28" s="1"/>
  <c r="R31" i="28"/>
  <c r="V31" i="28"/>
  <c r="Y31" i="28" s="1"/>
  <c r="R27" i="28"/>
  <c r="V27" i="28"/>
  <c r="Y27" i="28" s="1"/>
  <c r="R23" i="28"/>
  <c r="V23" i="28"/>
  <c r="Y23" i="28" s="1"/>
  <c r="S20" i="28"/>
  <c r="R19" i="28"/>
  <c r="V19" i="28"/>
  <c r="S16" i="28"/>
  <c r="R15" i="28"/>
  <c r="V15" i="28"/>
  <c r="Y15" i="28" s="1"/>
  <c r="M11" i="28"/>
  <c r="M12" i="28"/>
  <c r="S105" i="27"/>
  <c r="W105" i="27"/>
  <c r="V102" i="27"/>
  <c r="Y102" i="27" s="1"/>
  <c r="R102" i="27"/>
  <c r="S98" i="27"/>
  <c r="R97" i="27"/>
  <c r="V97" i="27"/>
  <c r="Y97" i="27" s="1"/>
  <c r="V84" i="27"/>
  <c r="R84" i="27"/>
  <c r="R107" i="27"/>
  <c r="V107" i="27"/>
  <c r="Y107" i="27" s="1"/>
  <c r="S99" i="27"/>
  <c r="W99" i="27"/>
  <c r="V96" i="27"/>
  <c r="Y96" i="27" s="1"/>
  <c r="R96" i="27"/>
  <c r="R91" i="27"/>
  <c r="V91" i="27"/>
  <c r="V106" i="27"/>
  <c r="Y106" i="27" s="1"/>
  <c r="R106" i="27"/>
  <c r="R101" i="27"/>
  <c r="V101" i="27"/>
  <c r="S93" i="27"/>
  <c r="W93" i="27"/>
  <c r="S109" i="27"/>
  <c r="W109" i="27"/>
  <c r="S103" i="27"/>
  <c r="W103" i="27"/>
  <c r="V100" i="27"/>
  <c r="Y100" i="27" s="1"/>
  <c r="R100" i="27"/>
  <c r="S96" i="27"/>
  <c r="R95" i="27"/>
  <c r="V95" i="27"/>
  <c r="R105" i="27"/>
  <c r="V105" i="27"/>
  <c r="S97" i="27"/>
  <c r="W97" i="27"/>
  <c r="V94" i="27"/>
  <c r="Y94" i="27" s="1"/>
  <c r="R94" i="27"/>
  <c r="V110" i="27"/>
  <c r="Y110" i="27" s="1"/>
  <c r="R110" i="27"/>
  <c r="S107" i="27"/>
  <c r="W107" i="27"/>
  <c r="V104" i="27"/>
  <c r="Y104" i="27" s="1"/>
  <c r="R104" i="27"/>
  <c r="S100" i="27"/>
  <c r="R99" i="27"/>
  <c r="V99" i="27"/>
  <c r="Y99" i="27" s="1"/>
  <c r="S101" i="27"/>
  <c r="W101" i="27"/>
  <c r="V98" i="27"/>
  <c r="Y98" i="27" s="1"/>
  <c r="R98" i="27"/>
  <c r="R93" i="27"/>
  <c r="V93" i="27"/>
  <c r="Y93" i="27" s="1"/>
  <c r="R90" i="27"/>
  <c r="V90" i="27"/>
  <c r="R87" i="27"/>
  <c r="R109" i="27"/>
  <c r="V109" i="27"/>
  <c r="V108" i="27"/>
  <c r="Y108" i="27" s="1"/>
  <c r="R108" i="27"/>
  <c r="R103" i="27"/>
  <c r="V103" i="27"/>
  <c r="Y103" i="27" s="1"/>
  <c r="S95" i="27"/>
  <c r="W95" i="27"/>
  <c r="V92" i="27"/>
  <c r="Y92" i="27" s="1"/>
  <c r="R92" i="27"/>
  <c r="R88" i="27"/>
  <c r="V88" i="27"/>
  <c r="R79" i="27"/>
  <c r="Y75" i="27"/>
  <c r="S57" i="27"/>
  <c r="Y56" i="27"/>
  <c r="V50" i="27"/>
  <c r="R50" i="27"/>
  <c r="V42" i="27"/>
  <c r="R42" i="27"/>
  <c r="I111" i="27"/>
  <c r="N86" i="27"/>
  <c r="P86" i="27" s="1"/>
  <c r="R81" i="27"/>
  <c r="N78" i="27"/>
  <c r="P78" i="27" s="1"/>
  <c r="V45" i="27"/>
  <c r="R45" i="27"/>
  <c r="O89" i="27"/>
  <c r="Q89" i="27" s="1"/>
  <c r="W89" i="27" s="1"/>
  <c r="Y89" i="27" s="1"/>
  <c r="R85" i="27"/>
  <c r="O85" i="27"/>
  <c r="Q85" i="27" s="1"/>
  <c r="W85" i="27" s="1"/>
  <c r="Y85" i="27" s="1"/>
  <c r="R75" i="27"/>
  <c r="S75" i="27"/>
  <c r="W75" i="27"/>
  <c r="V48" i="27"/>
  <c r="Y48" i="27" s="1"/>
  <c r="R48" i="27"/>
  <c r="G111" i="27"/>
  <c r="S90" i="27"/>
  <c r="O90" i="27"/>
  <c r="Q90" i="27" s="1"/>
  <c r="W90" i="27" s="1"/>
  <c r="O84" i="27"/>
  <c r="Q84" i="27" s="1"/>
  <c r="W84" i="27" s="1"/>
  <c r="S73" i="27"/>
  <c r="R51" i="27"/>
  <c r="V51" i="27"/>
  <c r="V43" i="27"/>
  <c r="R43" i="27"/>
  <c r="R40" i="27"/>
  <c r="V40" i="27"/>
  <c r="O91" i="27"/>
  <c r="Q91" i="27" s="1"/>
  <c r="Y60" i="27"/>
  <c r="V46" i="27"/>
  <c r="R46" i="27"/>
  <c r="E111" i="27"/>
  <c r="O87" i="27"/>
  <c r="Q87" i="27" s="1"/>
  <c r="W87" i="27" s="1"/>
  <c r="Y87" i="27" s="1"/>
  <c r="P83" i="27"/>
  <c r="V83" i="27" s="1"/>
  <c r="Y83" i="27" s="1"/>
  <c r="R82" i="27"/>
  <c r="P77" i="27"/>
  <c r="V77" i="27" s="1"/>
  <c r="S71" i="27"/>
  <c r="V49" i="27"/>
  <c r="Y49" i="27" s="1"/>
  <c r="R49" i="27"/>
  <c r="S86" i="27"/>
  <c r="Q86" i="27"/>
  <c r="W86" i="27" s="1"/>
  <c r="S83" i="27"/>
  <c r="V80" i="27"/>
  <c r="Y80" i="27" s="1"/>
  <c r="R80" i="27"/>
  <c r="V76" i="27"/>
  <c r="Y76" i="27" s="1"/>
  <c r="R76" i="27"/>
  <c r="V44" i="27"/>
  <c r="R44" i="27"/>
  <c r="S88" i="27"/>
  <c r="O88" i="27"/>
  <c r="Q88" i="27" s="1"/>
  <c r="W88" i="27" s="1"/>
  <c r="R83" i="27"/>
  <c r="S79" i="27"/>
  <c r="R77" i="27"/>
  <c r="S77" i="27"/>
  <c r="W77" i="27"/>
  <c r="Y71" i="27"/>
  <c r="V47" i="27"/>
  <c r="Y47" i="27" s="1"/>
  <c r="R47" i="27"/>
  <c r="S66" i="27"/>
  <c r="N64" i="27"/>
  <c r="P64" i="27" s="1"/>
  <c r="V64" i="27" s="1"/>
  <c r="Y64" i="27" s="1"/>
  <c r="R55" i="27"/>
  <c r="O55" i="27"/>
  <c r="Q55" i="27" s="1"/>
  <c r="R61" i="27"/>
  <c r="O61" i="27"/>
  <c r="Q61" i="27" s="1"/>
  <c r="W61" i="27" s="1"/>
  <c r="Y61" i="27" s="1"/>
  <c r="S56" i="27"/>
  <c r="N54" i="27"/>
  <c r="P54" i="27" s="1"/>
  <c r="S52" i="27"/>
  <c r="V36" i="27"/>
  <c r="R36" i="27"/>
  <c r="V26" i="27"/>
  <c r="Y26" i="27" s="1"/>
  <c r="R26" i="27"/>
  <c r="V18" i="27"/>
  <c r="R18" i="27"/>
  <c r="R67" i="27"/>
  <c r="S62" i="27"/>
  <c r="S68" i="27"/>
  <c r="N66" i="27"/>
  <c r="P66" i="27" s="1"/>
  <c r="R57" i="27"/>
  <c r="O57" i="27"/>
  <c r="Q57" i="27" s="1"/>
  <c r="W57" i="27" s="1"/>
  <c r="Y57" i="27" s="1"/>
  <c r="Y29" i="27"/>
  <c r="S74" i="27"/>
  <c r="S72" i="27"/>
  <c r="S70" i="27"/>
  <c r="R63" i="27"/>
  <c r="O63" i="27"/>
  <c r="Q63" i="27" s="1"/>
  <c r="S58" i="27"/>
  <c r="R73" i="27"/>
  <c r="O73" i="27"/>
  <c r="Q73" i="27" s="1"/>
  <c r="W73" i="27" s="1"/>
  <c r="Y73" i="27" s="1"/>
  <c r="R71" i="27"/>
  <c r="O71" i="27"/>
  <c r="Q71" i="27" s="1"/>
  <c r="W71" i="27" s="1"/>
  <c r="R69" i="27"/>
  <c r="O69" i="27"/>
  <c r="Q69" i="27" s="1"/>
  <c r="W69" i="27" s="1"/>
  <c r="Y69" i="27" s="1"/>
  <c r="S64" i="27"/>
  <c r="N62" i="27"/>
  <c r="P62" i="27" s="1"/>
  <c r="R53" i="27"/>
  <c r="O53" i="27"/>
  <c r="Q53" i="27" s="1"/>
  <c r="W53" i="27" s="1"/>
  <c r="Y53" i="27" s="1"/>
  <c r="R41" i="27"/>
  <c r="V38" i="27"/>
  <c r="R38" i="27"/>
  <c r="V34" i="27"/>
  <c r="Y34" i="27" s="1"/>
  <c r="R34" i="27"/>
  <c r="V30" i="27"/>
  <c r="Y30" i="27" s="1"/>
  <c r="R30" i="27"/>
  <c r="S67" i="27"/>
  <c r="R59" i="27"/>
  <c r="O59" i="27"/>
  <c r="Q59" i="27" s="1"/>
  <c r="S54" i="27"/>
  <c r="R52" i="27"/>
  <c r="N74" i="27"/>
  <c r="P74" i="27" s="1"/>
  <c r="V74" i="27" s="1"/>
  <c r="Y74" i="27" s="1"/>
  <c r="N72" i="27"/>
  <c r="P72" i="27" s="1"/>
  <c r="N70" i="27"/>
  <c r="P70" i="27" s="1"/>
  <c r="R65" i="27"/>
  <c r="O65" i="27"/>
  <c r="Q65" i="27" s="1"/>
  <c r="W65" i="27" s="1"/>
  <c r="Y65" i="27" s="1"/>
  <c r="S60" i="27"/>
  <c r="N58" i="27"/>
  <c r="P58" i="27" s="1"/>
  <c r="O38" i="27"/>
  <c r="Q38" i="27" s="1"/>
  <c r="W38" i="27" s="1"/>
  <c r="O36" i="27"/>
  <c r="Q36" i="27" s="1"/>
  <c r="W36" i="27" s="1"/>
  <c r="O34" i="27"/>
  <c r="Q34" i="27" s="1"/>
  <c r="W34" i="27" s="1"/>
  <c r="S24" i="27"/>
  <c r="R21" i="27"/>
  <c r="S13" i="27"/>
  <c r="R39" i="27"/>
  <c r="O39" i="27"/>
  <c r="Q39" i="27" s="1"/>
  <c r="W39" i="27" s="1"/>
  <c r="Y39" i="27" s="1"/>
  <c r="R11" i="27"/>
  <c r="R14" i="27"/>
  <c r="O33" i="27"/>
  <c r="Q33" i="27" s="1"/>
  <c r="W33" i="27" s="1"/>
  <c r="V24" i="27"/>
  <c r="Y24" i="27" s="1"/>
  <c r="R24" i="27"/>
  <c r="V16" i="27"/>
  <c r="Y16" i="27" s="1"/>
  <c r="R16" i="27"/>
  <c r="O51" i="27"/>
  <c r="Q51" i="27" s="1"/>
  <c r="W51" i="27" s="1"/>
  <c r="O50" i="27"/>
  <c r="Q50" i="27" s="1"/>
  <c r="W50" i="27" s="1"/>
  <c r="O49" i="27"/>
  <c r="Q49" i="27" s="1"/>
  <c r="W49" i="27" s="1"/>
  <c r="O48" i="27"/>
  <c r="Q48" i="27" s="1"/>
  <c r="W48" i="27" s="1"/>
  <c r="O47" i="27"/>
  <c r="Q47" i="27" s="1"/>
  <c r="W47" i="27" s="1"/>
  <c r="O46" i="27"/>
  <c r="Q46" i="27" s="1"/>
  <c r="W46" i="27" s="1"/>
  <c r="O45" i="27"/>
  <c r="Q45" i="27" s="1"/>
  <c r="W45" i="27" s="1"/>
  <c r="O44" i="27"/>
  <c r="Q44" i="27" s="1"/>
  <c r="W44" i="27" s="1"/>
  <c r="O43" i="27"/>
  <c r="Q43" i="27" s="1"/>
  <c r="W43" i="27" s="1"/>
  <c r="O42" i="27"/>
  <c r="Q42" i="27" s="1"/>
  <c r="W42" i="27" s="1"/>
  <c r="O41" i="27"/>
  <c r="Q41" i="27" s="1"/>
  <c r="W41" i="27" s="1"/>
  <c r="Y41" i="27" s="1"/>
  <c r="O40" i="27"/>
  <c r="Q40" i="27" s="1"/>
  <c r="W40" i="27" s="1"/>
  <c r="R37" i="27"/>
  <c r="O37" i="27"/>
  <c r="Q37" i="27" s="1"/>
  <c r="W37" i="27" s="1"/>
  <c r="Y37" i="27" s="1"/>
  <c r="R35" i="27"/>
  <c r="O35" i="27"/>
  <c r="Q35" i="27" s="1"/>
  <c r="W35" i="27" s="1"/>
  <c r="Y35" i="27" s="1"/>
  <c r="S32" i="27"/>
  <c r="S28" i="27"/>
  <c r="R25" i="27"/>
  <c r="R17" i="27"/>
  <c r="Y27" i="27"/>
  <c r="V22" i="27"/>
  <c r="Y22" i="27" s="1"/>
  <c r="R22" i="27"/>
  <c r="P14" i="27"/>
  <c r="V14" i="27" s="1"/>
  <c r="R12" i="27"/>
  <c r="P33" i="27"/>
  <c r="V33" i="27" s="1"/>
  <c r="S31" i="27"/>
  <c r="S30" i="27"/>
  <c r="S29" i="27"/>
  <c r="S26" i="27"/>
  <c r="R23" i="27"/>
  <c r="S36" i="27"/>
  <c r="S34" i="27"/>
  <c r="N32" i="27"/>
  <c r="P32" i="27" s="1"/>
  <c r="V28" i="27"/>
  <c r="Y28" i="27" s="1"/>
  <c r="R28" i="27"/>
  <c r="S21" i="27"/>
  <c r="V20" i="27"/>
  <c r="R20" i="27"/>
  <c r="Y17" i="27"/>
  <c r="O23" i="27"/>
  <c r="Q23" i="27" s="1"/>
  <c r="W23" i="27" s="1"/>
  <c r="Y23" i="27" s="1"/>
  <c r="O21" i="27"/>
  <c r="Q21" i="27" s="1"/>
  <c r="W21" i="27" s="1"/>
  <c r="Y21" i="27" s="1"/>
  <c r="O19" i="27"/>
  <c r="Q19" i="27" s="1"/>
  <c r="W19" i="27" s="1"/>
  <c r="Y19" i="27" s="1"/>
  <c r="O17" i="27"/>
  <c r="Q17" i="27" s="1"/>
  <c r="W17" i="27" s="1"/>
  <c r="O15" i="27"/>
  <c r="Q15" i="27" s="1"/>
  <c r="W15" i="27" s="1"/>
  <c r="Y15" i="27" s="1"/>
  <c r="O13" i="27"/>
  <c r="Q13" i="27" s="1"/>
  <c r="W13" i="27" s="1"/>
  <c r="Y13" i="27" s="1"/>
  <c r="O11" i="27"/>
  <c r="Q11" i="27" s="1"/>
  <c r="W11" i="27" s="1"/>
  <c r="Y11" i="27" s="1"/>
  <c r="M11" i="27"/>
  <c r="O22" i="27"/>
  <c r="Q22" i="27" s="1"/>
  <c r="W22" i="27" s="1"/>
  <c r="O20" i="27"/>
  <c r="Q20" i="27" s="1"/>
  <c r="W20" i="27" s="1"/>
  <c r="O18" i="27"/>
  <c r="Q18" i="27" s="1"/>
  <c r="W18" i="27" s="1"/>
  <c r="O16" i="27"/>
  <c r="Q16" i="27" s="1"/>
  <c r="W16" i="27" s="1"/>
  <c r="O14" i="27"/>
  <c r="Q14" i="27" s="1"/>
  <c r="W14" i="27" s="1"/>
  <c r="R110" i="26"/>
  <c r="Y109" i="26"/>
  <c r="Y101" i="26"/>
  <c r="Y93" i="26"/>
  <c r="S89" i="26"/>
  <c r="W89" i="26"/>
  <c r="V76" i="26"/>
  <c r="R76" i="26"/>
  <c r="W106" i="26"/>
  <c r="R103" i="26"/>
  <c r="O103" i="26"/>
  <c r="Q103" i="26" s="1"/>
  <c r="N102" i="26"/>
  <c r="P102" i="26" s="1"/>
  <c r="V102" i="26" s="1"/>
  <c r="Y102" i="26" s="1"/>
  <c r="W98" i="26"/>
  <c r="R95" i="26"/>
  <c r="O95" i="26"/>
  <c r="Q95" i="26" s="1"/>
  <c r="N94" i="26"/>
  <c r="P94" i="26" s="1"/>
  <c r="V94" i="26" s="1"/>
  <c r="Y94" i="26" s="1"/>
  <c r="W90" i="26"/>
  <c r="S90" i="26"/>
  <c r="Y89" i="26"/>
  <c r="R86" i="26"/>
  <c r="R83" i="26"/>
  <c r="S83" i="26"/>
  <c r="W83" i="26"/>
  <c r="Y83" i="26" s="1"/>
  <c r="Y75" i="26"/>
  <c r="Y86" i="26"/>
  <c r="W84" i="26"/>
  <c r="S84" i="26"/>
  <c r="V79" i="26"/>
  <c r="R79" i="26"/>
  <c r="R77" i="26"/>
  <c r="V77" i="26"/>
  <c r="Y77" i="26" s="1"/>
  <c r="W108" i="26"/>
  <c r="S107" i="26"/>
  <c r="R105" i="26"/>
  <c r="O105" i="26"/>
  <c r="Q105" i="26" s="1"/>
  <c r="N104" i="26"/>
  <c r="P104" i="26" s="1"/>
  <c r="V104" i="26" s="1"/>
  <c r="Y104" i="26" s="1"/>
  <c r="W100" i="26"/>
  <c r="Y100" i="26" s="1"/>
  <c r="S99" i="26"/>
  <c r="R97" i="26"/>
  <c r="O97" i="26"/>
  <c r="Q97" i="26" s="1"/>
  <c r="N96" i="26"/>
  <c r="P96" i="26" s="1"/>
  <c r="V96" i="26" s="1"/>
  <c r="Y96" i="26" s="1"/>
  <c r="W92" i="26"/>
  <c r="S91" i="26"/>
  <c r="R90" i="26"/>
  <c r="R87" i="26"/>
  <c r="S87" i="26"/>
  <c r="W87" i="26"/>
  <c r="R80" i="26"/>
  <c r="V80" i="26"/>
  <c r="R78" i="26"/>
  <c r="Y90" i="26"/>
  <c r="W88" i="26"/>
  <c r="S88" i="26"/>
  <c r="Y87" i="26"/>
  <c r="R84" i="26"/>
  <c r="G111" i="26"/>
  <c r="R81" i="26"/>
  <c r="W81" i="26"/>
  <c r="Y81" i="26" s="1"/>
  <c r="S81" i="26"/>
  <c r="Y106" i="26"/>
  <c r="Y98" i="26"/>
  <c r="Y84" i="26"/>
  <c r="S82" i="26"/>
  <c r="W82" i="26"/>
  <c r="Y82" i="26" s="1"/>
  <c r="K111" i="26"/>
  <c r="R108" i="26"/>
  <c r="Y107" i="26"/>
  <c r="R100" i="26"/>
  <c r="Y99" i="26"/>
  <c r="R92" i="26"/>
  <c r="Y91" i="26"/>
  <c r="R88" i="26"/>
  <c r="R85" i="26"/>
  <c r="W85" i="26"/>
  <c r="S85" i="26"/>
  <c r="Y78" i="26"/>
  <c r="Y108" i="26"/>
  <c r="Y92" i="26"/>
  <c r="Y88" i="26"/>
  <c r="S86" i="26"/>
  <c r="W86" i="26"/>
  <c r="Y85" i="26"/>
  <c r="R82" i="26"/>
  <c r="V61" i="26"/>
  <c r="Y61" i="26" s="1"/>
  <c r="R61" i="26"/>
  <c r="S53" i="26"/>
  <c r="C111" i="26"/>
  <c r="O80" i="26"/>
  <c r="Q80" i="26" s="1"/>
  <c r="W80" i="26" s="1"/>
  <c r="R74" i="26"/>
  <c r="V74" i="26"/>
  <c r="Y74" i="26" s="1"/>
  <c r="Q69" i="26"/>
  <c r="W69" i="26" s="1"/>
  <c r="N66" i="26"/>
  <c r="P66" i="26" s="1"/>
  <c r="Q61" i="26"/>
  <c r="W61" i="26" s="1"/>
  <c r="V57" i="26"/>
  <c r="Y57" i="26" s="1"/>
  <c r="R57" i="26"/>
  <c r="S54" i="26"/>
  <c r="W54" i="26"/>
  <c r="B111" i="26"/>
  <c r="V71" i="26"/>
  <c r="R71" i="26"/>
  <c r="S70" i="26"/>
  <c r="V63" i="26"/>
  <c r="R63" i="26"/>
  <c r="R56" i="26"/>
  <c r="V56" i="26"/>
  <c r="S51" i="26"/>
  <c r="S71" i="26"/>
  <c r="Q71" i="26"/>
  <c r="W71" i="26" s="1"/>
  <c r="R68" i="26"/>
  <c r="V68" i="26"/>
  <c r="Y68" i="26" s="1"/>
  <c r="S63" i="26"/>
  <c r="Q63" i="26"/>
  <c r="W63" i="26" s="1"/>
  <c r="R60" i="26"/>
  <c r="V60" i="26"/>
  <c r="S58" i="26"/>
  <c r="W58" i="26"/>
  <c r="S77" i="26"/>
  <c r="R52" i="26"/>
  <c r="V52" i="26"/>
  <c r="Y52" i="26" s="1"/>
  <c r="Y44" i="26"/>
  <c r="H111" i="26"/>
  <c r="S78" i="26"/>
  <c r="V73" i="26"/>
  <c r="R73" i="26"/>
  <c r="S72" i="26"/>
  <c r="V65" i="26"/>
  <c r="R65" i="26"/>
  <c r="S64" i="26"/>
  <c r="V55" i="26"/>
  <c r="Y55" i="26" s="1"/>
  <c r="R55" i="26"/>
  <c r="S52" i="26"/>
  <c r="W52" i="26"/>
  <c r="Y51" i="26"/>
  <c r="O78" i="26"/>
  <c r="Q78" i="26" s="1"/>
  <c r="W78" i="26" s="1"/>
  <c r="O76" i="26"/>
  <c r="Q76" i="26" s="1"/>
  <c r="W76" i="26" s="1"/>
  <c r="S73" i="26"/>
  <c r="Q73" i="26"/>
  <c r="W73" i="26" s="1"/>
  <c r="N70" i="26"/>
  <c r="P70" i="26" s="1"/>
  <c r="S65" i="26"/>
  <c r="Q65" i="26"/>
  <c r="W65" i="26" s="1"/>
  <c r="N62" i="26"/>
  <c r="P62" i="26" s="1"/>
  <c r="R54" i="26"/>
  <c r="V54" i="26"/>
  <c r="Y54" i="26" s="1"/>
  <c r="S79" i="26"/>
  <c r="O79" i="26"/>
  <c r="Q79" i="26" s="1"/>
  <c r="W79" i="26" s="1"/>
  <c r="S74" i="26"/>
  <c r="V67" i="26"/>
  <c r="R67" i="26"/>
  <c r="S66" i="26"/>
  <c r="V59" i="26"/>
  <c r="R59" i="26"/>
  <c r="S56" i="26"/>
  <c r="W56" i="26"/>
  <c r="V69" i="26"/>
  <c r="R69" i="26"/>
  <c r="E111" i="26"/>
  <c r="S75" i="26"/>
  <c r="N72" i="26"/>
  <c r="P72" i="26" s="1"/>
  <c r="S67" i="26"/>
  <c r="Q67" i="26"/>
  <c r="W67" i="26" s="1"/>
  <c r="N64" i="26"/>
  <c r="P64" i="26" s="1"/>
  <c r="S60" i="26"/>
  <c r="W60" i="26"/>
  <c r="S59" i="26"/>
  <c r="Q59" i="26"/>
  <c r="W59" i="26" s="1"/>
  <c r="R58" i="26"/>
  <c r="V58" i="26"/>
  <c r="Y58" i="26" s="1"/>
  <c r="V53" i="26"/>
  <c r="Y53" i="26" s="1"/>
  <c r="R53" i="26"/>
  <c r="Q42" i="26"/>
  <c r="W42" i="26" s="1"/>
  <c r="N50" i="26"/>
  <c r="P50" i="26" s="1"/>
  <c r="V50" i="26" s="1"/>
  <c r="Y50" i="26" s="1"/>
  <c r="N48" i="26"/>
  <c r="P48" i="26" s="1"/>
  <c r="V48" i="26" s="1"/>
  <c r="Y48" i="26" s="1"/>
  <c r="N46" i="26"/>
  <c r="P46" i="26" s="1"/>
  <c r="V46" i="26" s="1"/>
  <c r="Y46" i="26" s="1"/>
  <c r="O41" i="26"/>
  <c r="P18" i="26"/>
  <c r="V18" i="26" s="1"/>
  <c r="N42" i="26"/>
  <c r="P42" i="26" s="1"/>
  <c r="V42" i="26" s="1"/>
  <c r="O35" i="26"/>
  <c r="O27" i="26"/>
  <c r="P24" i="26"/>
  <c r="V24" i="26" s="1"/>
  <c r="Y24" i="26" s="1"/>
  <c r="R38" i="26"/>
  <c r="S44" i="26"/>
  <c r="N40" i="26"/>
  <c r="P40" i="26" s="1"/>
  <c r="V40" i="26" s="1"/>
  <c r="S50" i="26"/>
  <c r="S48" i="26"/>
  <c r="S46" i="26"/>
  <c r="O31" i="26"/>
  <c r="M12" i="26"/>
  <c r="R51" i="26"/>
  <c r="R49" i="26"/>
  <c r="O49" i="26"/>
  <c r="Q49" i="26" s="1"/>
  <c r="R47" i="26"/>
  <c r="O47" i="26"/>
  <c r="Q47" i="26" s="1"/>
  <c r="R45" i="26"/>
  <c r="O45" i="26"/>
  <c r="Q45" i="26" s="1"/>
  <c r="O37" i="26"/>
  <c r="P20" i="26"/>
  <c r="V20" i="26" s="1"/>
  <c r="N12" i="26"/>
  <c r="P12" i="26" s="1"/>
  <c r="V12" i="26" s="1"/>
  <c r="Y12" i="26" s="1"/>
  <c r="Q29" i="26"/>
  <c r="W29" i="26" s="1"/>
  <c r="L12" i="26"/>
  <c r="L14" i="26"/>
  <c r="L16" i="26"/>
  <c r="L18" i="26"/>
  <c r="L20" i="26"/>
  <c r="L22" i="26"/>
  <c r="L24" i="26"/>
  <c r="L26" i="26"/>
  <c r="P26" i="26" s="1"/>
  <c r="V26" i="26" s="1"/>
  <c r="Y26" i="26" s="1"/>
  <c r="L28" i="26"/>
  <c r="L30" i="26"/>
  <c r="P30" i="26" s="1"/>
  <c r="V30" i="26" s="1"/>
  <c r="Y30" i="26" s="1"/>
  <c r="L32" i="26"/>
  <c r="L34" i="26"/>
  <c r="L36" i="26"/>
  <c r="M22" i="26"/>
  <c r="M24" i="26"/>
  <c r="M26" i="26"/>
  <c r="M28" i="26"/>
  <c r="M30" i="26"/>
  <c r="M32" i="26"/>
  <c r="M34" i="26"/>
  <c r="M36" i="26"/>
  <c r="M38" i="26"/>
  <c r="Q38" i="26" s="1"/>
  <c r="W38" i="26" s="1"/>
  <c r="Y38" i="26" s="1"/>
  <c r="M40" i="26"/>
  <c r="Q40" i="26" s="1"/>
  <c r="W40" i="26" s="1"/>
  <c r="M42" i="26"/>
  <c r="O12" i="26"/>
  <c r="Q12" i="26" s="1"/>
  <c r="W12" i="26" s="1"/>
  <c r="O14" i="26"/>
  <c r="Q14" i="26" s="1"/>
  <c r="W14" i="26" s="1"/>
  <c r="O16" i="26"/>
  <c r="Q16" i="26" s="1"/>
  <c r="W16" i="26" s="1"/>
  <c r="O18" i="26"/>
  <c r="O20" i="26"/>
  <c r="O22" i="26"/>
  <c r="Q22" i="26" s="1"/>
  <c r="W22" i="26" s="1"/>
  <c r="O24" i="26"/>
  <c r="Q24" i="26" s="1"/>
  <c r="W24" i="26" s="1"/>
  <c r="O26" i="26"/>
  <c r="Q26" i="26" s="1"/>
  <c r="W26" i="26" s="1"/>
  <c r="O28" i="26"/>
  <c r="Q28" i="26" s="1"/>
  <c r="W28" i="26" s="1"/>
  <c r="O30" i="26"/>
  <c r="Q30" i="26" s="1"/>
  <c r="W30" i="26" s="1"/>
  <c r="O32" i="26"/>
  <c r="Q32" i="26" s="1"/>
  <c r="W32" i="26" s="1"/>
  <c r="O34" i="26"/>
  <c r="Q34" i="26" s="1"/>
  <c r="W34" i="26" s="1"/>
  <c r="O36" i="26"/>
  <c r="Q36" i="26" s="1"/>
  <c r="W36" i="26" s="1"/>
  <c r="L17" i="26"/>
  <c r="P17" i="26" s="1"/>
  <c r="V17" i="26" s="1"/>
  <c r="L19" i="26"/>
  <c r="P19" i="26" s="1"/>
  <c r="V19" i="26" s="1"/>
  <c r="L21" i="26"/>
  <c r="L23" i="26"/>
  <c r="P23" i="26" s="1"/>
  <c r="V23" i="26" s="1"/>
  <c r="Y23" i="26" s="1"/>
  <c r="L25" i="26"/>
  <c r="L27" i="26"/>
  <c r="L29" i="26"/>
  <c r="P29" i="26" s="1"/>
  <c r="V29" i="26" s="1"/>
  <c r="Y29" i="26" s="1"/>
  <c r="L31" i="26"/>
  <c r="L33" i="26"/>
  <c r="L35" i="26"/>
  <c r="P35" i="26" s="1"/>
  <c r="V35" i="26" s="1"/>
  <c r="L37" i="26"/>
  <c r="L39" i="26"/>
  <c r="L41" i="26"/>
  <c r="L43" i="26"/>
  <c r="P43" i="26" s="1"/>
  <c r="V43" i="26" s="1"/>
  <c r="Y43" i="26" s="1"/>
  <c r="M23" i="26"/>
  <c r="M25" i="26"/>
  <c r="M27" i="26"/>
  <c r="M29" i="26"/>
  <c r="M31" i="26"/>
  <c r="M33" i="26"/>
  <c r="M35" i="26"/>
  <c r="M37" i="26"/>
  <c r="M39" i="26"/>
  <c r="M41" i="26"/>
  <c r="O23" i="26"/>
  <c r="Q23" i="26" s="1"/>
  <c r="W23" i="26" s="1"/>
  <c r="O21" i="26"/>
  <c r="Q21" i="26" s="1"/>
  <c r="W21" i="26" s="1"/>
  <c r="O19" i="26"/>
  <c r="O17" i="26"/>
  <c r="O15" i="26"/>
  <c r="Q15" i="26" s="1"/>
  <c r="W15" i="26" s="1"/>
  <c r="O13" i="26"/>
  <c r="Q13" i="26" s="1"/>
  <c r="W13" i="26" s="1"/>
  <c r="O11" i="26"/>
  <c r="M21" i="26"/>
  <c r="M19" i="26"/>
  <c r="M17" i="26"/>
  <c r="M15" i="26"/>
  <c r="M13" i="26"/>
  <c r="M11" i="26"/>
  <c r="L15" i="26"/>
  <c r="L13" i="26"/>
  <c r="L11" i="26"/>
  <c r="M20" i="26"/>
  <c r="M18" i="26"/>
  <c r="M16" i="26"/>
  <c r="M14" i="26"/>
  <c r="S110" i="25"/>
  <c r="W110" i="25"/>
  <c r="Y105" i="25"/>
  <c r="V92" i="25"/>
  <c r="Y92" i="25" s="1"/>
  <c r="R92" i="25"/>
  <c r="V88" i="25"/>
  <c r="R88" i="25"/>
  <c r="Y110" i="25"/>
  <c r="R109" i="25"/>
  <c r="V109" i="25"/>
  <c r="W109" i="25"/>
  <c r="S109" i="25"/>
  <c r="V84" i="25"/>
  <c r="R84" i="25"/>
  <c r="R110" i="25"/>
  <c r="S108" i="25"/>
  <c r="W108" i="25"/>
  <c r="Y108" i="25"/>
  <c r="O106" i="25"/>
  <c r="Q106" i="25" s="1"/>
  <c r="O104" i="25"/>
  <c r="Q104" i="25" s="1"/>
  <c r="N98" i="25"/>
  <c r="P98" i="25" s="1"/>
  <c r="S97" i="25"/>
  <c r="S94" i="25"/>
  <c r="P93" i="25"/>
  <c r="V93" i="25" s="1"/>
  <c r="Y93" i="25" s="1"/>
  <c r="R87" i="25"/>
  <c r="P85" i="25"/>
  <c r="V85" i="25" s="1"/>
  <c r="Y85" i="25" s="1"/>
  <c r="R81" i="25"/>
  <c r="Y75" i="25"/>
  <c r="N102" i="25"/>
  <c r="P102" i="25" s="1"/>
  <c r="N100" i="25"/>
  <c r="P100" i="25" s="1"/>
  <c r="O98" i="25"/>
  <c r="Q98" i="25" s="1"/>
  <c r="W98" i="25" s="1"/>
  <c r="R97" i="25"/>
  <c r="S93" i="25"/>
  <c r="O88" i="25"/>
  <c r="Q88" i="25" s="1"/>
  <c r="S85" i="25"/>
  <c r="Y79" i="25"/>
  <c r="V78" i="25"/>
  <c r="R78" i="25"/>
  <c r="S73" i="25"/>
  <c r="S72" i="25"/>
  <c r="W72" i="25"/>
  <c r="S68" i="25"/>
  <c r="W68" i="25"/>
  <c r="O102" i="25"/>
  <c r="Q102" i="25" s="1"/>
  <c r="W102" i="25" s="1"/>
  <c r="O100" i="25"/>
  <c r="Q100" i="25" s="1"/>
  <c r="W100" i="25" s="1"/>
  <c r="N94" i="25"/>
  <c r="P94" i="25" s="1"/>
  <c r="R93" i="25"/>
  <c r="S92" i="25"/>
  <c r="P91" i="25"/>
  <c r="V91" i="25" s="1"/>
  <c r="Y91" i="25" s="1"/>
  <c r="R90" i="25"/>
  <c r="S79" i="25"/>
  <c r="W78" i="25"/>
  <c r="S78" i="25"/>
  <c r="S69" i="25"/>
  <c r="W69" i="25"/>
  <c r="Y69" i="25" s="1"/>
  <c r="Y67" i="25"/>
  <c r="S103" i="25"/>
  <c r="S101" i="25"/>
  <c r="S99" i="25"/>
  <c r="O94" i="25"/>
  <c r="Q94" i="25" s="1"/>
  <c r="W94" i="25" s="1"/>
  <c r="O86" i="25"/>
  <c r="Q86" i="25" s="1"/>
  <c r="V82" i="25"/>
  <c r="R82" i="25"/>
  <c r="S74" i="25"/>
  <c r="W74" i="25"/>
  <c r="S70" i="25"/>
  <c r="W70" i="25"/>
  <c r="R103" i="25"/>
  <c r="R101" i="25"/>
  <c r="R99" i="25"/>
  <c r="R91" i="25"/>
  <c r="P89" i="25"/>
  <c r="V89" i="25" s="1"/>
  <c r="Y89" i="25" s="1"/>
  <c r="W82" i="25"/>
  <c r="S82" i="25"/>
  <c r="S66" i="25"/>
  <c r="W66" i="25"/>
  <c r="B111" i="25"/>
  <c r="S107" i="25"/>
  <c r="S105" i="25"/>
  <c r="N96" i="25"/>
  <c r="P96" i="25" s="1"/>
  <c r="S95" i="25"/>
  <c r="O92" i="25"/>
  <c r="Q92" i="25" s="1"/>
  <c r="W92" i="25" s="1"/>
  <c r="S89" i="25"/>
  <c r="O84" i="25"/>
  <c r="Q84" i="25" s="1"/>
  <c r="R77" i="25"/>
  <c r="Y71" i="25"/>
  <c r="S62" i="25"/>
  <c r="W62" i="25"/>
  <c r="Y62" i="25" s="1"/>
  <c r="R107" i="25"/>
  <c r="R105" i="25"/>
  <c r="O96" i="25"/>
  <c r="Q96" i="25" s="1"/>
  <c r="W96" i="25" s="1"/>
  <c r="R95" i="25"/>
  <c r="R86" i="25"/>
  <c r="V80" i="25"/>
  <c r="R80" i="25"/>
  <c r="S75" i="25"/>
  <c r="N106" i="25"/>
  <c r="P106" i="25" s="1"/>
  <c r="V106" i="25" s="1"/>
  <c r="N104" i="25"/>
  <c r="P104" i="25" s="1"/>
  <c r="O90" i="25"/>
  <c r="Q90" i="25" s="1"/>
  <c r="W80" i="25"/>
  <c r="S80" i="25"/>
  <c r="S77" i="25"/>
  <c r="W77" i="25"/>
  <c r="Y77" i="25" s="1"/>
  <c r="R63" i="25"/>
  <c r="W60" i="25"/>
  <c r="W56" i="25"/>
  <c r="R73" i="25"/>
  <c r="N72" i="25"/>
  <c r="P72" i="25" s="1"/>
  <c r="N68" i="25"/>
  <c r="P68" i="25" s="1"/>
  <c r="S67" i="25"/>
  <c r="S65" i="25"/>
  <c r="W58" i="25"/>
  <c r="S57" i="25"/>
  <c r="V49" i="25"/>
  <c r="R49" i="25"/>
  <c r="V45" i="25"/>
  <c r="R45" i="25"/>
  <c r="W64" i="25"/>
  <c r="R75" i="25"/>
  <c r="R69" i="25"/>
  <c r="N66" i="25"/>
  <c r="P66" i="25" s="1"/>
  <c r="R61" i="25"/>
  <c r="R55" i="25"/>
  <c r="R54" i="25"/>
  <c r="V54" i="25"/>
  <c r="V50" i="25"/>
  <c r="R50" i="25"/>
  <c r="V46" i="25"/>
  <c r="R46" i="25"/>
  <c r="N76" i="25"/>
  <c r="P76" i="25" s="1"/>
  <c r="N74" i="25"/>
  <c r="P74" i="25" s="1"/>
  <c r="R57" i="25"/>
  <c r="R56" i="25"/>
  <c r="V56" i="25"/>
  <c r="Y56" i="25" s="1"/>
  <c r="N55" i="25"/>
  <c r="P55" i="25" s="1"/>
  <c r="V55" i="25" s="1"/>
  <c r="Y55" i="25" s="1"/>
  <c r="O53" i="25"/>
  <c r="Q53" i="25" s="1"/>
  <c r="R67" i="25"/>
  <c r="R65" i="25"/>
  <c r="N60" i="25"/>
  <c r="P60" i="25" s="1"/>
  <c r="R59" i="25"/>
  <c r="N58" i="25"/>
  <c r="P58" i="25" s="1"/>
  <c r="N57" i="25"/>
  <c r="P57" i="25" s="1"/>
  <c r="V57" i="25" s="1"/>
  <c r="Y57" i="25" s="1"/>
  <c r="V51" i="25"/>
  <c r="R51" i="25"/>
  <c r="V47" i="25"/>
  <c r="Y47" i="25" s="1"/>
  <c r="R47" i="25"/>
  <c r="V43" i="25"/>
  <c r="R43" i="25"/>
  <c r="R71" i="25"/>
  <c r="N70" i="25"/>
  <c r="P70" i="25" s="1"/>
  <c r="R62" i="25"/>
  <c r="N59" i="25"/>
  <c r="P59" i="25" s="1"/>
  <c r="V59" i="25" s="1"/>
  <c r="Y59" i="25" s="1"/>
  <c r="Y39" i="25"/>
  <c r="N64" i="25"/>
  <c r="P64" i="25" s="1"/>
  <c r="S61" i="25"/>
  <c r="W54" i="25"/>
  <c r="V48" i="25"/>
  <c r="R48" i="25"/>
  <c r="V44" i="25"/>
  <c r="R44" i="25"/>
  <c r="V42" i="25"/>
  <c r="Y42" i="25" s="1"/>
  <c r="R42" i="25"/>
  <c r="R35" i="25"/>
  <c r="V34" i="25"/>
  <c r="Y34" i="25" s="1"/>
  <c r="R34" i="25"/>
  <c r="S30" i="25"/>
  <c r="R27" i="25"/>
  <c r="V26" i="25"/>
  <c r="Y26" i="25" s="1"/>
  <c r="R26" i="25"/>
  <c r="S22" i="25"/>
  <c r="R19" i="25"/>
  <c r="V18" i="25"/>
  <c r="Y18" i="25" s="1"/>
  <c r="R18" i="25"/>
  <c r="S14" i="25"/>
  <c r="Y11" i="25"/>
  <c r="S33" i="25"/>
  <c r="S25" i="25"/>
  <c r="S17" i="25"/>
  <c r="S11" i="25"/>
  <c r="V32" i="25"/>
  <c r="Y32" i="25" s="1"/>
  <c r="R32" i="25"/>
  <c r="V24" i="25"/>
  <c r="Y24" i="25" s="1"/>
  <c r="R24" i="25"/>
  <c r="V16" i="25"/>
  <c r="Y16" i="25" s="1"/>
  <c r="R16" i="25"/>
  <c r="R11" i="25"/>
  <c r="S42" i="25"/>
  <c r="S41" i="25"/>
  <c r="S40" i="25"/>
  <c r="S39" i="25"/>
  <c r="S38" i="25"/>
  <c r="S37" i="25"/>
  <c r="Y35" i="25"/>
  <c r="S31" i="25"/>
  <c r="Y27" i="25"/>
  <c r="S23" i="25"/>
  <c r="Y19" i="25"/>
  <c r="S15" i="25"/>
  <c r="S12" i="25"/>
  <c r="S50" i="25"/>
  <c r="S47" i="25"/>
  <c r="S46" i="25"/>
  <c r="R41" i="25"/>
  <c r="V30" i="25"/>
  <c r="Y30" i="25" s="1"/>
  <c r="R30" i="25"/>
  <c r="V22" i="25"/>
  <c r="Y22" i="25" s="1"/>
  <c r="R22" i="25"/>
  <c r="V14" i="25"/>
  <c r="Y14" i="25" s="1"/>
  <c r="R14" i="25"/>
  <c r="Y33" i="25"/>
  <c r="S29" i="25"/>
  <c r="Y25" i="25"/>
  <c r="S21" i="25"/>
  <c r="Y17" i="25"/>
  <c r="Y13" i="25"/>
  <c r="V36" i="25"/>
  <c r="Y36" i="25" s="1"/>
  <c r="R36" i="25"/>
  <c r="V28" i="25"/>
  <c r="Y28" i="25" s="1"/>
  <c r="R28" i="25"/>
  <c r="V20" i="25"/>
  <c r="Y20" i="25" s="1"/>
  <c r="R20" i="25"/>
  <c r="O52" i="25"/>
  <c r="Q52" i="25" s="1"/>
  <c r="W52" i="25" s="1"/>
  <c r="Y52" i="25" s="1"/>
  <c r="O51" i="25"/>
  <c r="Q51" i="25" s="1"/>
  <c r="W51" i="25" s="1"/>
  <c r="O50" i="25"/>
  <c r="Q50" i="25" s="1"/>
  <c r="W50" i="25" s="1"/>
  <c r="O49" i="25"/>
  <c r="Q49" i="25" s="1"/>
  <c r="W49" i="25" s="1"/>
  <c r="O48" i="25"/>
  <c r="Q48" i="25" s="1"/>
  <c r="W48" i="25" s="1"/>
  <c r="O47" i="25"/>
  <c r="Q47" i="25" s="1"/>
  <c r="W47" i="25" s="1"/>
  <c r="O46" i="25"/>
  <c r="Q46" i="25" s="1"/>
  <c r="W46" i="25" s="1"/>
  <c r="O45" i="25"/>
  <c r="Q45" i="25" s="1"/>
  <c r="W45" i="25" s="1"/>
  <c r="O44" i="25"/>
  <c r="Q44" i="25" s="1"/>
  <c r="W44" i="25" s="1"/>
  <c r="O43" i="25"/>
  <c r="Q43" i="25" s="1"/>
  <c r="W43" i="25" s="1"/>
  <c r="V40" i="25"/>
  <c r="Y40" i="25" s="1"/>
  <c r="R40" i="25"/>
  <c r="V38" i="25"/>
  <c r="Y38" i="25" s="1"/>
  <c r="R38" i="25"/>
  <c r="Y31" i="25"/>
  <c r="Y23" i="25"/>
  <c r="Y15" i="25"/>
  <c r="V12" i="25"/>
  <c r="Y12" i="25" s="1"/>
  <c r="R12" i="25"/>
  <c r="V110" i="24"/>
  <c r="R110" i="24"/>
  <c r="W109" i="24"/>
  <c r="Y109" i="24" s="1"/>
  <c r="S109" i="24"/>
  <c r="W97" i="24"/>
  <c r="Y97" i="24" s="1"/>
  <c r="S97" i="24"/>
  <c r="S110" i="24"/>
  <c r="W110" i="24"/>
  <c r="W95" i="24"/>
  <c r="S95" i="24"/>
  <c r="W89" i="24"/>
  <c r="Y89" i="24" s="1"/>
  <c r="S89" i="24"/>
  <c r="W87" i="24"/>
  <c r="S87" i="24"/>
  <c r="R104" i="24"/>
  <c r="O104" i="24"/>
  <c r="Q104" i="24" s="1"/>
  <c r="W104" i="24" s="1"/>
  <c r="Y104" i="24" s="1"/>
  <c r="N101" i="24"/>
  <c r="P101" i="24" s="1"/>
  <c r="V101" i="24" s="1"/>
  <c r="Y101" i="24" s="1"/>
  <c r="Y92" i="24"/>
  <c r="R88" i="24"/>
  <c r="O88" i="24"/>
  <c r="Q88" i="24" s="1"/>
  <c r="W88" i="24" s="1"/>
  <c r="N87" i="24"/>
  <c r="P87" i="24" s="1"/>
  <c r="V87" i="24" s="1"/>
  <c r="Y87" i="24" s="1"/>
  <c r="Y84" i="24"/>
  <c r="R82" i="24"/>
  <c r="V66" i="24"/>
  <c r="Y66" i="24" s="1"/>
  <c r="R66" i="24"/>
  <c r="N108" i="24"/>
  <c r="P108" i="24" s="1"/>
  <c r="N106" i="24"/>
  <c r="P106" i="24" s="1"/>
  <c r="N105" i="24"/>
  <c r="P105" i="24" s="1"/>
  <c r="V105" i="24" s="1"/>
  <c r="N99" i="24"/>
  <c r="P99" i="24" s="1"/>
  <c r="V99" i="24" s="1"/>
  <c r="Y99" i="24" s="1"/>
  <c r="R94" i="24"/>
  <c r="O94" i="24"/>
  <c r="Q94" i="24" s="1"/>
  <c r="W94" i="24" s="1"/>
  <c r="R85" i="24"/>
  <c r="W85" i="24"/>
  <c r="S85" i="24"/>
  <c r="S80" i="24"/>
  <c r="R77" i="24"/>
  <c r="W77" i="24"/>
  <c r="S77" i="24"/>
  <c r="S103" i="24"/>
  <c r="S102" i="24"/>
  <c r="Y88" i="24"/>
  <c r="Y85" i="24"/>
  <c r="R102" i="24"/>
  <c r="Y94" i="24"/>
  <c r="W91" i="24"/>
  <c r="Y91" i="24" s="1"/>
  <c r="S91" i="24"/>
  <c r="O90" i="24"/>
  <c r="Q90" i="24" s="1"/>
  <c r="W90" i="24" s="1"/>
  <c r="W83" i="24"/>
  <c r="Y83" i="24" s="1"/>
  <c r="S83" i="24"/>
  <c r="C111" i="24"/>
  <c r="R101" i="24"/>
  <c r="R100" i="24"/>
  <c r="O100" i="24"/>
  <c r="Q100" i="24" s="1"/>
  <c r="W100" i="24" s="1"/>
  <c r="Y100" i="24" s="1"/>
  <c r="S99" i="24"/>
  <c r="R96" i="24"/>
  <c r="O96" i="24"/>
  <c r="Q96" i="24" s="1"/>
  <c r="W96" i="24" s="1"/>
  <c r="N93" i="24"/>
  <c r="P93" i="24" s="1"/>
  <c r="V93" i="24" s="1"/>
  <c r="R86" i="24"/>
  <c r="Y80" i="24"/>
  <c r="R78" i="24"/>
  <c r="B111" i="24"/>
  <c r="R105" i="24"/>
  <c r="O105" i="24"/>
  <c r="Q105" i="24" s="1"/>
  <c r="W105" i="24" s="1"/>
  <c r="N102" i="24"/>
  <c r="P102" i="24" s="1"/>
  <c r="V102" i="24" s="1"/>
  <c r="Y102" i="24" s="1"/>
  <c r="R98" i="24"/>
  <c r="O98" i="24"/>
  <c r="Q98" i="24" s="1"/>
  <c r="W98" i="24" s="1"/>
  <c r="Y98" i="24" s="1"/>
  <c r="S92" i="24"/>
  <c r="R91" i="24"/>
  <c r="Y90" i="24"/>
  <c r="S84" i="24"/>
  <c r="R81" i="24"/>
  <c r="W81" i="24"/>
  <c r="Y81" i="24" s="1"/>
  <c r="S81" i="24"/>
  <c r="R109" i="24"/>
  <c r="S107" i="24"/>
  <c r="Y96" i="24"/>
  <c r="W93" i="24"/>
  <c r="S93" i="24"/>
  <c r="Y77" i="24"/>
  <c r="O108" i="24"/>
  <c r="Q108" i="24" s="1"/>
  <c r="W108" i="24" s="1"/>
  <c r="R107" i="24"/>
  <c r="O106" i="24"/>
  <c r="Q106" i="24" s="1"/>
  <c r="W106" i="24" s="1"/>
  <c r="S104" i="24"/>
  <c r="N103" i="24"/>
  <c r="P103" i="24" s="1"/>
  <c r="V103" i="24" s="1"/>
  <c r="Y103" i="24" s="1"/>
  <c r="N95" i="24"/>
  <c r="P95" i="24" s="1"/>
  <c r="V95" i="24" s="1"/>
  <c r="Y95" i="24" s="1"/>
  <c r="S88" i="24"/>
  <c r="R87" i="24"/>
  <c r="W79" i="24"/>
  <c r="Y79" i="24" s="1"/>
  <c r="S79" i="24"/>
  <c r="V62" i="24"/>
  <c r="Y62" i="24" s="1"/>
  <c r="R62" i="24"/>
  <c r="O76" i="24"/>
  <c r="Q76" i="24" s="1"/>
  <c r="W76" i="24" s="1"/>
  <c r="O74" i="24"/>
  <c r="Q74" i="24" s="1"/>
  <c r="W74" i="24" s="1"/>
  <c r="O72" i="24"/>
  <c r="Q72" i="24" s="1"/>
  <c r="W72" i="24" s="1"/>
  <c r="P59" i="24"/>
  <c r="V59" i="24" s="1"/>
  <c r="Y59" i="24" s="1"/>
  <c r="W58" i="24"/>
  <c r="S58" i="24"/>
  <c r="V56" i="24"/>
  <c r="R56" i="24"/>
  <c r="W54" i="24"/>
  <c r="S54" i="24"/>
  <c r="Y33" i="24"/>
  <c r="R71" i="24"/>
  <c r="O71" i="24"/>
  <c r="Q71" i="24" s="1"/>
  <c r="W71" i="24" s="1"/>
  <c r="S70" i="24"/>
  <c r="P69" i="24"/>
  <c r="V69" i="24" s="1"/>
  <c r="P61" i="24"/>
  <c r="V61" i="24" s="1"/>
  <c r="Y61" i="24" s="1"/>
  <c r="S59" i="24"/>
  <c r="R57" i="24"/>
  <c r="S51" i="24"/>
  <c r="Y48" i="24"/>
  <c r="S45" i="24"/>
  <c r="V68" i="24"/>
  <c r="Y68" i="24" s="1"/>
  <c r="R68" i="24"/>
  <c r="V64" i="24"/>
  <c r="Y64" i="24" s="1"/>
  <c r="R64" i="24"/>
  <c r="R59" i="24"/>
  <c r="N76" i="24"/>
  <c r="P76" i="24" s="1"/>
  <c r="P75" i="24"/>
  <c r="V75" i="24" s="1"/>
  <c r="Y75" i="24" s="1"/>
  <c r="N74" i="24"/>
  <c r="P74" i="24" s="1"/>
  <c r="P73" i="24"/>
  <c r="V73" i="24" s="1"/>
  <c r="Y73" i="24" s="1"/>
  <c r="N72" i="24"/>
  <c r="P72" i="24" s="1"/>
  <c r="R69" i="24"/>
  <c r="O69" i="24"/>
  <c r="Q69" i="24" s="1"/>
  <c r="W69" i="24" s="1"/>
  <c r="S68" i="24"/>
  <c r="P67" i="24"/>
  <c r="V67" i="24" s="1"/>
  <c r="Y67" i="24" s="1"/>
  <c r="P65" i="24"/>
  <c r="V65" i="24" s="1"/>
  <c r="Y65" i="24" s="1"/>
  <c r="N58" i="24"/>
  <c r="P58" i="24" s="1"/>
  <c r="V54" i="24"/>
  <c r="Y54" i="24" s="1"/>
  <c r="R54" i="24"/>
  <c r="Y52" i="24"/>
  <c r="S43" i="24"/>
  <c r="S75" i="24"/>
  <c r="S73" i="24"/>
  <c r="Y71" i="24"/>
  <c r="N70" i="24"/>
  <c r="P70" i="24" s="1"/>
  <c r="S67" i="24"/>
  <c r="S65" i="24"/>
  <c r="R63" i="24"/>
  <c r="N60" i="24"/>
  <c r="P60" i="24" s="1"/>
  <c r="R55" i="24"/>
  <c r="S49" i="24"/>
  <c r="Y44" i="24"/>
  <c r="Y37" i="24"/>
  <c r="R75" i="24"/>
  <c r="R67" i="24"/>
  <c r="R65" i="24"/>
  <c r="W56" i="24"/>
  <c r="S56" i="24"/>
  <c r="S41" i="24"/>
  <c r="R53" i="24"/>
  <c r="S37" i="24"/>
  <c r="S33" i="24"/>
  <c r="S32" i="24"/>
  <c r="S31" i="24"/>
  <c r="Y26" i="24"/>
  <c r="S25" i="24"/>
  <c r="R22" i="24"/>
  <c r="Y18" i="24"/>
  <c r="R37" i="24"/>
  <c r="R33" i="24"/>
  <c r="R32" i="24"/>
  <c r="R31" i="24"/>
  <c r="R25" i="24"/>
  <c r="R17" i="24"/>
  <c r="S40" i="24"/>
  <c r="S36" i="24"/>
  <c r="S13" i="24"/>
  <c r="R14" i="24"/>
  <c r="R40" i="24"/>
  <c r="N38" i="24"/>
  <c r="P38" i="24" s="1"/>
  <c r="V38" i="24" s="1"/>
  <c r="Y38" i="24" s="1"/>
  <c r="N34" i="24"/>
  <c r="P34" i="24" s="1"/>
  <c r="V34" i="24" s="1"/>
  <c r="Y34" i="24" s="1"/>
  <c r="R23" i="24"/>
  <c r="R13" i="24"/>
  <c r="S52" i="24"/>
  <c r="S50" i="24"/>
  <c r="S48" i="24"/>
  <c r="S46" i="24"/>
  <c r="S44" i="24"/>
  <c r="S42" i="24"/>
  <c r="S39" i="24"/>
  <c r="S35" i="24"/>
  <c r="N30" i="24"/>
  <c r="P30" i="24" s="1"/>
  <c r="V30" i="24" s="1"/>
  <c r="Y30" i="24" s="1"/>
  <c r="S29" i="24"/>
  <c r="S21" i="24"/>
  <c r="R52" i="24"/>
  <c r="R50" i="24"/>
  <c r="R48" i="24"/>
  <c r="R46" i="24"/>
  <c r="R44" i="24"/>
  <c r="R42" i="24"/>
  <c r="Y13" i="24"/>
  <c r="S38" i="24"/>
  <c r="S34" i="24"/>
  <c r="R24" i="24"/>
  <c r="N51" i="24"/>
  <c r="P51" i="24" s="1"/>
  <c r="V51" i="24" s="1"/>
  <c r="Y51" i="24" s="1"/>
  <c r="N49" i="24"/>
  <c r="P49" i="24" s="1"/>
  <c r="V49" i="24" s="1"/>
  <c r="Y49" i="24" s="1"/>
  <c r="N47" i="24"/>
  <c r="P47" i="24" s="1"/>
  <c r="V47" i="24" s="1"/>
  <c r="Y47" i="24" s="1"/>
  <c r="N45" i="24"/>
  <c r="P45" i="24" s="1"/>
  <c r="V45" i="24" s="1"/>
  <c r="Y45" i="24" s="1"/>
  <c r="N43" i="24"/>
  <c r="P43" i="24" s="1"/>
  <c r="V43" i="24" s="1"/>
  <c r="Y43" i="24" s="1"/>
  <c r="N41" i="24"/>
  <c r="P41" i="24" s="1"/>
  <c r="V41" i="24" s="1"/>
  <c r="Y41" i="24" s="1"/>
  <c r="P39" i="24"/>
  <c r="V39" i="24" s="1"/>
  <c r="Y39" i="24" s="1"/>
  <c r="N36" i="24"/>
  <c r="P36" i="24" s="1"/>
  <c r="V36" i="24" s="1"/>
  <c r="Y36" i="24" s="1"/>
  <c r="N35" i="24"/>
  <c r="P35" i="24" s="1"/>
  <c r="V35" i="24" s="1"/>
  <c r="Y35" i="24" s="1"/>
  <c r="S30" i="24"/>
  <c r="Y29" i="24"/>
  <c r="R27" i="24"/>
  <c r="Y21" i="24"/>
  <c r="R19" i="24"/>
  <c r="O17" i="24"/>
  <c r="Q17" i="24" s="1"/>
  <c r="W17" i="24" s="1"/>
  <c r="Y17" i="24" s="1"/>
  <c r="O15" i="24"/>
  <c r="Q15" i="24" s="1"/>
  <c r="W15" i="24" s="1"/>
  <c r="Y15" i="24" s="1"/>
  <c r="O13" i="24"/>
  <c r="Q13" i="24" s="1"/>
  <c r="W13" i="24" s="1"/>
  <c r="M11" i="24"/>
  <c r="Q11" i="24" s="1"/>
  <c r="W11" i="24" s="1"/>
  <c r="Y11" i="24" s="1"/>
  <c r="O12" i="24"/>
  <c r="Q12" i="24" s="1"/>
  <c r="W12" i="24" s="1"/>
  <c r="N12" i="24"/>
  <c r="P12" i="24" s="1"/>
  <c r="V12" i="24" s="1"/>
  <c r="Y12" i="24" s="1"/>
  <c r="M12" i="24"/>
  <c r="L16" i="24"/>
  <c r="Y103" i="23"/>
  <c r="S96" i="23"/>
  <c r="W96" i="23"/>
  <c r="R96" i="23"/>
  <c r="V96" i="23"/>
  <c r="Y96" i="23" s="1"/>
  <c r="Y107" i="23"/>
  <c r="R100" i="23"/>
  <c r="V100" i="23"/>
  <c r="Y100" i="23" s="1"/>
  <c r="R98" i="23"/>
  <c r="V98" i="23"/>
  <c r="Y98" i="23" s="1"/>
  <c r="R90" i="23"/>
  <c r="V90" i="23"/>
  <c r="R104" i="23"/>
  <c r="V104" i="23"/>
  <c r="Y104" i="23" s="1"/>
  <c r="R102" i="23"/>
  <c r="V102" i="23"/>
  <c r="Y102" i="23" s="1"/>
  <c r="S101" i="23"/>
  <c r="W101" i="23"/>
  <c r="S94" i="23"/>
  <c r="W94" i="23"/>
  <c r="S88" i="23"/>
  <c r="W88" i="23"/>
  <c r="R108" i="23"/>
  <c r="V108" i="23"/>
  <c r="R106" i="23"/>
  <c r="V106" i="23"/>
  <c r="Y106" i="23" s="1"/>
  <c r="S105" i="23"/>
  <c r="W105" i="23"/>
  <c r="R101" i="23"/>
  <c r="V101" i="23"/>
  <c r="S97" i="23"/>
  <c r="W97" i="23"/>
  <c r="R97" i="23"/>
  <c r="V97" i="23"/>
  <c r="Y97" i="23" s="1"/>
  <c r="R92" i="23"/>
  <c r="V92" i="23"/>
  <c r="Y92" i="23" s="1"/>
  <c r="R110" i="23"/>
  <c r="V110" i="23"/>
  <c r="Y110" i="23" s="1"/>
  <c r="S109" i="23"/>
  <c r="W109" i="23"/>
  <c r="R105" i="23"/>
  <c r="V105" i="23"/>
  <c r="Y105" i="23" s="1"/>
  <c r="R109" i="23"/>
  <c r="V109" i="23"/>
  <c r="Y109" i="23" s="1"/>
  <c r="S95" i="23"/>
  <c r="W95" i="23"/>
  <c r="R95" i="23"/>
  <c r="V95" i="23"/>
  <c r="Y95" i="23" s="1"/>
  <c r="R88" i="23"/>
  <c r="V88" i="23"/>
  <c r="Y88" i="23" s="1"/>
  <c r="S107" i="23"/>
  <c r="S90" i="23"/>
  <c r="W90" i="23"/>
  <c r="R107" i="23"/>
  <c r="Y99" i="23"/>
  <c r="N94" i="23"/>
  <c r="P94" i="23" s="1"/>
  <c r="N87" i="23"/>
  <c r="P87" i="23" s="1"/>
  <c r="N83" i="23"/>
  <c r="P83" i="23" s="1"/>
  <c r="W80" i="23"/>
  <c r="R80" i="23"/>
  <c r="V80" i="23"/>
  <c r="Y80" i="23" s="1"/>
  <c r="S79" i="23"/>
  <c r="O75" i="23"/>
  <c r="Q75" i="23" s="1"/>
  <c r="N75" i="23"/>
  <c r="P75" i="23" s="1"/>
  <c r="W72" i="23"/>
  <c r="R72" i="23"/>
  <c r="V72" i="23"/>
  <c r="W87" i="23"/>
  <c r="N86" i="23"/>
  <c r="P86" i="23" s="1"/>
  <c r="O108" i="23"/>
  <c r="Q108" i="23" s="1"/>
  <c r="W108" i="23" s="1"/>
  <c r="N89" i="23"/>
  <c r="P89" i="23" s="1"/>
  <c r="N85" i="23"/>
  <c r="P85" i="23" s="1"/>
  <c r="W82" i="23"/>
  <c r="R82" i="23"/>
  <c r="V82" i="23"/>
  <c r="S81" i="23"/>
  <c r="O77" i="23"/>
  <c r="Q77" i="23" s="1"/>
  <c r="N77" i="23"/>
  <c r="P77" i="23" s="1"/>
  <c r="W74" i="23"/>
  <c r="R74" i="23"/>
  <c r="V74" i="23"/>
  <c r="S73" i="23"/>
  <c r="W71" i="23"/>
  <c r="S71" i="23"/>
  <c r="V71" i="23"/>
  <c r="Y71" i="23" s="1"/>
  <c r="R71" i="23"/>
  <c r="N93" i="23"/>
  <c r="P93" i="23" s="1"/>
  <c r="W86" i="23"/>
  <c r="I111" i="23"/>
  <c r="R84" i="23"/>
  <c r="V84" i="23"/>
  <c r="Y84" i="23" s="1"/>
  <c r="V79" i="23"/>
  <c r="Y79" i="23" s="1"/>
  <c r="R79" i="23"/>
  <c r="R76" i="23"/>
  <c r="V76" i="23"/>
  <c r="Y76" i="23" s="1"/>
  <c r="R70" i="23"/>
  <c r="V70" i="23"/>
  <c r="V81" i="23"/>
  <c r="Y81" i="23" s="1"/>
  <c r="R81" i="23"/>
  <c r="R78" i="23"/>
  <c r="V78" i="23"/>
  <c r="Y78" i="23" s="1"/>
  <c r="V73" i="23"/>
  <c r="Y73" i="23" s="1"/>
  <c r="R73" i="23"/>
  <c r="N91" i="23"/>
  <c r="P91" i="23" s="1"/>
  <c r="V56" i="23"/>
  <c r="R56" i="23"/>
  <c r="S69" i="23"/>
  <c r="N68" i="23"/>
  <c r="P68" i="23" s="1"/>
  <c r="N66" i="23"/>
  <c r="P66" i="23" s="1"/>
  <c r="N64" i="23"/>
  <c r="P64" i="23" s="1"/>
  <c r="N62" i="23"/>
  <c r="P62" i="23" s="1"/>
  <c r="N60" i="23"/>
  <c r="P60" i="23" s="1"/>
  <c r="R55" i="23"/>
  <c r="O55" i="23"/>
  <c r="Q55" i="23" s="1"/>
  <c r="W55" i="23" s="1"/>
  <c r="Y55" i="23" s="1"/>
  <c r="S54" i="23"/>
  <c r="P53" i="23"/>
  <c r="V53" i="23" s="1"/>
  <c r="Y53" i="23" s="1"/>
  <c r="P52" i="23"/>
  <c r="V52" i="23" s="1"/>
  <c r="Y52" i="23" s="1"/>
  <c r="P51" i="23"/>
  <c r="V51" i="23" s="1"/>
  <c r="Y51" i="23" s="1"/>
  <c r="R49" i="23"/>
  <c r="P43" i="23"/>
  <c r="V43" i="23" s="1"/>
  <c r="Y43" i="23" s="1"/>
  <c r="R41" i="23"/>
  <c r="R69" i="23"/>
  <c r="S61" i="23"/>
  <c r="V26" i="23"/>
  <c r="Y26" i="23" s="1"/>
  <c r="R26" i="23"/>
  <c r="V18" i="23"/>
  <c r="R18" i="23"/>
  <c r="R67" i="23"/>
  <c r="O67" i="23"/>
  <c r="Q67" i="23" s="1"/>
  <c r="W67" i="23" s="1"/>
  <c r="Y67" i="23" s="1"/>
  <c r="R65" i="23"/>
  <c r="O65" i="23"/>
  <c r="Q65" i="23" s="1"/>
  <c r="W65" i="23" s="1"/>
  <c r="Y65" i="23" s="1"/>
  <c r="R63" i="23"/>
  <c r="O63" i="23"/>
  <c r="Q63" i="23" s="1"/>
  <c r="W63" i="23" s="1"/>
  <c r="Y63" i="23" s="1"/>
  <c r="R61" i="23"/>
  <c r="O61" i="23"/>
  <c r="Q61" i="23" s="1"/>
  <c r="W61" i="23" s="1"/>
  <c r="Y61" i="23" s="1"/>
  <c r="R59" i="23"/>
  <c r="O59" i="23"/>
  <c r="Q59" i="23" s="1"/>
  <c r="W59" i="23" s="1"/>
  <c r="Y59" i="23" s="1"/>
  <c r="R53" i="23"/>
  <c r="R52" i="23"/>
  <c r="R51" i="23"/>
  <c r="R43" i="23"/>
  <c r="V38" i="23"/>
  <c r="O70" i="23"/>
  <c r="Q70" i="23" s="1"/>
  <c r="W70" i="23" s="1"/>
  <c r="N54" i="23"/>
  <c r="P54" i="23" s="1"/>
  <c r="P46" i="23"/>
  <c r="V46" i="23" s="1"/>
  <c r="Y46" i="23" s="1"/>
  <c r="R44" i="23"/>
  <c r="P57" i="23"/>
  <c r="V57" i="23" s="1"/>
  <c r="Y57" i="23" s="1"/>
  <c r="P47" i="23"/>
  <c r="V47" i="23" s="1"/>
  <c r="Y47" i="23" s="1"/>
  <c r="R45" i="23"/>
  <c r="P39" i="23"/>
  <c r="V39" i="23" s="1"/>
  <c r="Y39" i="23" s="1"/>
  <c r="S62" i="23"/>
  <c r="S60" i="23"/>
  <c r="O58" i="23"/>
  <c r="Q58" i="23" s="1"/>
  <c r="W58" i="23" s="1"/>
  <c r="S57" i="23"/>
  <c r="P48" i="23"/>
  <c r="V48" i="23" s="1"/>
  <c r="Y48" i="23" s="1"/>
  <c r="R46" i="23"/>
  <c r="P40" i="23"/>
  <c r="V40" i="23" s="1"/>
  <c r="Y40" i="23" s="1"/>
  <c r="O68" i="23"/>
  <c r="Q68" i="23" s="1"/>
  <c r="W68" i="23" s="1"/>
  <c r="O66" i="23"/>
  <c r="Q66" i="23" s="1"/>
  <c r="W66" i="23" s="1"/>
  <c r="O64" i="23"/>
  <c r="Q64" i="23" s="1"/>
  <c r="W64" i="23" s="1"/>
  <c r="R57" i="23"/>
  <c r="S56" i="23"/>
  <c r="R47" i="23"/>
  <c r="N58" i="23"/>
  <c r="P58" i="23" s="1"/>
  <c r="O56" i="23"/>
  <c r="Q56" i="23" s="1"/>
  <c r="W56" i="23" s="1"/>
  <c r="S55" i="23"/>
  <c r="P50" i="23"/>
  <c r="V50" i="23" s="1"/>
  <c r="Y50" i="23" s="1"/>
  <c r="P42" i="23"/>
  <c r="V42" i="23" s="1"/>
  <c r="Y42" i="23" s="1"/>
  <c r="R40" i="23"/>
  <c r="V32" i="23"/>
  <c r="R32" i="23"/>
  <c r="S52" i="23"/>
  <c r="S51" i="23"/>
  <c r="S50" i="23"/>
  <c r="S49" i="23"/>
  <c r="S48" i="23"/>
  <c r="S47" i="23"/>
  <c r="S46" i="23"/>
  <c r="S45" i="23"/>
  <c r="S44" i="23"/>
  <c r="S43" i="23"/>
  <c r="S42" i="23"/>
  <c r="S41" i="23"/>
  <c r="S40" i="23"/>
  <c r="S39" i="23"/>
  <c r="O38" i="23"/>
  <c r="Q38" i="23" s="1"/>
  <c r="W38" i="23" s="1"/>
  <c r="O32" i="23"/>
  <c r="Q32" i="23" s="1"/>
  <c r="W32" i="23" s="1"/>
  <c r="R21" i="23"/>
  <c r="R13" i="23"/>
  <c r="O36" i="23"/>
  <c r="Q36" i="23" s="1"/>
  <c r="W36" i="23" s="1"/>
  <c r="O34" i="23"/>
  <c r="Q34" i="23" s="1"/>
  <c r="W34" i="23" s="1"/>
  <c r="O31" i="23"/>
  <c r="Q31" i="23" s="1"/>
  <c r="W31" i="23" s="1"/>
  <c r="S30" i="23"/>
  <c r="S28" i="23"/>
  <c r="V24" i="23"/>
  <c r="R24" i="23"/>
  <c r="V16" i="23"/>
  <c r="R16" i="23"/>
  <c r="N36" i="23"/>
  <c r="P36" i="23" s="1"/>
  <c r="N34" i="23"/>
  <c r="P34" i="23" s="1"/>
  <c r="O30" i="23"/>
  <c r="Q30" i="23" s="1"/>
  <c r="W30" i="23" s="1"/>
  <c r="R29" i="23"/>
  <c r="O29" i="23"/>
  <c r="Q29" i="23" s="1"/>
  <c r="W29" i="23" s="1"/>
  <c r="Y29" i="23" s="1"/>
  <c r="R25" i="23"/>
  <c r="R17" i="23"/>
  <c r="P14" i="23"/>
  <c r="V14" i="23" s="1"/>
  <c r="S12" i="23"/>
  <c r="S33" i="23"/>
  <c r="P31" i="23"/>
  <c r="V31" i="23" s="1"/>
  <c r="Y31" i="23" s="1"/>
  <c r="Y27" i="23"/>
  <c r="V22" i="23"/>
  <c r="Y22" i="23" s="1"/>
  <c r="R22" i="23"/>
  <c r="R12" i="23"/>
  <c r="R37" i="23"/>
  <c r="O37" i="23"/>
  <c r="Q37" i="23" s="1"/>
  <c r="W37" i="23" s="1"/>
  <c r="Y37" i="23" s="1"/>
  <c r="R35" i="23"/>
  <c r="O35" i="23"/>
  <c r="Q35" i="23" s="1"/>
  <c r="W35" i="23" s="1"/>
  <c r="Y35" i="23" s="1"/>
  <c r="R33" i="23"/>
  <c r="O33" i="23"/>
  <c r="Q33" i="23" s="1"/>
  <c r="W33" i="23" s="1"/>
  <c r="Y33" i="23" s="1"/>
  <c r="N30" i="23"/>
  <c r="P30" i="23" s="1"/>
  <c r="N28" i="23"/>
  <c r="P28" i="23" s="1"/>
  <c r="S26" i="23"/>
  <c r="R23" i="23"/>
  <c r="R15" i="23"/>
  <c r="S38" i="23"/>
  <c r="S32" i="23"/>
  <c r="Y25" i="23"/>
  <c r="V20" i="23"/>
  <c r="R20" i="23"/>
  <c r="Y17" i="23"/>
  <c r="O25" i="23"/>
  <c r="Q25" i="23" s="1"/>
  <c r="W25" i="23" s="1"/>
  <c r="O23" i="23"/>
  <c r="Q23" i="23" s="1"/>
  <c r="W23" i="23" s="1"/>
  <c r="Y23" i="23" s="1"/>
  <c r="O21" i="23"/>
  <c r="Q21" i="23" s="1"/>
  <c r="W21" i="23" s="1"/>
  <c r="Y21" i="23" s="1"/>
  <c r="O19" i="23"/>
  <c r="Q19" i="23" s="1"/>
  <c r="W19" i="23" s="1"/>
  <c r="Y19" i="23" s="1"/>
  <c r="O17" i="23"/>
  <c r="Q17" i="23" s="1"/>
  <c r="W17" i="23" s="1"/>
  <c r="O15" i="23"/>
  <c r="Q15" i="23" s="1"/>
  <c r="W15" i="23" s="1"/>
  <c r="Y15" i="23" s="1"/>
  <c r="O13" i="23"/>
  <c r="Q13" i="23" s="1"/>
  <c r="W13" i="23" s="1"/>
  <c r="Y13" i="23" s="1"/>
  <c r="O11" i="23"/>
  <c r="Q11" i="23" s="1"/>
  <c r="W11" i="23" s="1"/>
  <c r="Y11" i="23" s="1"/>
  <c r="O24" i="23"/>
  <c r="Q24" i="23" s="1"/>
  <c r="W24" i="23" s="1"/>
  <c r="O22" i="23"/>
  <c r="Q22" i="23" s="1"/>
  <c r="W22" i="23" s="1"/>
  <c r="O20" i="23"/>
  <c r="Q20" i="23" s="1"/>
  <c r="W20" i="23" s="1"/>
  <c r="O18" i="23"/>
  <c r="Q18" i="23" s="1"/>
  <c r="W18" i="23" s="1"/>
  <c r="O16" i="23"/>
  <c r="Q16" i="23" s="1"/>
  <c r="W16" i="23" s="1"/>
  <c r="O14" i="23"/>
  <c r="Q14" i="23" s="1"/>
  <c r="W14" i="23" s="1"/>
  <c r="R63" i="30" l="1"/>
  <c r="V63" i="30"/>
  <c r="R65" i="30"/>
  <c r="V65" i="30"/>
  <c r="V71" i="30"/>
  <c r="R71" i="30"/>
  <c r="W43" i="30"/>
  <c r="Y43" i="30" s="1"/>
  <c r="S43" i="30"/>
  <c r="V53" i="30"/>
  <c r="Y53" i="30" s="1"/>
  <c r="R53" i="30"/>
  <c r="V49" i="30"/>
  <c r="Y49" i="30" s="1"/>
  <c r="R49" i="30"/>
  <c r="Y71" i="30"/>
  <c r="S71" i="30"/>
  <c r="S58" i="30"/>
  <c r="S90" i="30"/>
  <c r="R67" i="30"/>
  <c r="Q57" i="30"/>
  <c r="Q60" i="30"/>
  <c r="W60" i="30" s="1"/>
  <c r="S94" i="30"/>
  <c r="S59" i="30"/>
  <c r="P60" i="30"/>
  <c r="Y31" i="30"/>
  <c r="S97" i="30"/>
  <c r="P75" i="30"/>
  <c r="V75" i="30" s="1"/>
  <c r="Y75" i="30" s="1"/>
  <c r="S61" i="30"/>
  <c r="R64" i="30"/>
  <c r="Y29" i="30"/>
  <c r="P12" i="30"/>
  <c r="V12" i="30" s="1"/>
  <c r="Y67" i="30"/>
  <c r="S98" i="30"/>
  <c r="R45" i="30"/>
  <c r="S51" i="30"/>
  <c r="Q63" i="30"/>
  <c r="W63" i="30" s="1"/>
  <c r="P67" i="30"/>
  <c r="V67" i="30" s="1"/>
  <c r="S102" i="30"/>
  <c r="R69" i="30"/>
  <c r="P78" i="30"/>
  <c r="V78" i="30" s="1"/>
  <c r="Y78" i="30" s="1"/>
  <c r="Y40" i="30"/>
  <c r="Y69" i="30"/>
  <c r="R83" i="30"/>
  <c r="S105" i="30"/>
  <c r="Y64" i="30"/>
  <c r="Q54" i="30"/>
  <c r="S45" i="30"/>
  <c r="P50" i="30"/>
  <c r="Y23" i="30"/>
  <c r="Q36" i="30"/>
  <c r="W36" i="30" s="1"/>
  <c r="Q20" i="30"/>
  <c r="W20" i="30" s="1"/>
  <c r="P38" i="30"/>
  <c r="V38" i="30" s="1"/>
  <c r="P22" i="30"/>
  <c r="V22" i="30" s="1"/>
  <c r="S68" i="30"/>
  <c r="R85" i="30"/>
  <c r="S110" i="30"/>
  <c r="S56" i="30"/>
  <c r="Q47" i="30"/>
  <c r="W47" i="30" s="1"/>
  <c r="Y47" i="30" s="1"/>
  <c r="P35" i="30"/>
  <c r="V35" i="30" s="1"/>
  <c r="P19" i="30"/>
  <c r="V19" i="30" s="1"/>
  <c r="Y19" i="30" s="1"/>
  <c r="S31" i="30"/>
  <c r="R29" i="30"/>
  <c r="R13" i="30"/>
  <c r="Q32" i="30"/>
  <c r="W32" i="30" s="1"/>
  <c r="Q16" i="30"/>
  <c r="W16" i="30" s="1"/>
  <c r="P34" i="30"/>
  <c r="V34" i="30" s="1"/>
  <c r="Y34" i="30" s="1"/>
  <c r="P18" i="30"/>
  <c r="V18" i="30" s="1"/>
  <c r="Y18" i="30" s="1"/>
  <c r="S28" i="30"/>
  <c r="S12" i="30"/>
  <c r="R30" i="30"/>
  <c r="R14" i="30"/>
  <c r="S66" i="30"/>
  <c r="S73" i="30"/>
  <c r="Y73" i="30"/>
  <c r="S75" i="30"/>
  <c r="V88" i="30"/>
  <c r="Y88" i="30" s="1"/>
  <c r="R88" i="30"/>
  <c r="S92" i="30"/>
  <c r="S100" i="30"/>
  <c r="R73" i="30"/>
  <c r="R89" i="30"/>
  <c r="P33" i="30"/>
  <c r="V33" i="30" s="1"/>
  <c r="Y33" i="30" s="1"/>
  <c r="P17" i="30"/>
  <c r="V17" i="30" s="1"/>
  <c r="Y17" i="30" s="1"/>
  <c r="S29" i="30"/>
  <c r="S13" i="30"/>
  <c r="R27" i="30"/>
  <c r="R11" i="30"/>
  <c r="Q30" i="30"/>
  <c r="W30" i="30" s="1"/>
  <c r="Y30" i="30" s="1"/>
  <c r="Q14" i="30"/>
  <c r="W14" i="30" s="1"/>
  <c r="P32" i="30"/>
  <c r="V32" i="30" s="1"/>
  <c r="P16" i="30"/>
  <c r="V16" i="30" s="1"/>
  <c r="Y16" i="30" s="1"/>
  <c r="S26" i="30"/>
  <c r="R44" i="30"/>
  <c r="R28" i="30"/>
  <c r="R12" i="30"/>
  <c r="S67" i="30"/>
  <c r="S77" i="30"/>
  <c r="Y76" i="30"/>
  <c r="S70" i="30"/>
  <c r="S79" i="30"/>
  <c r="S93" i="30"/>
  <c r="S101" i="30"/>
  <c r="R77" i="30"/>
  <c r="Y90" i="30"/>
  <c r="R25" i="30"/>
  <c r="Y14" i="30"/>
  <c r="R41" i="30"/>
  <c r="S38" i="30"/>
  <c r="Y77" i="30"/>
  <c r="S74" i="30"/>
  <c r="V82" i="30"/>
  <c r="Y82" i="30" s="1"/>
  <c r="R82" i="30"/>
  <c r="Y65" i="30"/>
  <c r="Y13" i="30"/>
  <c r="S25" i="30"/>
  <c r="R39" i="30"/>
  <c r="R23" i="30"/>
  <c r="W42" i="30"/>
  <c r="S42" i="30"/>
  <c r="Y44" i="30"/>
  <c r="Y28" i="30"/>
  <c r="Y12" i="30"/>
  <c r="S22" i="30"/>
  <c r="R40" i="30"/>
  <c r="R24" i="30"/>
  <c r="Q11" i="30"/>
  <c r="W11" i="30" s="1"/>
  <c r="Y11" i="30" s="1"/>
  <c r="S69" i="30"/>
  <c r="S40" i="30"/>
  <c r="S83" i="30"/>
  <c r="Y80" i="30"/>
  <c r="S78" i="30"/>
  <c r="S72" i="30"/>
  <c r="S95" i="30"/>
  <c r="S103" i="30"/>
  <c r="S23" i="30"/>
  <c r="R37" i="30"/>
  <c r="R21" i="30"/>
  <c r="Q24" i="30"/>
  <c r="W24" i="30" s="1"/>
  <c r="Y24" i="30" s="1"/>
  <c r="P42" i="30"/>
  <c r="V42" i="30" s="1"/>
  <c r="Y42" i="30" s="1"/>
  <c r="P26" i="30"/>
  <c r="V26" i="30" s="1"/>
  <c r="Y26" i="30" s="1"/>
  <c r="S36" i="30"/>
  <c r="S20" i="30"/>
  <c r="R38" i="30"/>
  <c r="R22" i="30"/>
  <c r="Q15" i="30"/>
  <c r="W15" i="30" s="1"/>
  <c r="Y15" i="30" s="1"/>
  <c r="R43" i="30"/>
  <c r="S85" i="30"/>
  <c r="Y81" i="30"/>
  <c r="V84" i="30"/>
  <c r="Y84" i="30" s="1"/>
  <c r="R84" i="30"/>
  <c r="Y66" i="30"/>
  <c r="S76" i="30"/>
  <c r="S96" i="30"/>
  <c r="S104" i="30"/>
  <c r="Y25" i="30"/>
  <c r="S37" i="30"/>
  <c r="S21" i="30"/>
  <c r="R35" i="30"/>
  <c r="R19" i="30"/>
  <c r="S34" i="30"/>
  <c r="S18" i="30"/>
  <c r="R36" i="30"/>
  <c r="R20" i="30"/>
  <c r="Q27" i="30"/>
  <c r="W27" i="30" s="1"/>
  <c r="Y27" i="30" s="1"/>
  <c r="S44" i="30"/>
  <c r="S65" i="30"/>
  <c r="S80" i="30"/>
  <c r="S19" i="30"/>
  <c r="R33" i="30"/>
  <c r="Y38" i="30"/>
  <c r="Y22" i="30"/>
  <c r="S32" i="30"/>
  <c r="S16" i="30"/>
  <c r="R34" i="30"/>
  <c r="R18" i="30"/>
  <c r="Q35" i="30"/>
  <c r="W35" i="30" s="1"/>
  <c r="V86" i="30"/>
  <c r="Y86" i="30" s="1"/>
  <c r="R86" i="30"/>
  <c r="Y37" i="30"/>
  <c r="Y21" i="30"/>
  <c r="S33" i="30"/>
  <c r="S17" i="30"/>
  <c r="R31" i="30"/>
  <c r="R15" i="30"/>
  <c r="Y36" i="30"/>
  <c r="Y20" i="30"/>
  <c r="S30" i="30"/>
  <c r="S14" i="30"/>
  <c r="R32" i="30"/>
  <c r="Y72" i="30"/>
  <c r="S91" i="30"/>
  <c r="S99" i="30"/>
  <c r="R25" i="29"/>
  <c r="W44" i="29"/>
  <c r="S44" i="29"/>
  <c r="Y30" i="29"/>
  <c r="Y14" i="29"/>
  <c r="S24" i="29"/>
  <c r="R42" i="29"/>
  <c r="R26" i="29"/>
  <c r="Q11" i="29"/>
  <c r="W11" i="29" s="1"/>
  <c r="W45" i="29"/>
  <c r="S45" i="29"/>
  <c r="Y53" i="29"/>
  <c r="V75" i="29"/>
  <c r="R75" i="29"/>
  <c r="S60" i="29"/>
  <c r="W49" i="29"/>
  <c r="S49" i="29"/>
  <c r="R53" i="29"/>
  <c r="R77" i="29"/>
  <c r="P35" i="29"/>
  <c r="V35" i="29" s="1"/>
  <c r="Y35" i="29" s="1"/>
  <c r="P19" i="29"/>
  <c r="V19" i="29" s="1"/>
  <c r="Y19" i="29" s="1"/>
  <c r="R39" i="29"/>
  <c r="R23" i="29"/>
  <c r="W42" i="29"/>
  <c r="S42" i="29"/>
  <c r="Q26" i="29"/>
  <c r="W26" i="29" s="1"/>
  <c r="P44" i="29"/>
  <c r="V44" i="29" s="1"/>
  <c r="Y44" i="29" s="1"/>
  <c r="P28" i="29"/>
  <c r="V28" i="29" s="1"/>
  <c r="Y28" i="29" s="1"/>
  <c r="P12" i="29"/>
  <c r="V12" i="29" s="1"/>
  <c r="Y12" i="29" s="1"/>
  <c r="S22" i="29"/>
  <c r="R40" i="29"/>
  <c r="R24" i="29"/>
  <c r="S54" i="29"/>
  <c r="R65" i="29"/>
  <c r="S65" i="29"/>
  <c r="W51" i="29"/>
  <c r="Y51" i="29" s="1"/>
  <c r="S51" i="29"/>
  <c r="S77" i="29"/>
  <c r="Y17" i="29"/>
  <c r="S23" i="29"/>
  <c r="R37" i="29"/>
  <c r="R21" i="29"/>
  <c r="Y42" i="29"/>
  <c r="Y26" i="29"/>
  <c r="S36" i="29"/>
  <c r="S20" i="29"/>
  <c r="R38" i="29"/>
  <c r="R22" i="29"/>
  <c r="Q27" i="29"/>
  <c r="W27" i="29" s="1"/>
  <c r="Y49" i="29"/>
  <c r="S40" i="29"/>
  <c r="R73" i="29"/>
  <c r="R71" i="29"/>
  <c r="R69" i="29"/>
  <c r="S69" i="29"/>
  <c r="Y77" i="29"/>
  <c r="Y31" i="29"/>
  <c r="Y15" i="29"/>
  <c r="R35" i="29"/>
  <c r="R19" i="29"/>
  <c r="W38" i="29"/>
  <c r="S38" i="29"/>
  <c r="R43" i="29"/>
  <c r="W47" i="29"/>
  <c r="Y47" i="29" s="1"/>
  <c r="S47" i="29"/>
  <c r="S62" i="29"/>
  <c r="S71" i="29"/>
  <c r="S86" i="29"/>
  <c r="W86" i="29"/>
  <c r="Y29" i="29"/>
  <c r="Y13" i="29"/>
  <c r="S19" i="29"/>
  <c r="R33" i="29"/>
  <c r="R17" i="29"/>
  <c r="Y38" i="29"/>
  <c r="Y22" i="29"/>
  <c r="S32" i="29"/>
  <c r="S16" i="29"/>
  <c r="R34" i="29"/>
  <c r="R18" i="29"/>
  <c r="S55" i="29"/>
  <c r="S72" i="29"/>
  <c r="S70" i="29"/>
  <c r="Y91" i="29"/>
  <c r="Y104" i="29"/>
  <c r="P27" i="29"/>
  <c r="V27" i="29" s="1"/>
  <c r="Y27" i="29" s="1"/>
  <c r="P11" i="29"/>
  <c r="V11" i="29" s="1"/>
  <c r="Y11" i="29" s="1"/>
  <c r="S17" i="29"/>
  <c r="R31" i="29"/>
  <c r="R15" i="29"/>
  <c r="Q34" i="29"/>
  <c r="W34" i="29" s="1"/>
  <c r="Q18" i="29"/>
  <c r="W18" i="29" s="1"/>
  <c r="P36" i="29"/>
  <c r="V36" i="29" s="1"/>
  <c r="Y36" i="29" s="1"/>
  <c r="P20" i="29"/>
  <c r="V20" i="29" s="1"/>
  <c r="Y20" i="29" s="1"/>
  <c r="S30" i="29"/>
  <c r="S14" i="29"/>
  <c r="R32" i="29"/>
  <c r="R16" i="29"/>
  <c r="Q25" i="29"/>
  <c r="W25" i="29" s="1"/>
  <c r="Q21" i="29"/>
  <c r="W21" i="29" s="1"/>
  <c r="Y21" i="29" s="1"/>
  <c r="W75" i="29"/>
  <c r="S75" i="29"/>
  <c r="Y67" i="29"/>
  <c r="S57" i="29"/>
  <c r="R79" i="29"/>
  <c r="S79" i="29"/>
  <c r="R57" i="29"/>
  <c r="Y86" i="29"/>
  <c r="Y25" i="29"/>
  <c r="S31" i="29"/>
  <c r="S15" i="29"/>
  <c r="R29" i="29"/>
  <c r="R13" i="29"/>
  <c r="Y34" i="29"/>
  <c r="Y18" i="29"/>
  <c r="S28" i="29"/>
  <c r="S12" i="29"/>
  <c r="R30" i="29"/>
  <c r="R14" i="29"/>
  <c r="Y46" i="29"/>
  <c r="R70" i="29"/>
  <c r="S33" i="29"/>
  <c r="Y69" i="29"/>
  <c r="S67" i="29"/>
  <c r="R45" i="29"/>
  <c r="W82" i="29"/>
  <c r="Y82" i="29" s="1"/>
  <c r="S82" i="29"/>
  <c r="W84" i="29"/>
  <c r="Y84" i="29" s="1"/>
  <c r="S84" i="29"/>
  <c r="Y52" i="29"/>
  <c r="R61" i="29"/>
  <c r="Y23" i="29"/>
  <c r="S29" i="29"/>
  <c r="S13" i="29"/>
  <c r="R27" i="29"/>
  <c r="R11" i="29"/>
  <c r="S26" i="29"/>
  <c r="R44" i="29"/>
  <c r="R28" i="29"/>
  <c r="R12" i="29"/>
  <c r="R41" i="29"/>
  <c r="Y45" i="29"/>
  <c r="Y71" i="29"/>
  <c r="R49" i="29"/>
  <c r="V47" i="28"/>
  <c r="R47" i="28"/>
  <c r="R62" i="28"/>
  <c r="V62" i="28"/>
  <c r="Y62" i="28" s="1"/>
  <c r="S12" i="28"/>
  <c r="V49" i="28"/>
  <c r="Y49" i="28" s="1"/>
  <c r="R49" i="28"/>
  <c r="W49" i="28"/>
  <c r="S49" i="28"/>
  <c r="R72" i="28"/>
  <c r="V72" i="28"/>
  <c r="Y72" i="28" s="1"/>
  <c r="W58" i="28"/>
  <c r="S58" i="28"/>
  <c r="V63" i="28"/>
  <c r="Y63" i="28" s="1"/>
  <c r="R63" i="28"/>
  <c r="R87" i="28"/>
  <c r="V87" i="28"/>
  <c r="Y87" i="28" s="1"/>
  <c r="V101" i="28"/>
  <c r="Y101" i="28" s="1"/>
  <c r="R101" i="28"/>
  <c r="S93" i="28"/>
  <c r="S99" i="28"/>
  <c r="S11" i="28"/>
  <c r="U50" i="28" s="1"/>
  <c r="Q11" i="28"/>
  <c r="W11" i="28" s="1"/>
  <c r="Y11" i="28" s="1"/>
  <c r="R39" i="28"/>
  <c r="V39" i="28"/>
  <c r="Y39" i="28" s="1"/>
  <c r="Y37" i="28"/>
  <c r="V51" i="28"/>
  <c r="R51" i="28"/>
  <c r="R74" i="28"/>
  <c r="R77" i="28"/>
  <c r="V77" i="28"/>
  <c r="Y77" i="28" s="1"/>
  <c r="R66" i="28"/>
  <c r="V66" i="28"/>
  <c r="Y66" i="28" s="1"/>
  <c r="V67" i="28"/>
  <c r="Y67" i="28" s="1"/>
  <c r="R67" i="28"/>
  <c r="Y105" i="28"/>
  <c r="R78" i="28"/>
  <c r="W81" i="28"/>
  <c r="S81" i="28"/>
  <c r="S97" i="28"/>
  <c r="S105" i="28"/>
  <c r="V99" i="28"/>
  <c r="Y99" i="28" s="1"/>
  <c r="R99" i="28"/>
  <c r="V41" i="28"/>
  <c r="Y41" i="28" s="1"/>
  <c r="R41" i="28"/>
  <c r="W51" i="28"/>
  <c r="S51" i="28"/>
  <c r="Y58" i="28"/>
  <c r="R60" i="28"/>
  <c r="V60" i="28"/>
  <c r="Y60" i="28" s="1"/>
  <c r="Y75" i="28"/>
  <c r="V61" i="28"/>
  <c r="Y61" i="28" s="1"/>
  <c r="R61" i="28"/>
  <c r="S45" i="28"/>
  <c r="V71" i="28"/>
  <c r="Y71" i="28" s="1"/>
  <c r="R71" i="28"/>
  <c r="R91" i="28"/>
  <c r="V91" i="28"/>
  <c r="Y91" i="28" s="1"/>
  <c r="Y81" i="28"/>
  <c r="W85" i="28"/>
  <c r="S85" i="28"/>
  <c r="S83" i="28"/>
  <c r="V43" i="28"/>
  <c r="Y43" i="28" s="1"/>
  <c r="R43" i="28"/>
  <c r="V65" i="28"/>
  <c r="Y65" i="28" s="1"/>
  <c r="R65" i="28"/>
  <c r="R70" i="28"/>
  <c r="V70" i="28"/>
  <c r="Y70" i="28" s="1"/>
  <c r="W89" i="28"/>
  <c r="S89" i="28"/>
  <c r="S87" i="28"/>
  <c r="S37" i="28"/>
  <c r="V45" i="28"/>
  <c r="Y45" i="28" s="1"/>
  <c r="R45" i="28"/>
  <c r="R64" i="28"/>
  <c r="V64" i="28"/>
  <c r="Y64" i="28" s="1"/>
  <c r="V69" i="28"/>
  <c r="Y69" i="28" s="1"/>
  <c r="R69" i="28"/>
  <c r="S80" i="28"/>
  <c r="R84" i="28"/>
  <c r="T84" i="28" s="1"/>
  <c r="V93" i="28"/>
  <c r="Y93" i="28" s="1"/>
  <c r="R93" i="28"/>
  <c r="S107" i="28"/>
  <c r="S103" i="28"/>
  <c r="Y19" i="28"/>
  <c r="S41" i="28"/>
  <c r="V73" i="28"/>
  <c r="Y73" i="28" s="1"/>
  <c r="R73" i="28"/>
  <c r="R85" i="28"/>
  <c r="V85" i="28"/>
  <c r="Y85" i="28" s="1"/>
  <c r="T102" i="28"/>
  <c r="V95" i="28"/>
  <c r="Y95" i="28" s="1"/>
  <c r="R95" i="28"/>
  <c r="S101" i="28"/>
  <c r="R107" i="28"/>
  <c r="R89" i="28"/>
  <c r="V89" i="28"/>
  <c r="Y89" i="28" s="1"/>
  <c r="T19" i="28"/>
  <c r="W47" i="28"/>
  <c r="S47" i="28"/>
  <c r="U47" i="28" s="1"/>
  <c r="R68" i="28"/>
  <c r="V68" i="28"/>
  <c r="Y68" i="28" s="1"/>
  <c r="S43" i="28"/>
  <c r="R83" i="28"/>
  <c r="V83" i="28"/>
  <c r="Y83" i="28" s="1"/>
  <c r="R88" i="28"/>
  <c r="V97" i="28"/>
  <c r="Y97" i="28" s="1"/>
  <c r="R97" i="28"/>
  <c r="R109" i="28"/>
  <c r="Y14" i="27"/>
  <c r="S20" i="27"/>
  <c r="S40" i="27"/>
  <c r="S48" i="27"/>
  <c r="V72" i="27"/>
  <c r="Y72" i="27" s="1"/>
  <c r="R72" i="27"/>
  <c r="Y77" i="27"/>
  <c r="Y43" i="27"/>
  <c r="Y42" i="27"/>
  <c r="S11" i="27"/>
  <c r="U101" i="27" s="1"/>
  <c r="S41" i="27"/>
  <c r="S49" i="27"/>
  <c r="S33" i="27"/>
  <c r="V62" i="27"/>
  <c r="Y62" i="27" s="1"/>
  <c r="R62" i="27"/>
  <c r="W55" i="27"/>
  <c r="Y55" i="27" s="1"/>
  <c r="S55" i="27"/>
  <c r="S69" i="27"/>
  <c r="S61" i="27"/>
  <c r="Y51" i="27"/>
  <c r="V78" i="27"/>
  <c r="Y78" i="27" s="1"/>
  <c r="R78" i="27"/>
  <c r="Y90" i="27"/>
  <c r="V32" i="27"/>
  <c r="Y32" i="27" s="1"/>
  <c r="R32" i="27"/>
  <c r="T56" i="27" s="1"/>
  <c r="S42" i="27"/>
  <c r="S50" i="27"/>
  <c r="S39" i="27"/>
  <c r="Y36" i="27"/>
  <c r="R64" i="27"/>
  <c r="Y50" i="27"/>
  <c r="Y88" i="27"/>
  <c r="Y95" i="27"/>
  <c r="S43" i="27"/>
  <c r="S51" i="27"/>
  <c r="V58" i="27"/>
  <c r="Y58" i="27" s="1"/>
  <c r="R58" i="27"/>
  <c r="Y18" i="27"/>
  <c r="R74" i="27"/>
  <c r="S87" i="27"/>
  <c r="S85" i="27"/>
  <c r="T95" i="27"/>
  <c r="S14" i="27"/>
  <c r="S44" i="27"/>
  <c r="W63" i="27"/>
  <c r="Y63" i="27" s="1"/>
  <c r="S63" i="27"/>
  <c r="V66" i="27"/>
  <c r="Y66" i="27" s="1"/>
  <c r="R66" i="27"/>
  <c r="T66" i="27" s="1"/>
  <c r="S19" i="27"/>
  <c r="V54" i="27"/>
  <c r="Y54" i="27" s="1"/>
  <c r="R54" i="27"/>
  <c r="S91" i="27"/>
  <c r="W91" i="27"/>
  <c r="V86" i="27"/>
  <c r="Y86" i="27" s="1"/>
  <c r="R86" i="27"/>
  <c r="Y91" i="27"/>
  <c r="Y20" i="27"/>
  <c r="S38" i="27"/>
  <c r="Y33" i="27"/>
  <c r="S23" i="27"/>
  <c r="T35" i="27"/>
  <c r="R33" i="27"/>
  <c r="S45" i="27"/>
  <c r="S16" i="27"/>
  <c r="W59" i="27"/>
  <c r="Y59" i="27" s="1"/>
  <c r="S59" i="27"/>
  <c r="Y38" i="27"/>
  <c r="S65" i="27"/>
  <c r="T46" i="27"/>
  <c r="Y40" i="27"/>
  <c r="S89" i="27"/>
  <c r="Y109" i="27"/>
  <c r="Y101" i="27"/>
  <c r="S15" i="27"/>
  <c r="U36" i="27" s="1"/>
  <c r="S35" i="27"/>
  <c r="S46" i="27"/>
  <c r="T59" i="27"/>
  <c r="Y44" i="27"/>
  <c r="T80" i="27"/>
  <c r="Y46" i="27"/>
  <c r="S18" i="27"/>
  <c r="S17" i="27"/>
  <c r="S37" i="27"/>
  <c r="U37" i="27" s="1"/>
  <c r="S47" i="27"/>
  <c r="S22" i="27"/>
  <c r="V70" i="27"/>
  <c r="Y70" i="27" s="1"/>
  <c r="R70" i="27"/>
  <c r="T67" i="27"/>
  <c r="S53" i="27"/>
  <c r="S84" i="27"/>
  <c r="Y45" i="27"/>
  <c r="T79" i="27"/>
  <c r="Y105" i="27"/>
  <c r="Y84" i="27"/>
  <c r="Y35" i="26"/>
  <c r="S21" i="26"/>
  <c r="Q20" i="26"/>
  <c r="W20" i="26" s="1"/>
  <c r="S36" i="26"/>
  <c r="R20" i="26"/>
  <c r="Q35" i="26"/>
  <c r="W35" i="26" s="1"/>
  <c r="R72" i="26"/>
  <c r="V72" i="26"/>
  <c r="Y72" i="26" s="1"/>
  <c r="Y67" i="26"/>
  <c r="Y60" i="26"/>
  <c r="S69" i="26"/>
  <c r="W105" i="26"/>
  <c r="Y105" i="26" s="1"/>
  <c r="S105" i="26"/>
  <c r="R104" i="26"/>
  <c r="Q11" i="26"/>
  <c r="W11" i="26" s="1"/>
  <c r="S39" i="26"/>
  <c r="S23" i="26"/>
  <c r="R29" i="26"/>
  <c r="Q18" i="26"/>
  <c r="W18" i="26" s="1"/>
  <c r="S34" i="26"/>
  <c r="R18" i="26"/>
  <c r="W47" i="26"/>
  <c r="Y47" i="26" s="1"/>
  <c r="S47" i="26"/>
  <c r="Q31" i="26"/>
  <c r="W31" i="26" s="1"/>
  <c r="Y40" i="26"/>
  <c r="Q39" i="26"/>
  <c r="W39" i="26" s="1"/>
  <c r="R62" i="26"/>
  <c r="V62" i="26"/>
  <c r="Y62" i="26" s="1"/>
  <c r="Y63" i="26"/>
  <c r="S80" i="26"/>
  <c r="R94" i="26"/>
  <c r="R43" i="26"/>
  <c r="S32" i="26"/>
  <c r="R32" i="26"/>
  <c r="R16" i="26"/>
  <c r="P31" i="26"/>
  <c r="V31" i="26" s="1"/>
  <c r="Y31" i="26" s="1"/>
  <c r="P16" i="26"/>
  <c r="V16" i="26" s="1"/>
  <c r="Y16" i="26" s="1"/>
  <c r="Y42" i="26"/>
  <c r="R46" i="26"/>
  <c r="Y65" i="26"/>
  <c r="R48" i="26"/>
  <c r="Y80" i="26"/>
  <c r="S11" i="26"/>
  <c r="S35" i="26"/>
  <c r="S30" i="26"/>
  <c r="R30" i="26"/>
  <c r="Y20" i="26"/>
  <c r="W49" i="26"/>
  <c r="Y49" i="26" s="1"/>
  <c r="S49" i="26"/>
  <c r="Y18" i="26"/>
  <c r="W97" i="26"/>
  <c r="Y97" i="26" s="1"/>
  <c r="S97" i="26"/>
  <c r="W95" i="26"/>
  <c r="Y95" i="26" s="1"/>
  <c r="S95" i="26"/>
  <c r="Y76" i="26"/>
  <c r="S14" i="26"/>
  <c r="S13" i="26"/>
  <c r="Q17" i="26"/>
  <c r="W17" i="26" s="1"/>
  <c r="Y17" i="26" s="1"/>
  <c r="R23" i="26"/>
  <c r="S28" i="26"/>
  <c r="R28" i="26"/>
  <c r="R12" i="26"/>
  <c r="P28" i="26"/>
  <c r="V28" i="26" s="1"/>
  <c r="Y28" i="26" s="1"/>
  <c r="Q25" i="26"/>
  <c r="W25" i="26" s="1"/>
  <c r="P32" i="26"/>
  <c r="V32" i="26" s="1"/>
  <c r="Y32" i="26" s="1"/>
  <c r="R42" i="26"/>
  <c r="Y69" i="26"/>
  <c r="R50" i="26"/>
  <c r="R70" i="26"/>
  <c r="V70" i="26"/>
  <c r="Y70" i="26" s="1"/>
  <c r="Y56" i="26"/>
  <c r="Y71" i="26"/>
  <c r="R102" i="26"/>
  <c r="S16" i="26"/>
  <c r="S15" i="26"/>
  <c r="Q19" i="26"/>
  <c r="W19" i="26" s="1"/>
  <c r="Y19" i="26" s="1"/>
  <c r="S31" i="26"/>
  <c r="S42" i="26"/>
  <c r="S26" i="26"/>
  <c r="R26" i="26"/>
  <c r="P13" i="26"/>
  <c r="V13" i="26" s="1"/>
  <c r="Y13" i="26" s="1"/>
  <c r="P36" i="26"/>
  <c r="V36" i="26" s="1"/>
  <c r="Y36" i="26" s="1"/>
  <c r="P25" i="26"/>
  <c r="V25" i="26" s="1"/>
  <c r="Y25" i="26" s="1"/>
  <c r="P34" i="26"/>
  <c r="V34" i="26" s="1"/>
  <c r="Y34" i="26" s="1"/>
  <c r="R64" i="26"/>
  <c r="V64" i="26"/>
  <c r="Y64" i="26" s="1"/>
  <c r="Y59" i="26"/>
  <c r="P39" i="26"/>
  <c r="V39" i="26" s="1"/>
  <c r="Y39" i="26" s="1"/>
  <c r="Y73" i="26"/>
  <c r="S61" i="26"/>
  <c r="P11" i="26"/>
  <c r="V11" i="26" s="1"/>
  <c r="Y11" i="26" s="1"/>
  <c r="R96" i="26"/>
  <c r="S18" i="26"/>
  <c r="S17" i="26"/>
  <c r="S29" i="26"/>
  <c r="R35" i="26"/>
  <c r="R19" i="26"/>
  <c r="S40" i="26"/>
  <c r="S24" i="26"/>
  <c r="R24" i="26"/>
  <c r="P21" i="26"/>
  <c r="V21" i="26" s="1"/>
  <c r="Y21" i="26" s="1"/>
  <c r="Q37" i="26"/>
  <c r="W37" i="26" s="1"/>
  <c r="S12" i="26"/>
  <c r="P14" i="26"/>
  <c r="V14" i="26" s="1"/>
  <c r="Y14" i="26" s="1"/>
  <c r="Q33" i="26"/>
  <c r="W33" i="26" s="1"/>
  <c r="Q27" i="26"/>
  <c r="W27" i="26" s="1"/>
  <c r="Q41" i="26"/>
  <c r="W41" i="26" s="1"/>
  <c r="R40" i="26"/>
  <c r="S76" i="26"/>
  <c r="R66" i="26"/>
  <c r="V66" i="26"/>
  <c r="Y66" i="26" s="1"/>
  <c r="S20" i="26"/>
  <c r="S19" i="26"/>
  <c r="S27" i="26"/>
  <c r="R17" i="26"/>
  <c r="S38" i="26"/>
  <c r="S22" i="26"/>
  <c r="W45" i="26"/>
  <c r="Y45" i="26" s="1"/>
  <c r="S45" i="26"/>
  <c r="P15" i="26"/>
  <c r="V15" i="26" s="1"/>
  <c r="Y15" i="26" s="1"/>
  <c r="P22" i="26"/>
  <c r="V22" i="26" s="1"/>
  <c r="Y22" i="26" s="1"/>
  <c r="P33" i="26"/>
  <c r="V33" i="26" s="1"/>
  <c r="Y33" i="26" s="1"/>
  <c r="P27" i="26"/>
  <c r="V27" i="26" s="1"/>
  <c r="Y27" i="26" s="1"/>
  <c r="P41" i="26"/>
  <c r="V41" i="26" s="1"/>
  <c r="Y41" i="26" s="1"/>
  <c r="P37" i="26"/>
  <c r="V37" i="26" s="1"/>
  <c r="Y37" i="26" s="1"/>
  <c r="Y79" i="26"/>
  <c r="W103" i="26"/>
  <c r="Y103" i="26" s="1"/>
  <c r="S103" i="26"/>
  <c r="S43" i="25"/>
  <c r="S51" i="25"/>
  <c r="Y44" i="25"/>
  <c r="W53" i="25"/>
  <c r="Y53" i="25" s="1"/>
  <c r="S53" i="25"/>
  <c r="R76" i="25"/>
  <c r="V76" i="25"/>
  <c r="Y76" i="25" s="1"/>
  <c r="S98" i="25"/>
  <c r="Y82" i="25"/>
  <c r="R85" i="25"/>
  <c r="Y78" i="25"/>
  <c r="V102" i="25"/>
  <c r="Y102" i="25" s="1"/>
  <c r="R102" i="25"/>
  <c r="V98" i="25"/>
  <c r="Y98" i="25" s="1"/>
  <c r="R98" i="25"/>
  <c r="S44" i="25"/>
  <c r="U37" i="25" s="1"/>
  <c r="S52" i="25"/>
  <c r="Y51" i="25"/>
  <c r="V66" i="25"/>
  <c r="Y66" i="25" s="1"/>
  <c r="R66" i="25"/>
  <c r="W104" i="25"/>
  <c r="S104" i="25"/>
  <c r="S45" i="25"/>
  <c r="Y48" i="25"/>
  <c r="V70" i="25"/>
  <c r="Y70" i="25" s="1"/>
  <c r="R70" i="25"/>
  <c r="Y46" i="25"/>
  <c r="W86" i="25"/>
  <c r="Y86" i="25" s="1"/>
  <c r="S86" i="25"/>
  <c r="W106" i="25"/>
  <c r="S106" i="25"/>
  <c r="R58" i="25"/>
  <c r="T36" i="25" s="1"/>
  <c r="V58" i="25"/>
  <c r="Y58" i="25" s="1"/>
  <c r="Y45" i="25"/>
  <c r="V68" i="25"/>
  <c r="Y68" i="25" s="1"/>
  <c r="R68" i="25"/>
  <c r="W90" i="25"/>
  <c r="Y90" i="25" s="1"/>
  <c r="S90" i="25"/>
  <c r="Y80" i="25"/>
  <c r="V96" i="25"/>
  <c r="Y96" i="25" s="1"/>
  <c r="R96" i="25"/>
  <c r="W88" i="25"/>
  <c r="Y88" i="25" s="1"/>
  <c r="S88" i="25"/>
  <c r="Y50" i="25"/>
  <c r="V72" i="25"/>
  <c r="Y72" i="25" s="1"/>
  <c r="R72" i="25"/>
  <c r="S100" i="25"/>
  <c r="S48" i="25"/>
  <c r="U36" i="25" s="1"/>
  <c r="Y43" i="25"/>
  <c r="V60" i="25"/>
  <c r="Y60" i="25" s="1"/>
  <c r="R60" i="25"/>
  <c r="T57" i="25" s="1"/>
  <c r="X57" i="25" s="1"/>
  <c r="Y54" i="25"/>
  <c r="Y49" i="25"/>
  <c r="S102" i="25"/>
  <c r="R89" i="25"/>
  <c r="V94" i="25"/>
  <c r="Y94" i="25" s="1"/>
  <c r="R94" i="25"/>
  <c r="Y109" i="25"/>
  <c r="S49" i="25"/>
  <c r="U11" i="25" s="1"/>
  <c r="V64" i="25"/>
  <c r="Y64" i="25" s="1"/>
  <c r="R64" i="25"/>
  <c r="T99" i="25" s="1"/>
  <c r="V104" i="25"/>
  <c r="Y104" i="25" s="1"/>
  <c r="R104" i="25"/>
  <c r="S96" i="25"/>
  <c r="V74" i="25"/>
  <c r="Y74" i="25" s="1"/>
  <c r="R74" i="25"/>
  <c r="U57" i="25"/>
  <c r="Y106" i="25"/>
  <c r="W84" i="25"/>
  <c r="Y84" i="25" s="1"/>
  <c r="S84" i="25"/>
  <c r="U84" i="25" s="1"/>
  <c r="T82" i="25"/>
  <c r="U79" i="25"/>
  <c r="V100" i="25"/>
  <c r="Y100" i="25" s="1"/>
  <c r="R100" i="25"/>
  <c r="T100" i="25" s="1"/>
  <c r="U97" i="25"/>
  <c r="R106" i="25"/>
  <c r="U110" i="25"/>
  <c r="P16" i="24"/>
  <c r="V16" i="24" s="1"/>
  <c r="Y16" i="24" s="1"/>
  <c r="R49" i="24"/>
  <c r="R43" i="24"/>
  <c r="R45" i="24"/>
  <c r="S94" i="24"/>
  <c r="S12" i="24"/>
  <c r="R38" i="24"/>
  <c r="S17" i="24"/>
  <c r="V70" i="24"/>
  <c r="Y70" i="24" s="1"/>
  <c r="R70" i="24"/>
  <c r="R51" i="24"/>
  <c r="S69" i="24"/>
  <c r="Y69" i="24"/>
  <c r="S72" i="24"/>
  <c r="R103" i="24"/>
  <c r="V58" i="24"/>
  <c r="Y58" i="24" s="1"/>
  <c r="R58" i="24"/>
  <c r="Y56" i="24"/>
  <c r="S98" i="24"/>
  <c r="R36" i="24"/>
  <c r="R61" i="24"/>
  <c r="V72" i="24"/>
  <c r="Y72" i="24" s="1"/>
  <c r="R72" i="24"/>
  <c r="S74" i="24"/>
  <c r="R95" i="24"/>
  <c r="Y105" i="24"/>
  <c r="S11" i="24"/>
  <c r="U68" i="24" s="1"/>
  <c r="V60" i="24"/>
  <c r="Y60" i="24" s="1"/>
  <c r="R60" i="24"/>
  <c r="S96" i="24"/>
  <c r="V106" i="24"/>
  <c r="Y106" i="24" s="1"/>
  <c r="R106" i="24"/>
  <c r="R35" i="24"/>
  <c r="R12" i="24"/>
  <c r="R41" i="24"/>
  <c r="R73" i="24"/>
  <c r="V74" i="24"/>
  <c r="Y74" i="24" s="1"/>
  <c r="R74" i="24"/>
  <c r="S76" i="24"/>
  <c r="V108" i="24"/>
  <c r="Y108" i="24" s="1"/>
  <c r="R108" i="24"/>
  <c r="S106" i="24"/>
  <c r="R34" i="24"/>
  <c r="R39" i="24"/>
  <c r="R30" i="24"/>
  <c r="R47" i="24"/>
  <c r="R99" i="24"/>
  <c r="S100" i="24"/>
  <c r="S90" i="24"/>
  <c r="S108" i="24"/>
  <c r="S15" i="24"/>
  <c r="U15" i="24" s="1"/>
  <c r="V76" i="24"/>
  <c r="Y76" i="24" s="1"/>
  <c r="R76" i="24"/>
  <c r="U54" i="24"/>
  <c r="S71" i="24"/>
  <c r="Y93" i="24"/>
  <c r="S105" i="24"/>
  <c r="R93" i="24"/>
  <c r="U89" i="24"/>
  <c r="Y110" i="24"/>
  <c r="Y14" i="23"/>
  <c r="V36" i="23"/>
  <c r="Y36" i="23" s="1"/>
  <c r="R36" i="23"/>
  <c r="S16" i="23"/>
  <c r="V54" i="23"/>
  <c r="Y54" i="23" s="1"/>
  <c r="R54" i="23"/>
  <c r="V62" i="23"/>
  <c r="Y62" i="23" s="1"/>
  <c r="R62" i="23"/>
  <c r="V91" i="23"/>
  <c r="Y91" i="23" s="1"/>
  <c r="R91" i="23"/>
  <c r="R86" i="23"/>
  <c r="V86" i="23"/>
  <c r="Y86" i="23" s="1"/>
  <c r="W75" i="23"/>
  <c r="S75" i="23"/>
  <c r="S18" i="23"/>
  <c r="S23" i="23"/>
  <c r="S29" i="23"/>
  <c r="S63" i="23"/>
  <c r="V64" i="23"/>
  <c r="Y64" i="23" s="1"/>
  <c r="R64" i="23"/>
  <c r="S70" i="23"/>
  <c r="Y74" i="23"/>
  <c r="Y20" i="23"/>
  <c r="S20" i="23"/>
  <c r="Y16" i="23"/>
  <c r="R31" i="23"/>
  <c r="S24" i="23"/>
  <c r="Y38" i="23"/>
  <c r="S31" i="23"/>
  <c r="S65" i="23"/>
  <c r="V66" i="23"/>
  <c r="Y66" i="23" s="1"/>
  <c r="R66" i="23"/>
  <c r="R93" i="23"/>
  <c r="V93" i="23"/>
  <c r="Y93" i="23" s="1"/>
  <c r="V85" i="23"/>
  <c r="Y85" i="23" s="1"/>
  <c r="R85" i="23"/>
  <c r="Y90" i="23"/>
  <c r="S21" i="23"/>
  <c r="S17" i="23"/>
  <c r="R14" i="23"/>
  <c r="V58" i="23"/>
  <c r="Y58" i="23" s="1"/>
  <c r="R58" i="23"/>
  <c r="Y18" i="23"/>
  <c r="S34" i="23"/>
  <c r="S67" i="23"/>
  <c r="V68" i="23"/>
  <c r="Y68" i="23" s="1"/>
  <c r="R68" i="23"/>
  <c r="V89" i="23"/>
  <c r="Y89" i="23" s="1"/>
  <c r="R89" i="23"/>
  <c r="V28" i="23"/>
  <c r="Y28" i="23" s="1"/>
  <c r="R28" i="23"/>
  <c r="Y32" i="23"/>
  <c r="S36" i="23"/>
  <c r="S58" i="23"/>
  <c r="S19" i="23"/>
  <c r="R42" i="23"/>
  <c r="V77" i="23"/>
  <c r="R77" i="23"/>
  <c r="Y72" i="23"/>
  <c r="V30" i="23"/>
  <c r="Y30" i="23" s="1"/>
  <c r="R30" i="23"/>
  <c r="T40" i="23" s="1"/>
  <c r="S15" i="23"/>
  <c r="S35" i="23"/>
  <c r="S14" i="23"/>
  <c r="U60" i="23" s="1"/>
  <c r="S11" i="23"/>
  <c r="U50" i="23" s="1"/>
  <c r="S64" i="23"/>
  <c r="R50" i="23"/>
  <c r="Y70" i="23"/>
  <c r="W77" i="23"/>
  <c r="S77" i="23"/>
  <c r="V83" i="23"/>
  <c r="Y83" i="23" s="1"/>
  <c r="R83" i="23"/>
  <c r="Y108" i="23"/>
  <c r="T98" i="23"/>
  <c r="S37" i="23"/>
  <c r="Y24" i="23"/>
  <c r="R39" i="23"/>
  <c r="T39" i="23" s="1"/>
  <c r="S66" i="23"/>
  <c r="Y56" i="23"/>
  <c r="V87" i="23"/>
  <c r="Y87" i="23" s="1"/>
  <c r="R87" i="23"/>
  <c r="T108" i="23"/>
  <c r="S13" i="23"/>
  <c r="U39" i="23" s="1"/>
  <c r="V34" i="23"/>
  <c r="Y34" i="23" s="1"/>
  <c r="R34" i="23"/>
  <c r="S25" i="23"/>
  <c r="S22" i="23"/>
  <c r="R48" i="23"/>
  <c r="S68" i="23"/>
  <c r="S59" i="23"/>
  <c r="U59" i="23" s="1"/>
  <c r="V60" i="23"/>
  <c r="Y60" i="23" s="1"/>
  <c r="R60" i="23"/>
  <c r="Y82" i="23"/>
  <c r="V75" i="23"/>
  <c r="Y75" i="23" s="1"/>
  <c r="R75" i="23"/>
  <c r="R94" i="23"/>
  <c r="V94" i="23"/>
  <c r="Y94" i="23" s="1"/>
  <c r="T103" i="23"/>
  <c r="Y101" i="23"/>
  <c r="S108" i="23"/>
  <c r="S63" i="30" l="1"/>
  <c r="V50" i="30"/>
  <c r="Y50" i="30" s="1"/>
  <c r="R50" i="30"/>
  <c r="W54" i="30"/>
  <c r="Y54" i="30" s="1"/>
  <c r="S54" i="30"/>
  <c r="R78" i="30"/>
  <c r="W57" i="30"/>
  <c r="Y57" i="30" s="1"/>
  <c r="S57" i="30"/>
  <c r="R75" i="30"/>
  <c r="S60" i="30"/>
  <c r="S47" i="30"/>
  <c r="Y32" i="30"/>
  <c r="R60" i="30"/>
  <c r="V60" i="30"/>
  <c r="Y60" i="30" s="1"/>
  <c r="Y63" i="30"/>
  <c r="S27" i="30"/>
  <c r="S11" i="30"/>
  <c r="U27" i="30"/>
  <c r="R26" i="30"/>
  <c r="R16" i="30"/>
  <c r="R17" i="30"/>
  <c r="R42" i="30"/>
  <c r="T42" i="30" s="1"/>
  <c r="T89" i="30"/>
  <c r="S15" i="30"/>
  <c r="U29" i="30" s="1"/>
  <c r="S24" i="30"/>
  <c r="U19" i="30"/>
  <c r="T49" i="30"/>
  <c r="T72" i="30"/>
  <c r="U30" i="30"/>
  <c r="S35" i="30"/>
  <c r="U42" i="30" s="1"/>
  <c r="Y35" i="30"/>
  <c r="T72" i="29"/>
  <c r="T84" i="29"/>
  <c r="T22" i="29"/>
  <c r="T76" i="29"/>
  <c r="T57" i="29"/>
  <c r="T17" i="29"/>
  <c r="T43" i="29"/>
  <c r="T63" i="29"/>
  <c r="T101" i="29"/>
  <c r="T47" i="29"/>
  <c r="T48" i="29"/>
  <c r="T73" i="29"/>
  <c r="T64" i="29"/>
  <c r="T29" i="29"/>
  <c r="T18" i="29"/>
  <c r="T90" i="29"/>
  <c r="R20" i="29"/>
  <c r="T70" i="29" s="1"/>
  <c r="S21" i="29"/>
  <c r="T24" i="29"/>
  <c r="T54" i="29"/>
  <c r="T14" i="29"/>
  <c r="T88" i="29"/>
  <c r="T99" i="29"/>
  <c r="R36" i="29"/>
  <c r="T36" i="29" s="1"/>
  <c r="T65" i="29"/>
  <c r="T23" i="29"/>
  <c r="T25" i="29"/>
  <c r="T30" i="29"/>
  <c r="T56" i="29"/>
  <c r="S18" i="29"/>
  <c r="T60" i="29"/>
  <c r="T74" i="29"/>
  <c r="T75" i="29"/>
  <c r="S11" i="29"/>
  <c r="U23" i="29" s="1"/>
  <c r="T49" i="29"/>
  <c r="T12" i="29"/>
  <c r="U72" i="29"/>
  <c r="U86" i="29"/>
  <c r="S34" i="29"/>
  <c r="T98" i="29"/>
  <c r="T21" i="29"/>
  <c r="S25" i="29"/>
  <c r="T77" i="29"/>
  <c r="Y75" i="29"/>
  <c r="T42" i="29"/>
  <c r="S27" i="29"/>
  <c r="T28" i="29"/>
  <c r="T104" i="29"/>
  <c r="T102" i="29"/>
  <c r="T91" i="29"/>
  <c r="T37" i="29"/>
  <c r="U24" i="29"/>
  <c r="U46" i="28"/>
  <c r="T64" i="28"/>
  <c r="T33" i="28"/>
  <c r="X33" i="28" s="1"/>
  <c r="U84" i="28"/>
  <c r="X84" i="28" s="1"/>
  <c r="U106" i="28"/>
  <c r="T52" i="28"/>
  <c r="U19" i="28"/>
  <c r="X19" i="28" s="1"/>
  <c r="U94" i="28"/>
  <c r="U23" i="28"/>
  <c r="U92" i="28"/>
  <c r="T74" i="28"/>
  <c r="X74" i="28" s="1"/>
  <c r="U99" i="28"/>
  <c r="U86" i="28"/>
  <c r="T86" i="28"/>
  <c r="X86" i="28" s="1"/>
  <c r="T47" i="28"/>
  <c r="X47" i="28" s="1"/>
  <c r="T105" i="28"/>
  <c r="T83" i="28"/>
  <c r="U67" i="28"/>
  <c r="U108" i="28"/>
  <c r="T76" i="28"/>
  <c r="T44" i="28"/>
  <c r="U87" i="28"/>
  <c r="T106" i="28"/>
  <c r="X106" i="28" s="1"/>
  <c r="T20" i="28"/>
  <c r="T36" i="28"/>
  <c r="T96" i="28"/>
  <c r="U69" i="28"/>
  <c r="U51" i="28"/>
  <c r="T35" i="28"/>
  <c r="T94" i="28"/>
  <c r="X94" i="28" s="1"/>
  <c r="T50" i="28"/>
  <c r="X50" i="28" s="1"/>
  <c r="T39" i="28"/>
  <c r="U93" i="28"/>
  <c r="T72" i="28"/>
  <c r="T17" i="28"/>
  <c r="X17" i="28" s="1"/>
  <c r="Y47" i="28"/>
  <c r="T109" i="28"/>
  <c r="T57" i="28"/>
  <c r="U25" i="28"/>
  <c r="T89" i="28"/>
  <c r="T85" i="28"/>
  <c r="U41" i="28"/>
  <c r="U103" i="28"/>
  <c r="U80" i="28"/>
  <c r="T53" i="28"/>
  <c r="U27" i="28"/>
  <c r="U95" i="28"/>
  <c r="U13" i="28"/>
  <c r="T15" i="28"/>
  <c r="U45" i="28"/>
  <c r="T99" i="28"/>
  <c r="X99" i="28" s="1"/>
  <c r="T78" i="28"/>
  <c r="T66" i="28"/>
  <c r="T32" i="28"/>
  <c r="T22" i="28"/>
  <c r="X22" i="28" s="1"/>
  <c r="T101" i="28"/>
  <c r="T87" i="28"/>
  <c r="X87" i="28" s="1"/>
  <c r="T56" i="28"/>
  <c r="U35" i="28"/>
  <c r="T62" i="28"/>
  <c r="T11" i="28"/>
  <c r="T97" i="28"/>
  <c r="U61" i="28"/>
  <c r="U17" i="28"/>
  <c r="T107" i="28"/>
  <c r="T108" i="28"/>
  <c r="T46" i="28"/>
  <c r="X46" i="28" s="1"/>
  <c r="U107" i="28"/>
  <c r="T80" i="28"/>
  <c r="X80" i="28" s="1"/>
  <c r="T45" i="28"/>
  <c r="X45" i="28" s="1"/>
  <c r="U42" i="28"/>
  <c r="U89" i="28"/>
  <c r="T70" i="28"/>
  <c r="T38" i="28"/>
  <c r="T110" i="28"/>
  <c r="X110" i="28" s="1"/>
  <c r="U104" i="28"/>
  <c r="T61" i="28"/>
  <c r="U33" i="28"/>
  <c r="T104" i="28"/>
  <c r="X104" i="28" s="1"/>
  <c r="U40" i="28"/>
  <c r="U15" i="28"/>
  <c r="T63" i="28"/>
  <c r="U49" i="28"/>
  <c r="T18" i="28"/>
  <c r="U71" i="28"/>
  <c r="T34" i="28"/>
  <c r="U43" i="28"/>
  <c r="U44" i="28"/>
  <c r="U101" i="28"/>
  <c r="U74" i="28"/>
  <c r="T24" i="28"/>
  <c r="T93" i="28"/>
  <c r="X93" i="28" s="1"/>
  <c r="U73" i="28"/>
  <c r="U36" i="28"/>
  <c r="T65" i="28"/>
  <c r="X65" i="28" s="1"/>
  <c r="T21" i="28"/>
  <c r="T103" i="28"/>
  <c r="T16" i="28"/>
  <c r="U105" i="28"/>
  <c r="U90" i="28"/>
  <c r="T77" i="28"/>
  <c r="T51" i="28"/>
  <c r="X51" i="28" s="1"/>
  <c r="U88" i="28"/>
  <c r="U52" i="28"/>
  <c r="T59" i="28"/>
  <c r="T14" i="28"/>
  <c r="U102" i="28"/>
  <c r="X102" i="28" s="1"/>
  <c r="T55" i="28"/>
  <c r="T25" i="28"/>
  <c r="T95" i="28"/>
  <c r="T82" i="28"/>
  <c r="T30" i="28"/>
  <c r="T69" i="28"/>
  <c r="U21" i="28"/>
  <c r="U37" i="28"/>
  <c r="U96" i="28"/>
  <c r="T43" i="28"/>
  <c r="U83" i="28"/>
  <c r="T91" i="28"/>
  <c r="X91" i="28" s="1"/>
  <c r="T37" i="28"/>
  <c r="U97" i="28"/>
  <c r="U59" i="28"/>
  <c r="Y51" i="28"/>
  <c r="T23" i="28"/>
  <c r="X23" i="28" s="1"/>
  <c r="T92" i="28"/>
  <c r="X92" i="28" s="1"/>
  <c r="U65" i="28"/>
  <c r="U29" i="28"/>
  <c r="U12" i="28"/>
  <c r="T48" i="28"/>
  <c r="U78" i="28"/>
  <c r="U31" i="28"/>
  <c r="T54" i="28"/>
  <c r="T12" i="28"/>
  <c r="X12" i="28" s="1"/>
  <c r="U98" i="28"/>
  <c r="T13" i="28"/>
  <c r="X13" i="28" s="1"/>
  <c r="T27" i="28"/>
  <c r="X27" i="28" s="1"/>
  <c r="T98" i="28"/>
  <c r="X98" i="28" s="1"/>
  <c r="U63" i="28"/>
  <c r="U85" i="28"/>
  <c r="T79" i="28"/>
  <c r="T41" i="28"/>
  <c r="X41" i="28" s="1"/>
  <c r="U81" i="28"/>
  <c r="T90" i="28"/>
  <c r="X90" i="28" s="1"/>
  <c r="T75" i="28"/>
  <c r="U11" i="28"/>
  <c r="U110" i="28"/>
  <c r="U72" i="28"/>
  <c r="U53" i="28"/>
  <c r="U54" i="28"/>
  <c r="U14" i="28"/>
  <c r="U66" i="28"/>
  <c r="U34" i="28"/>
  <c r="U28" i="28"/>
  <c r="U22" i="28"/>
  <c r="U70" i="28"/>
  <c r="U62" i="28"/>
  <c r="U60" i="28"/>
  <c r="U30" i="28"/>
  <c r="U24" i="28"/>
  <c r="U79" i="28"/>
  <c r="U18" i="28"/>
  <c r="U68" i="28"/>
  <c r="U77" i="28"/>
  <c r="U55" i="28"/>
  <c r="U32" i="28"/>
  <c r="U56" i="28"/>
  <c r="U64" i="28"/>
  <c r="U26" i="28"/>
  <c r="U75" i="28"/>
  <c r="U58" i="28"/>
  <c r="U39" i="28"/>
  <c r="U91" i="28"/>
  <c r="T28" i="28"/>
  <c r="X28" i="28" s="1"/>
  <c r="T31" i="28"/>
  <c r="T88" i="28"/>
  <c r="X88" i="28" s="1"/>
  <c r="T68" i="28"/>
  <c r="X68" i="28" s="1"/>
  <c r="U48" i="28"/>
  <c r="U100" i="28"/>
  <c r="T73" i="28"/>
  <c r="X73" i="28" s="1"/>
  <c r="T42" i="28"/>
  <c r="T100" i="28"/>
  <c r="X100" i="28" s="1"/>
  <c r="T40" i="28"/>
  <c r="X40" i="28" s="1"/>
  <c r="U16" i="28"/>
  <c r="T81" i="28"/>
  <c r="X81" i="28" s="1"/>
  <c r="T58" i="28"/>
  <c r="X58" i="28" s="1"/>
  <c r="T26" i="28"/>
  <c r="X26" i="28" s="1"/>
  <c r="T71" i="28"/>
  <c r="X71" i="28" s="1"/>
  <c r="T60" i="28"/>
  <c r="X60" i="28" s="1"/>
  <c r="T67" i="28"/>
  <c r="X67" i="28" s="1"/>
  <c r="U57" i="28"/>
  <c r="T29" i="28"/>
  <c r="X29" i="28" s="1"/>
  <c r="U109" i="28"/>
  <c r="U76" i="28"/>
  <c r="T49" i="28"/>
  <c r="U82" i="28"/>
  <c r="U38" i="28"/>
  <c r="U20" i="28"/>
  <c r="T27" i="27"/>
  <c r="T42" i="27"/>
  <c r="U72" i="27"/>
  <c r="U17" i="27"/>
  <c r="T98" i="27"/>
  <c r="T65" i="27"/>
  <c r="X65" i="27" s="1"/>
  <c r="T91" i="27"/>
  <c r="U65" i="27"/>
  <c r="U59" i="27"/>
  <c r="U23" i="27"/>
  <c r="U96" i="27"/>
  <c r="T14" i="27"/>
  <c r="T94" i="27"/>
  <c r="T49" i="27"/>
  <c r="T58" i="27"/>
  <c r="U34" i="27"/>
  <c r="T81" i="27"/>
  <c r="U39" i="27"/>
  <c r="T24" i="27"/>
  <c r="T105" i="27"/>
  <c r="U48" i="27"/>
  <c r="U13" i="27"/>
  <c r="T32" i="27"/>
  <c r="U67" i="27"/>
  <c r="X67" i="27" s="1"/>
  <c r="T37" i="27"/>
  <c r="X37" i="27" s="1"/>
  <c r="T109" i="27"/>
  <c r="T77" i="27"/>
  <c r="T21" i="27"/>
  <c r="T44" i="27"/>
  <c r="U100" i="27"/>
  <c r="U91" i="27"/>
  <c r="U63" i="27"/>
  <c r="U44" i="27"/>
  <c r="T99" i="27"/>
  <c r="T76" i="27"/>
  <c r="T97" i="27"/>
  <c r="T51" i="27"/>
  <c r="U64" i="27"/>
  <c r="T15" i="27"/>
  <c r="T75" i="27"/>
  <c r="T36" i="27"/>
  <c r="X36" i="27" s="1"/>
  <c r="T25" i="27"/>
  <c r="U107" i="27"/>
  <c r="U74" i="27"/>
  <c r="U40" i="27"/>
  <c r="T78" i="27"/>
  <c r="U105" i="27"/>
  <c r="U84" i="27"/>
  <c r="T70" i="27"/>
  <c r="T17" i="27"/>
  <c r="X17" i="27" s="1"/>
  <c r="T45" i="27"/>
  <c r="T26" i="27"/>
  <c r="T19" i="27"/>
  <c r="T100" i="27"/>
  <c r="X100" i="27" s="1"/>
  <c r="U77" i="27"/>
  <c r="U16" i="27"/>
  <c r="U38" i="27"/>
  <c r="T93" i="27"/>
  <c r="U88" i="27"/>
  <c r="U14" i="27"/>
  <c r="T108" i="27"/>
  <c r="T74" i="27"/>
  <c r="X74" i="27" s="1"/>
  <c r="T39" i="27"/>
  <c r="X39" i="27" s="1"/>
  <c r="U99" i="27"/>
  <c r="T64" i="27"/>
  <c r="X64" i="27" s="1"/>
  <c r="T34" i="27"/>
  <c r="X34" i="27" s="1"/>
  <c r="T110" i="27"/>
  <c r="U90" i="27"/>
  <c r="T13" i="27"/>
  <c r="X13" i="27" s="1"/>
  <c r="U26" i="27"/>
  <c r="T87" i="27"/>
  <c r="T73" i="27"/>
  <c r="X73" i="27" s="1"/>
  <c r="U20" i="27"/>
  <c r="U97" i="27"/>
  <c r="U21" i="27"/>
  <c r="U73" i="27"/>
  <c r="U30" i="27"/>
  <c r="U55" i="27"/>
  <c r="T43" i="27"/>
  <c r="U18" i="27"/>
  <c r="T60" i="27"/>
  <c r="U62" i="27"/>
  <c r="U46" i="27"/>
  <c r="T104" i="27"/>
  <c r="T47" i="27"/>
  <c r="T11" i="27"/>
  <c r="T92" i="27"/>
  <c r="U66" i="27"/>
  <c r="X66" i="27" s="1"/>
  <c r="T69" i="27"/>
  <c r="U31" i="27"/>
  <c r="T88" i="27"/>
  <c r="X88" i="27" s="1"/>
  <c r="U52" i="27"/>
  <c r="U51" i="27"/>
  <c r="U109" i="27"/>
  <c r="U86" i="27"/>
  <c r="U50" i="27"/>
  <c r="T62" i="27"/>
  <c r="X62" i="27" s="1"/>
  <c r="T29" i="27"/>
  <c r="T53" i="27"/>
  <c r="T18" i="27"/>
  <c r="X18" i="27" s="1"/>
  <c r="U83" i="27"/>
  <c r="T96" i="27"/>
  <c r="X96" i="27" s="1"/>
  <c r="U53" i="27"/>
  <c r="U24" i="27"/>
  <c r="T28" i="27"/>
  <c r="T40" i="27"/>
  <c r="X40" i="27" s="1"/>
  <c r="U70" i="27"/>
  <c r="U35" i="27"/>
  <c r="X35" i="27" s="1"/>
  <c r="U56" i="27"/>
  <c r="X56" i="27" s="1"/>
  <c r="U45" i="27"/>
  <c r="T102" i="27"/>
  <c r="U57" i="27"/>
  <c r="T54" i="27"/>
  <c r="T38" i="27"/>
  <c r="X38" i="27" s="1"/>
  <c r="U85" i="27"/>
  <c r="U43" i="27"/>
  <c r="T83" i="27"/>
  <c r="X83" i="27" s="1"/>
  <c r="U42" i="27"/>
  <c r="U61" i="27"/>
  <c r="U11" i="27"/>
  <c r="U102" i="27"/>
  <c r="U110" i="27"/>
  <c r="U12" i="27"/>
  <c r="U92" i="27"/>
  <c r="U108" i="27"/>
  <c r="U94" i="27"/>
  <c r="U76" i="27"/>
  <c r="U78" i="27"/>
  <c r="U25" i="27"/>
  <c r="U104" i="27"/>
  <c r="U106" i="27"/>
  <c r="U82" i="27"/>
  <c r="U81" i="27"/>
  <c r="U80" i="27"/>
  <c r="X80" i="27" s="1"/>
  <c r="U27" i="27"/>
  <c r="U75" i="27"/>
  <c r="T30" i="27"/>
  <c r="X30" i="27" s="1"/>
  <c r="T23" i="27"/>
  <c r="X23" i="27" s="1"/>
  <c r="X46" i="27"/>
  <c r="U87" i="27"/>
  <c r="U103" i="27"/>
  <c r="U79" i="27"/>
  <c r="X79" i="27" s="1"/>
  <c r="U22" i="27"/>
  <c r="T84" i="27"/>
  <c r="X84" i="27" s="1"/>
  <c r="T71" i="27"/>
  <c r="T12" i="27"/>
  <c r="X12" i="27" s="1"/>
  <c r="U89" i="27"/>
  <c r="U68" i="27"/>
  <c r="T33" i="27"/>
  <c r="X33" i="27" s="1"/>
  <c r="T107" i="27"/>
  <c r="X107" i="27" s="1"/>
  <c r="T86" i="27"/>
  <c r="X86" i="27" s="1"/>
  <c r="U54" i="27"/>
  <c r="T20" i="27"/>
  <c r="X20" i="27" s="1"/>
  <c r="T85" i="27"/>
  <c r="X85" i="27" s="1"/>
  <c r="T57" i="27"/>
  <c r="X57" i="27" s="1"/>
  <c r="U32" i="27"/>
  <c r="T90" i="27"/>
  <c r="X90" i="27" s="1"/>
  <c r="T55" i="27"/>
  <c r="X55" i="27" s="1"/>
  <c r="U28" i="27"/>
  <c r="T103" i="27"/>
  <c r="X103" i="27" s="1"/>
  <c r="T82" i="27"/>
  <c r="X82" i="27" s="1"/>
  <c r="U33" i="27"/>
  <c r="T89" i="27"/>
  <c r="X89" i="27" s="1"/>
  <c r="T72" i="27"/>
  <c r="X72" i="27" s="1"/>
  <c r="T31" i="27"/>
  <c r="X31" i="27" s="1"/>
  <c r="X59" i="27"/>
  <c r="U93" i="27"/>
  <c r="T52" i="27"/>
  <c r="X52" i="27" s="1"/>
  <c r="U41" i="27"/>
  <c r="U95" i="27"/>
  <c r="X95" i="27" s="1"/>
  <c r="T61" i="27"/>
  <c r="X61" i="27" s="1"/>
  <c r="U47" i="27"/>
  <c r="T101" i="27"/>
  <c r="X101" i="27" s="1"/>
  <c r="U71" i="27"/>
  <c r="T41" i="27"/>
  <c r="X41" i="27" s="1"/>
  <c r="U15" i="27"/>
  <c r="T63" i="27"/>
  <c r="X63" i="27" s="1"/>
  <c r="T16" i="27"/>
  <c r="X16" i="27" s="1"/>
  <c r="U19" i="27"/>
  <c r="U60" i="27"/>
  <c r="U98" i="27"/>
  <c r="T48" i="27"/>
  <c r="X48" i="27" s="1"/>
  <c r="U58" i="27"/>
  <c r="T22" i="27"/>
  <c r="X22" i="27" s="1"/>
  <c r="U29" i="27"/>
  <c r="T50" i="27"/>
  <c r="X50" i="27" s="1"/>
  <c r="U69" i="27"/>
  <c r="U49" i="27"/>
  <c r="T106" i="27"/>
  <c r="X106" i="27" s="1"/>
  <c r="T68" i="27"/>
  <c r="X68" i="27" s="1"/>
  <c r="R13" i="26"/>
  <c r="T72" i="26" s="1"/>
  <c r="R31" i="26"/>
  <c r="R33" i="26"/>
  <c r="R25" i="26"/>
  <c r="R27" i="26"/>
  <c r="R34" i="26"/>
  <c r="S25" i="26"/>
  <c r="R39" i="26"/>
  <c r="R41" i="26"/>
  <c r="S41" i="26"/>
  <c r="S33" i="26"/>
  <c r="U44" i="26"/>
  <c r="S37" i="26"/>
  <c r="U37" i="26" s="1"/>
  <c r="R21" i="26"/>
  <c r="U83" i="26"/>
  <c r="U94" i="26"/>
  <c r="U104" i="26"/>
  <c r="U100" i="26"/>
  <c r="U101" i="26"/>
  <c r="U92" i="26"/>
  <c r="U106" i="26"/>
  <c r="U102" i="26"/>
  <c r="U108" i="26"/>
  <c r="U70" i="26"/>
  <c r="R15" i="26"/>
  <c r="U105" i="26"/>
  <c r="U64" i="26"/>
  <c r="R11" i="26"/>
  <c r="T17" i="26" s="1"/>
  <c r="R22" i="26"/>
  <c r="U12" i="26"/>
  <c r="U52" i="26"/>
  <c r="U50" i="26"/>
  <c r="R37" i="26"/>
  <c r="R36" i="26"/>
  <c r="U67" i="26"/>
  <c r="U22" i="26"/>
  <c r="U79" i="26"/>
  <c r="R14" i="26"/>
  <c r="T14" i="26" s="1"/>
  <c r="U107" i="26"/>
  <c r="U39" i="26"/>
  <c r="U36" i="26"/>
  <c r="U38" i="26"/>
  <c r="U66" i="26"/>
  <c r="T30" i="26"/>
  <c r="T46" i="26"/>
  <c r="X36" i="25"/>
  <c r="AB57" i="25"/>
  <c r="Z57" i="25"/>
  <c r="AA57" i="25"/>
  <c r="T41" i="25"/>
  <c r="T77" i="25"/>
  <c r="X77" i="25" s="1"/>
  <c r="U64" i="25"/>
  <c r="U42" i="25"/>
  <c r="U78" i="25"/>
  <c r="T42" i="25"/>
  <c r="U21" i="25"/>
  <c r="U91" i="25"/>
  <c r="T49" i="25"/>
  <c r="T92" i="25"/>
  <c r="U90" i="25"/>
  <c r="T56" i="25"/>
  <c r="U46" i="25"/>
  <c r="T107" i="25"/>
  <c r="U45" i="25"/>
  <c r="U83" i="25"/>
  <c r="T62" i="25"/>
  <c r="T14" i="25"/>
  <c r="T102" i="25"/>
  <c r="U89" i="25"/>
  <c r="U53" i="25"/>
  <c r="U43" i="25"/>
  <c r="U13" i="25"/>
  <c r="U27" i="25"/>
  <c r="T67" i="25"/>
  <c r="X67" i="25" s="1"/>
  <c r="U29" i="25"/>
  <c r="T95" i="25"/>
  <c r="T65" i="25"/>
  <c r="U49" i="25"/>
  <c r="U74" i="25"/>
  <c r="U58" i="25"/>
  <c r="U22" i="25"/>
  <c r="T28" i="25"/>
  <c r="X28" i="25" s="1"/>
  <c r="T91" i="25"/>
  <c r="T53" i="25"/>
  <c r="X53" i="25" s="1"/>
  <c r="T24" i="25"/>
  <c r="U109" i="25"/>
  <c r="T31" i="25"/>
  <c r="T81" i="25"/>
  <c r="X81" i="25" s="1"/>
  <c r="T80" i="25"/>
  <c r="T13" i="25"/>
  <c r="X13" i="25" s="1"/>
  <c r="U82" i="25"/>
  <c r="T48" i="25"/>
  <c r="U98" i="25"/>
  <c r="U26" i="25"/>
  <c r="T44" i="25"/>
  <c r="T109" i="25"/>
  <c r="X109" i="25" s="1"/>
  <c r="T104" i="25"/>
  <c r="T47" i="25"/>
  <c r="X47" i="25" s="1"/>
  <c r="T39" i="25"/>
  <c r="U17" i="25"/>
  <c r="T83" i="25"/>
  <c r="U105" i="25"/>
  <c r="U40" i="25"/>
  <c r="U88" i="25"/>
  <c r="T63" i="25"/>
  <c r="T58" i="25"/>
  <c r="X58" i="25" s="1"/>
  <c r="T23" i="25"/>
  <c r="T29" i="25"/>
  <c r="X29" i="25" s="1"/>
  <c r="T15" i="25"/>
  <c r="U85" i="25"/>
  <c r="U87" i="25"/>
  <c r="T34" i="25"/>
  <c r="X34" i="25" s="1"/>
  <c r="T105" i="25"/>
  <c r="X105" i="25" s="1"/>
  <c r="U30" i="25"/>
  <c r="T20" i="25"/>
  <c r="U75" i="25"/>
  <c r="T51" i="25"/>
  <c r="U32" i="25"/>
  <c r="T78" i="25"/>
  <c r="X78" i="25" s="1"/>
  <c r="U54" i="25"/>
  <c r="U33" i="25"/>
  <c r="U108" i="25"/>
  <c r="T64" i="25"/>
  <c r="X64" i="25" s="1"/>
  <c r="U107" i="25"/>
  <c r="U63" i="25"/>
  <c r="U41" i="25"/>
  <c r="T87" i="25"/>
  <c r="X87" i="25" s="1"/>
  <c r="U62" i="25"/>
  <c r="U47" i="25"/>
  <c r="T68" i="25"/>
  <c r="X68" i="25" s="1"/>
  <c r="T71" i="25"/>
  <c r="T21" i="25"/>
  <c r="X21" i="25" s="1"/>
  <c r="U68" i="25"/>
  <c r="U67" i="25"/>
  <c r="T18" i="25"/>
  <c r="T84" i="25"/>
  <c r="X84" i="25" s="1"/>
  <c r="U65" i="25"/>
  <c r="U14" i="25"/>
  <c r="T38" i="25"/>
  <c r="T52" i="25"/>
  <c r="U81" i="25"/>
  <c r="U16" i="25"/>
  <c r="U28" i="25"/>
  <c r="U94" i="25"/>
  <c r="U80" i="25"/>
  <c r="T97" i="25"/>
  <c r="X97" i="25" s="1"/>
  <c r="T89" i="25"/>
  <c r="X89" i="25" s="1"/>
  <c r="T60" i="25"/>
  <c r="X60" i="25" s="1"/>
  <c r="U23" i="25"/>
  <c r="U93" i="25"/>
  <c r="T86" i="25"/>
  <c r="T59" i="25"/>
  <c r="U34" i="25"/>
  <c r="U92" i="25"/>
  <c r="T40" i="25"/>
  <c r="X40" i="25" s="1"/>
  <c r="U86" i="25"/>
  <c r="T45" i="25"/>
  <c r="X45" i="25" s="1"/>
  <c r="T33" i="25"/>
  <c r="X33" i="25" s="1"/>
  <c r="U104" i="25"/>
  <c r="T66" i="25"/>
  <c r="T88" i="25"/>
  <c r="T85" i="25"/>
  <c r="X85" i="25" s="1"/>
  <c r="U55" i="25"/>
  <c r="T27" i="25"/>
  <c r="X27" i="25" s="1"/>
  <c r="U35" i="25"/>
  <c r="U99" i="25"/>
  <c r="X99" i="25" s="1"/>
  <c r="U60" i="25"/>
  <c r="T11" i="25"/>
  <c r="X11" i="25" s="1"/>
  <c r="U76" i="25"/>
  <c r="U56" i="25"/>
  <c r="T26" i="25"/>
  <c r="X26" i="25" s="1"/>
  <c r="U73" i="25"/>
  <c r="U102" i="25"/>
  <c r="U48" i="25"/>
  <c r="U72" i="25"/>
  <c r="U100" i="25"/>
  <c r="X100" i="25" s="1"/>
  <c r="T43" i="25"/>
  <c r="X43" i="25" s="1"/>
  <c r="U18" i="25"/>
  <c r="T96" i="25"/>
  <c r="X96" i="25" s="1"/>
  <c r="U20" i="25"/>
  <c r="T108" i="25"/>
  <c r="T69" i="25"/>
  <c r="T17" i="25"/>
  <c r="X17" i="25" s="1"/>
  <c r="U52" i="25"/>
  <c r="T110" i="25"/>
  <c r="X110" i="25" s="1"/>
  <c r="U101" i="25"/>
  <c r="T61" i="25"/>
  <c r="T32" i="25"/>
  <c r="X32" i="25" s="1"/>
  <c r="T12" i="25"/>
  <c r="X82" i="25"/>
  <c r="T55" i="25"/>
  <c r="X55" i="25" s="1"/>
  <c r="U31" i="25"/>
  <c r="U96" i="25"/>
  <c r="U59" i="25"/>
  <c r="U25" i="25"/>
  <c r="T94" i="25"/>
  <c r="X94" i="25" s="1"/>
  <c r="U77" i="25"/>
  <c r="T37" i="25"/>
  <c r="X37" i="25" s="1"/>
  <c r="T93" i="25"/>
  <c r="X93" i="25" s="1"/>
  <c r="T72" i="25"/>
  <c r="X72" i="25" s="1"/>
  <c r="T35" i="25"/>
  <c r="X35" i="25" s="1"/>
  <c r="U24" i="25"/>
  <c r="T75" i="25"/>
  <c r="X75" i="25" s="1"/>
  <c r="U39" i="25"/>
  <c r="U70" i="25"/>
  <c r="U38" i="25"/>
  <c r="T90" i="25"/>
  <c r="X90" i="25" s="1"/>
  <c r="T46" i="25"/>
  <c r="X46" i="25" s="1"/>
  <c r="U44" i="25"/>
  <c r="T98" i="25"/>
  <c r="X98" i="25" s="1"/>
  <c r="T16" i="25"/>
  <c r="X16" i="25" s="1"/>
  <c r="T79" i="25"/>
  <c r="X79" i="25" s="1"/>
  <c r="T106" i="25"/>
  <c r="T103" i="25"/>
  <c r="T74" i="25"/>
  <c r="X74" i="25" s="1"/>
  <c r="U50" i="25"/>
  <c r="T101" i="25"/>
  <c r="T54" i="25"/>
  <c r="X54" i="25" s="1"/>
  <c r="T25" i="25"/>
  <c r="X25" i="25" s="1"/>
  <c r="T73" i="25"/>
  <c r="X73" i="25" s="1"/>
  <c r="U61" i="25"/>
  <c r="T22" i="25"/>
  <c r="X22" i="25" s="1"/>
  <c r="U69" i="25"/>
  <c r="T19" i="25"/>
  <c r="X19" i="25" s="1"/>
  <c r="U19" i="25"/>
  <c r="T50" i="25"/>
  <c r="X50" i="25" s="1"/>
  <c r="U15" i="25"/>
  <c r="U106" i="25"/>
  <c r="U95" i="25"/>
  <c r="T70" i="25"/>
  <c r="X70" i="25" s="1"/>
  <c r="U12" i="25"/>
  <c r="U103" i="25"/>
  <c r="T30" i="25"/>
  <c r="U66" i="25"/>
  <c r="T76" i="25"/>
  <c r="X76" i="25" s="1"/>
  <c r="U51" i="25"/>
  <c r="U71" i="25"/>
  <c r="T102" i="24"/>
  <c r="X102" i="24" s="1"/>
  <c r="U102" i="24"/>
  <c r="U38" i="24"/>
  <c r="U40" i="24"/>
  <c r="T108" i="24"/>
  <c r="X108" i="24" s="1"/>
  <c r="U110" i="24"/>
  <c r="U58" i="24"/>
  <c r="U25" i="24"/>
  <c r="U50" i="24"/>
  <c r="U37" i="24"/>
  <c r="U104" i="24"/>
  <c r="U105" i="24"/>
  <c r="U36" i="24"/>
  <c r="U87" i="24"/>
  <c r="U52" i="24"/>
  <c r="U29" i="24"/>
  <c r="U70" i="24"/>
  <c r="U48" i="24"/>
  <c r="U56" i="24"/>
  <c r="U12" i="24"/>
  <c r="U79" i="24"/>
  <c r="U41" i="24"/>
  <c r="U108" i="24"/>
  <c r="U39" i="24"/>
  <c r="U85" i="24"/>
  <c r="T40" i="24"/>
  <c r="X40" i="24" s="1"/>
  <c r="U51" i="24"/>
  <c r="U99" i="24"/>
  <c r="U73" i="24"/>
  <c r="U45" i="24"/>
  <c r="T48" i="24"/>
  <c r="X48" i="24" s="1"/>
  <c r="U72" i="24"/>
  <c r="U33" i="24"/>
  <c r="U94" i="24"/>
  <c r="U13" i="24"/>
  <c r="U31" i="24"/>
  <c r="T66" i="24"/>
  <c r="X66" i="24" s="1"/>
  <c r="U59" i="24"/>
  <c r="U75" i="24"/>
  <c r="T55" i="24"/>
  <c r="X55" i="24" s="1"/>
  <c r="U95" i="24"/>
  <c r="U17" i="24"/>
  <c r="U103" i="24"/>
  <c r="U97" i="24"/>
  <c r="U71" i="24"/>
  <c r="U90" i="24"/>
  <c r="U65" i="24"/>
  <c r="U34" i="24"/>
  <c r="U43" i="24"/>
  <c r="U35" i="24"/>
  <c r="U80" i="24"/>
  <c r="U11" i="24"/>
  <c r="U101" i="24"/>
  <c r="U60" i="24"/>
  <c r="U66" i="24"/>
  <c r="U18" i="24"/>
  <c r="U53" i="24"/>
  <c r="U86" i="24"/>
  <c r="U64" i="24"/>
  <c r="U27" i="24"/>
  <c r="U62" i="24"/>
  <c r="U63" i="24"/>
  <c r="U28" i="24"/>
  <c r="U82" i="24"/>
  <c r="U57" i="24"/>
  <c r="U61" i="24"/>
  <c r="U47" i="24"/>
  <c r="U23" i="24"/>
  <c r="U24" i="24"/>
  <c r="U19" i="24"/>
  <c r="U20" i="24"/>
  <c r="U14" i="24"/>
  <c r="U22" i="24"/>
  <c r="U78" i="24"/>
  <c r="U55" i="24"/>
  <c r="U26" i="24"/>
  <c r="U16" i="24"/>
  <c r="U92" i="24"/>
  <c r="U83" i="24"/>
  <c r="T69" i="24"/>
  <c r="U67" i="24"/>
  <c r="U44" i="24"/>
  <c r="U100" i="24"/>
  <c r="U81" i="24"/>
  <c r="T12" i="24"/>
  <c r="X12" i="24" s="1"/>
  <c r="T89" i="24"/>
  <c r="X89" i="24" s="1"/>
  <c r="T29" i="24"/>
  <c r="X29" i="24" s="1"/>
  <c r="T21" i="24"/>
  <c r="X21" i="24" s="1"/>
  <c r="T18" i="24"/>
  <c r="X18" i="24" s="1"/>
  <c r="U96" i="24"/>
  <c r="U109" i="24"/>
  <c r="U107" i="24"/>
  <c r="U98" i="24"/>
  <c r="U69" i="24"/>
  <c r="U46" i="24"/>
  <c r="U91" i="24"/>
  <c r="T93" i="24"/>
  <c r="X93" i="24" s="1"/>
  <c r="U42" i="24"/>
  <c r="U106" i="24"/>
  <c r="U88" i="24"/>
  <c r="T67" i="24"/>
  <c r="X67" i="24" s="1"/>
  <c r="U74" i="24"/>
  <c r="T25" i="24"/>
  <c r="X25" i="24" s="1"/>
  <c r="U77" i="24"/>
  <c r="U21" i="24"/>
  <c r="U84" i="24"/>
  <c r="T85" i="24"/>
  <c r="X85" i="24" s="1"/>
  <c r="T88" i="24"/>
  <c r="X88" i="24" s="1"/>
  <c r="U76" i="24"/>
  <c r="U30" i="24"/>
  <c r="T107" i="24"/>
  <c r="X107" i="24" s="1"/>
  <c r="U49" i="24"/>
  <c r="T70" i="24"/>
  <c r="X70" i="24" s="1"/>
  <c r="U93" i="24"/>
  <c r="U32" i="24"/>
  <c r="R16" i="24"/>
  <c r="T57" i="24" s="1"/>
  <c r="X57" i="24" s="1"/>
  <c r="U16" i="23"/>
  <c r="U68" i="23"/>
  <c r="U25" i="23"/>
  <c r="T95" i="23"/>
  <c r="T55" i="23"/>
  <c r="U48" i="23"/>
  <c r="U101" i="23"/>
  <c r="T72" i="23"/>
  <c r="T52" i="23"/>
  <c r="T24" i="23"/>
  <c r="U19" i="23"/>
  <c r="T11" i="23"/>
  <c r="T97" i="23"/>
  <c r="U67" i="23"/>
  <c r="U45" i="23"/>
  <c r="U105" i="23"/>
  <c r="T66" i="23"/>
  <c r="U44" i="23"/>
  <c r="T104" i="23"/>
  <c r="U63" i="23"/>
  <c r="U29" i="23"/>
  <c r="T101" i="23"/>
  <c r="X101" i="23" s="1"/>
  <c r="U73" i="23"/>
  <c r="T67" i="23"/>
  <c r="X67" i="23" s="1"/>
  <c r="T27" i="23"/>
  <c r="U61" i="23"/>
  <c r="T94" i="23"/>
  <c r="T46" i="23"/>
  <c r="T34" i="23"/>
  <c r="T87" i="23"/>
  <c r="T41" i="23"/>
  <c r="U40" i="23"/>
  <c r="X40" i="23" s="1"/>
  <c r="U77" i="23"/>
  <c r="U64" i="23"/>
  <c r="T29" i="23"/>
  <c r="X29" i="23" s="1"/>
  <c r="T77" i="23"/>
  <c r="T63" i="23"/>
  <c r="X63" i="23" s="1"/>
  <c r="U33" i="23"/>
  <c r="T105" i="23"/>
  <c r="X105" i="23" s="1"/>
  <c r="U34" i="23"/>
  <c r="T14" i="23"/>
  <c r="T107" i="23"/>
  <c r="U24" i="23"/>
  <c r="T92" i="23"/>
  <c r="T45" i="23"/>
  <c r="X45" i="23" s="1"/>
  <c r="T16" i="23"/>
  <c r="X16" i="23" s="1"/>
  <c r="U95" i="23"/>
  <c r="T76" i="23"/>
  <c r="T59" i="23"/>
  <c r="X59" i="23" s="1"/>
  <c r="U28" i="23"/>
  <c r="T106" i="23"/>
  <c r="U94" i="23"/>
  <c r="T82" i="23"/>
  <c r="U108" i="23"/>
  <c r="X108" i="23" s="1"/>
  <c r="T75" i="23"/>
  <c r="T47" i="23"/>
  <c r="T26" i="23"/>
  <c r="T19" i="23"/>
  <c r="X19" i="23" s="1"/>
  <c r="U97" i="23"/>
  <c r="T38" i="23"/>
  <c r="U35" i="23"/>
  <c r="Y77" i="23"/>
  <c r="T51" i="23"/>
  <c r="T12" i="23"/>
  <c r="X12" i="23" s="1"/>
  <c r="T88" i="23"/>
  <c r="U17" i="23"/>
  <c r="T85" i="23"/>
  <c r="U65" i="23"/>
  <c r="T31" i="23"/>
  <c r="U79" i="23"/>
  <c r="U57" i="23"/>
  <c r="T17" i="23"/>
  <c r="X17" i="23" s="1"/>
  <c r="U107" i="23"/>
  <c r="T91" i="23"/>
  <c r="T54" i="23"/>
  <c r="T36" i="23"/>
  <c r="U22" i="23"/>
  <c r="T50" i="23"/>
  <c r="X50" i="23" s="1"/>
  <c r="U52" i="23"/>
  <c r="U88" i="23"/>
  <c r="T100" i="23"/>
  <c r="T48" i="23"/>
  <c r="X48" i="23" s="1"/>
  <c r="U12" i="23"/>
  <c r="U81" i="23"/>
  <c r="T65" i="23"/>
  <c r="X65" i="23" s="1"/>
  <c r="U109" i="23"/>
  <c r="T84" i="23"/>
  <c r="U15" i="23"/>
  <c r="T71" i="23"/>
  <c r="X71" i="23" s="1"/>
  <c r="U58" i="23"/>
  <c r="T28" i="23"/>
  <c r="X28" i="23" s="1"/>
  <c r="T80" i="23"/>
  <c r="T43" i="23"/>
  <c r="T25" i="23"/>
  <c r="X25" i="23" s="1"/>
  <c r="U31" i="23"/>
  <c r="U30" i="23"/>
  <c r="T57" i="23"/>
  <c r="X57" i="23" s="1"/>
  <c r="U23" i="23"/>
  <c r="U75" i="23"/>
  <c r="T102" i="23"/>
  <c r="U49" i="23"/>
  <c r="T22" i="23"/>
  <c r="X22" i="23" s="1"/>
  <c r="U71" i="23"/>
  <c r="T53" i="23"/>
  <c r="U37" i="23"/>
  <c r="T109" i="23"/>
  <c r="X109" i="23" s="1"/>
  <c r="U47" i="23"/>
  <c r="T30" i="23"/>
  <c r="U69" i="23"/>
  <c r="U62" i="23"/>
  <c r="T89" i="23"/>
  <c r="T37" i="23"/>
  <c r="X37" i="23" s="1"/>
  <c r="T74" i="23"/>
  <c r="T18" i="23"/>
  <c r="T79" i="23"/>
  <c r="X79" i="23" s="1"/>
  <c r="U55" i="23"/>
  <c r="T35" i="23"/>
  <c r="X35" i="23" s="1"/>
  <c r="T62" i="23"/>
  <c r="X62" i="23" s="1"/>
  <c r="U56" i="23"/>
  <c r="X39" i="23"/>
  <c r="U14" i="23"/>
  <c r="U46" i="23"/>
  <c r="T32" i="23"/>
  <c r="T21" i="23"/>
  <c r="T60" i="23"/>
  <c r="X60" i="23" s="1"/>
  <c r="U41" i="23"/>
  <c r="T33" i="23"/>
  <c r="X33" i="23" s="1"/>
  <c r="T70" i="23"/>
  <c r="X70" i="23" s="1"/>
  <c r="T44" i="23"/>
  <c r="X44" i="23" s="1"/>
  <c r="U38" i="23"/>
  <c r="U90" i="23"/>
  <c r="T78" i="23"/>
  <c r="U54" i="23"/>
  <c r="U36" i="23"/>
  <c r="T96" i="23"/>
  <c r="T58" i="23"/>
  <c r="X58" i="23" s="1"/>
  <c r="U26" i="23"/>
  <c r="T61" i="23"/>
  <c r="X61" i="23" s="1"/>
  <c r="U20" i="23"/>
  <c r="U70" i="23"/>
  <c r="U51" i="23"/>
  <c r="U18" i="23"/>
  <c r="T15" i="23"/>
  <c r="X15" i="23" s="1"/>
  <c r="T42" i="23"/>
  <c r="T73" i="23"/>
  <c r="X73" i="23" s="1"/>
  <c r="T110" i="23"/>
  <c r="T13" i="23"/>
  <c r="U13" i="23"/>
  <c r="T81" i="23"/>
  <c r="X81" i="23" s="1"/>
  <c r="U66" i="23"/>
  <c r="U96" i="23"/>
  <c r="T83" i="23"/>
  <c r="T56" i="23"/>
  <c r="X56" i="23" s="1"/>
  <c r="U11" i="23"/>
  <c r="U93" i="23"/>
  <c r="U80" i="23"/>
  <c r="U82" i="23"/>
  <c r="U78" i="23"/>
  <c r="U98" i="23"/>
  <c r="X98" i="23" s="1"/>
  <c r="U89" i="23"/>
  <c r="U100" i="23"/>
  <c r="U72" i="23"/>
  <c r="U74" i="23"/>
  <c r="U53" i="23"/>
  <c r="U92" i="23"/>
  <c r="U106" i="23"/>
  <c r="U86" i="23"/>
  <c r="U83" i="23"/>
  <c r="U84" i="23"/>
  <c r="U103" i="23"/>
  <c r="X103" i="23" s="1"/>
  <c r="U76" i="23"/>
  <c r="U87" i="23"/>
  <c r="U91" i="23"/>
  <c r="U102" i="23"/>
  <c r="U110" i="23"/>
  <c r="U104" i="23"/>
  <c r="U99" i="23"/>
  <c r="U85" i="23"/>
  <c r="U27" i="23"/>
  <c r="U32" i="23"/>
  <c r="T69" i="23"/>
  <c r="X69" i="23" s="1"/>
  <c r="T90" i="23"/>
  <c r="X90" i="23" s="1"/>
  <c r="T68" i="23"/>
  <c r="X68" i="23" s="1"/>
  <c r="U21" i="23"/>
  <c r="T93" i="23"/>
  <c r="X93" i="23" s="1"/>
  <c r="T23" i="23"/>
  <c r="X23" i="23" s="1"/>
  <c r="T64" i="23"/>
  <c r="X64" i="23" s="1"/>
  <c r="U43" i="23"/>
  <c r="T20" i="23"/>
  <c r="X20" i="23" s="1"/>
  <c r="T86" i="23"/>
  <c r="X86" i="23" s="1"/>
  <c r="T49" i="23"/>
  <c r="X49" i="23" s="1"/>
  <c r="U42" i="23"/>
  <c r="T99" i="23"/>
  <c r="X99" i="23" s="1"/>
  <c r="U85" i="30" l="1"/>
  <c r="U18" i="30"/>
  <c r="T78" i="30"/>
  <c r="T100" i="30"/>
  <c r="U104" i="30"/>
  <c r="T69" i="30"/>
  <c r="T47" i="30"/>
  <c r="T51" i="30"/>
  <c r="U77" i="30"/>
  <c r="T98" i="30"/>
  <c r="U24" i="30"/>
  <c r="T25" i="30"/>
  <c r="T21" i="30"/>
  <c r="X21" i="30" s="1"/>
  <c r="T27" i="30"/>
  <c r="T91" i="30"/>
  <c r="T19" i="30"/>
  <c r="U75" i="30"/>
  <c r="U13" i="30"/>
  <c r="U21" i="30"/>
  <c r="T11" i="30"/>
  <c r="T86" i="30"/>
  <c r="U83" i="30"/>
  <c r="T54" i="30"/>
  <c r="U35" i="30"/>
  <c r="T95" i="30"/>
  <c r="T68" i="30"/>
  <c r="T102" i="30"/>
  <c r="U78" i="30"/>
  <c r="X78" i="30" s="1"/>
  <c r="T18" i="30"/>
  <c r="X18" i="30" s="1"/>
  <c r="U79" i="30"/>
  <c r="T52" i="30"/>
  <c r="U67" i="30"/>
  <c r="T48" i="30"/>
  <c r="U93" i="30"/>
  <c r="U34" i="30"/>
  <c r="T41" i="30"/>
  <c r="T61" i="30"/>
  <c r="U26" i="30"/>
  <c r="T36" i="30"/>
  <c r="T44" i="30"/>
  <c r="T108" i="30"/>
  <c r="U100" i="30"/>
  <c r="T34" i="30"/>
  <c r="X34" i="30" s="1"/>
  <c r="T64" i="30"/>
  <c r="T103" i="30"/>
  <c r="T80" i="30"/>
  <c r="T92" i="30"/>
  <c r="U14" i="30"/>
  <c r="T75" i="30"/>
  <c r="X75" i="30" s="1"/>
  <c r="T33" i="30"/>
  <c r="T104" i="30"/>
  <c r="X104" i="30" s="1"/>
  <c r="U80" i="30"/>
  <c r="T26" i="30"/>
  <c r="T55" i="30"/>
  <c r="U25" i="30"/>
  <c r="X25" i="30" s="1"/>
  <c r="T77" i="30"/>
  <c r="X77" i="30" s="1"/>
  <c r="U65" i="30"/>
  <c r="T43" i="30"/>
  <c r="Z21" i="30"/>
  <c r="AA21" i="30"/>
  <c r="AB21" i="30"/>
  <c r="X27" i="30"/>
  <c r="X11" i="30"/>
  <c r="X100" i="30"/>
  <c r="X42" i="30"/>
  <c r="T17" i="30"/>
  <c r="U74" i="30"/>
  <c r="T31" i="30"/>
  <c r="U22" i="30"/>
  <c r="T109" i="30"/>
  <c r="U11" i="30"/>
  <c r="U108" i="30"/>
  <c r="U58" i="30"/>
  <c r="U61" i="30"/>
  <c r="U56" i="30"/>
  <c r="U53" i="30"/>
  <c r="U51" i="30"/>
  <c r="X51" i="30" s="1"/>
  <c r="U45" i="30"/>
  <c r="U63" i="30"/>
  <c r="U50" i="30"/>
  <c r="U59" i="30"/>
  <c r="U60" i="30"/>
  <c r="U47" i="30"/>
  <c r="X47" i="30" s="1"/>
  <c r="U94" i="30"/>
  <c r="U43" i="30"/>
  <c r="U87" i="30"/>
  <c r="U89" i="30"/>
  <c r="U54" i="30"/>
  <c r="U102" i="30"/>
  <c r="U81" i="30"/>
  <c r="U82" i="30"/>
  <c r="U64" i="30"/>
  <c r="U84" i="30"/>
  <c r="U71" i="30"/>
  <c r="U88" i="30"/>
  <c r="U46" i="30"/>
  <c r="U49" i="30"/>
  <c r="X49" i="30" s="1"/>
  <c r="U90" i="30"/>
  <c r="U86" i="30"/>
  <c r="X86" i="30" s="1"/>
  <c r="U62" i="30"/>
  <c r="U109" i="30"/>
  <c r="U97" i="30"/>
  <c r="U52" i="30"/>
  <c r="U98" i="30"/>
  <c r="X98" i="30" s="1"/>
  <c r="U41" i="30"/>
  <c r="U55" i="30"/>
  <c r="U107" i="30"/>
  <c r="U105" i="30"/>
  <c r="U39" i="30"/>
  <c r="U48" i="30"/>
  <c r="U68" i="30"/>
  <c r="U57" i="30"/>
  <c r="U106" i="30"/>
  <c r="U110" i="30"/>
  <c r="U32" i="30"/>
  <c r="T110" i="30"/>
  <c r="T84" i="30"/>
  <c r="X84" i="30" s="1"/>
  <c r="T28" i="30"/>
  <c r="T87" i="30"/>
  <c r="X87" i="30" s="1"/>
  <c r="T45" i="30"/>
  <c r="T67" i="30"/>
  <c r="T12" i="30"/>
  <c r="U76" i="30"/>
  <c r="U31" i="30"/>
  <c r="T90" i="30"/>
  <c r="U33" i="30"/>
  <c r="T106" i="30"/>
  <c r="X106" i="30" s="1"/>
  <c r="U17" i="30"/>
  <c r="U40" i="30"/>
  <c r="U91" i="30"/>
  <c r="X91" i="30" s="1"/>
  <c r="T50" i="30"/>
  <c r="X50" i="30" s="1"/>
  <c r="T15" i="30"/>
  <c r="T82" i="30"/>
  <c r="T57" i="30"/>
  <c r="U37" i="30"/>
  <c r="X19" i="30"/>
  <c r="T56" i="30"/>
  <c r="X56" i="30" s="1"/>
  <c r="T79" i="30"/>
  <c r="X79" i="30" s="1"/>
  <c r="T99" i="30"/>
  <c r="T74" i="30"/>
  <c r="X74" i="30" s="1"/>
  <c r="U70" i="30"/>
  <c r="T35" i="30"/>
  <c r="X35" i="30" s="1"/>
  <c r="U28" i="30"/>
  <c r="U69" i="30"/>
  <c r="X69" i="30" s="1"/>
  <c r="T32" i="30"/>
  <c r="X32" i="30" s="1"/>
  <c r="T65" i="30"/>
  <c r="X65" i="30" s="1"/>
  <c r="T16" i="30"/>
  <c r="T83" i="30"/>
  <c r="X83" i="30" s="1"/>
  <c r="T96" i="30"/>
  <c r="T85" i="30"/>
  <c r="X85" i="30" s="1"/>
  <c r="T107" i="30"/>
  <c r="X107" i="30" s="1"/>
  <c r="T59" i="30"/>
  <c r="X59" i="30" s="1"/>
  <c r="T101" i="30"/>
  <c r="U72" i="30"/>
  <c r="T13" i="30"/>
  <c r="X13" i="30" s="1"/>
  <c r="U95" i="30"/>
  <c r="U99" i="30"/>
  <c r="T39" i="30"/>
  <c r="X39" i="30" s="1"/>
  <c r="T46" i="30"/>
  <c r="U38" i="30"/>
  <c r="T20" i="30"/>
  <c r="X72" i="30"/>
  <c r="X89" i="30"/>
  <c r="T93" i="30"/>
  <c r="X93" i="30" s="1"/>
  <c r="T71" i="30"/>
  <c r="T94" i="30"/>
  <c r="X94" i="30" s="1"/>
  <c r="T76" i="30"/>
  <c r="T105" i="30"/>
  <c r="U44" i="30"/>
  <c r="U73" i="30"/>
  <c r="U36" i="30"/>
  <c r="U15" i="30"/>
  <c r="U20" i="30"/>
  <c r="T29" i="30"/>
  <c r="X29" i="30" s="1"/>
  <c r="U23" i="30"/>
  <c r="T14" i="30"/>
  <c r="T37" i="30"/>
  <c r="U66" i="30"/>
  <c r="T40" i="30"/>
  <c r="X40" i="30" s="1"/>
  <c r="T58" i="30"/>
  <c r="X58" i="30" s="1"/>
  <c r="T23" i="30"/>
  <c r="U16" i="30"/>
  <c r="T53" i="30"/>
  <c r="T70" i="30"/>
  <c r="X70" i="30" s="1"/>
  <c r="T66" i="30"/>
  <c r="T63" i="30"/>
  <c r="X63" i="30" s="1"/>
  <c r="T62" i="30"/>
  <c r="T60" i="30"/>
  <c r="X60" i="30" s="1"/>
  <c r="T73" i="30"/>
  <c r="U96" i="30"/>
  <c r="U12" i="30"/>
  <c r="T81" i="30"/>
  <c r="X81" i="30" s="1"/>
  <c r="T30" i="30"/>
  <c r="X30" i="30" s="1"/>
  <c r="T38" i="30"/>
  <c r="X38" i="30" s="1"/>
  <c r="U101" i="30"/>
  <c r="T22" i="30"/>
  <c r="X22" i="30" s="1"/>
  <c r="T88" i="30"/>
  <c r="X88" i="30" s="1"/>
  <c r="U103" i="30"/>
  <c r="U92" i="30"/>
  <c r="T24" i="30"/>
  <c r="X24" i="30" s="1"/>
  <c r="T97" i="30"/>
  <c r="U54" i="29"/>
  <c r="U33" i="29"/>
  <c r="U22" i="29"/>
  <c r="U31" i="29"/>
  <c r="X65" i="29"/>
  <c r="X24" i="29"/>
  <c r="T61" i="29"/>
  <c r="T35" i="29"/>
  <c r="T93" i="29"/>
  <c r="T50" i="29"/>
  <c r="T38" i="29"/>
  <c r="X38" i="29" s="1"/>
  <c r="T81" i="29"/>
  <c r="U45" i="29"/>
  <c r="T62" i="29"/>
  <c r="X62" i="29" s="1"/>
  <c r="U69" i="29"/>
  <c r="U28" i="29"/>
  <c r="U84" i="29"/>
  <c r="X74" i="29"/>
  <c r="U77" i="29"/>
  <c r="U15" i="29"/>
  <c r="U65" i="29"/>
  <c r="T92" i="29"/>
  <c r="T27" i="29"/>
  <c r="X27" i="29" s="1"/>
  <c r="U62" i="29"/>
  <c r="T13" i="29"/>
  <c r="T106" i="29"/>
  <c r="T71" i="29"/>
  <c r="T31" i="29"/>
  <c r="X31" i="29" s="1"/>
  <c r="T53" i="29"/>
  <c r="T15" i="29"/>
  <c r="U38" i="29"/>
  <c r="X28" i="29"/>
  <c r="U29" i="29"/>
  <c r="X29" i="29" s="1"/>
  <c r="U40" i="29"/>
  <c r="U36" i="29"/>
  <c r="U30" i="29"/>
  <c r="X30" i="29" s="1"/>
  <c r="U44" i="29"/>
  <c r="T33" i="29"/>
  <c r="T45" i="29"/>
  <c r="X45" i="29" s="1"/>
  <c r="T108" i="29"/>
  <c r="X108" i="29" s="1"/>
  <c r="T83" i="29"/>
  <c r="X83" i="29" s="1"/>
  <c r="T32" i="29"/>
  <c r="T97" i="29"/>
  <c r="T16" i="29"/>
  <c r="U71" i="29"/>
  <c r="U27" i="29"/>
  <c r="U34" i="29"/>
  <c r="U18" i="29"/>
  <c r="X18" i="29" s="1"/>
  <c r="X36" i="29"/>
  <c r="U67" i="29"/>
  <c r="T82" i="29"/>
  <c r="X82" i="29" s="1"/>
  <c r="U75" i="29"/>
  <c r="U42" i="29"/>
  <c r="X42" i="29" s="1"/>
  <c r="U55" i="29"/>
  <c r="T86" i="29"/>
  <c r="X86" i="29" s="1"/>
  <c r="T55" i="29"/>
  <c r="T19" i="29"/>
  <c r="T51" i="29"/>
  <c r="X91" i="29"/>
  <c r="U11" i="29"/>
  <c r="U100" i="29"/>
  <c r="U48" i="29"/>
  <c r="U101" i="29"/>
  <c r="U87" i="29"/>
  <c r="U64" i="29"/>
  <c r="U76" i="29"/>
  <c r="X76" i="29" s="1"/>
  <c r="U80" i="29"/>
  <c r="U97" i="29"/>
  <c r="U58" i="29"/>
  <c r="U99" i="29"/>
  <c r="X99" i="29" s="1"/>
  <c r="U52" i="29"/>
  <c r="U109" i="29"/>
  <c r="U108" i="29"/>
  <c r="U110" i="29"/>
  <c r="U105" i="29"/>
  <c r="U56" i="29"/>
  <c r="U91" i="29"/>
  <c r="U93" i="29"/>
  <c r="U94" i="29"/>
  <c r="U102" i="29"/>
  <c r="X102" i="29" s="1"/>
  <c r="U74" i="29"/>
  <c r="U81" i="29"/>
  <c r="U39" i="29"/>
  <c r="U83" i="29"/>
  <c r="U73" i="29"/>
  <c r="X73" i="29" s="1"/>
  <c r="U95" i="29"/>
  <c r="U68" i="29"/>
  <c r="U85" i="29"/>
  <c r="U106" i="29"/>
  <c r="U41" i="29"/>
  <c r="U66" i="29"/>
  <c r="U61" i="29"/>
  <c r="U35" i="29"/>
  <c r="U63" i="29"/>
  <c r="X63" i="29" s="1"/>
  <c r="U96" i="29"/>
  <c r="U88" i="29"/>
  <c r="X88" i="29" s="1"/>
  <c r="U37" i="29"/>
  <c r="X37" i="29" s="1"/>
  <c r="U98" i="29"/>
  <c r="X98" i="29" s="1"/>
  <c r="U90" i="29"/>
  <c r="U50" i="29"/>
  <c r="U103" i="29"/>
  <c r="U89" i="29"/>
  <c r="U53" i="29"/>
  <c r="U59" i="29"/>
  <c r="U43" i="29"/>
  <c r="U78" i="29"/>
  <c r="U104" i="29"/>
  <c r="X104" i="29" s="1"/>
  <c r="U92" i="29"/>
  <c r="U107" i="29"/>
  <c r="U46" i="29"/>
  <c r="U47" i="29"/>
  <c r="U60" i="29"/>
  <c r="X60" i="29" s="1"/>
  <c r="U13" i="29"/>
  <c r="U21" i="29"/>
  <c r="X21" i="29" s="1"/>
  <c r="U79" i="29"/>
  <c r="X64" i="29"/>
  <c r="X48" i="29"/>
  <c r="X47" i="29"/>
  <c r="X43" i="29"/>
  <c r="X57" i="29"/>
  <c r="X22" i="29"/>
  <c r="U82" i="29"/>
  <c r="T80" i="29"/>
  <c r="X80" i="29" s="1"/>
  <c r="U32" i="29"/>
  <c r="T26" i="29"/>
  <c r="U16" i="29"/>
  <c r="T110" i="29"/>
  <c r="T34" i="29"/>
  <c r="X34" i="29" s="1"/>
  <c r="T41" i="29"/>
  <c r="T20" i="29"/>
  <c r="X20" i="29" s="1"/>
  <c r="T94" i="29"/>
  <c r="X94" i="29" s="1"/>
  <c r="T95" i="29"/>
  <c r="X95" i="29" s="1"/>
  <c r="T52" i="29"/>
  <c r="X52" i="29" s="1"/>
  <c r="T67" i="29"/>
  <c r="X67" i="29" s="1"/>
  <c r="T89" i="29"/>
  <c r="T100" i="29"/>
  <c r="X100" i="29" s="1"/>
  <c r="U20" i="29"/>
  <c r="U17" i="29"/>
  <c r="T58" i="29"/>
  <c r="X58" i="29" s="1"/>
  <c r="T11" i="29"/>
  <c r="X11" i="29" s="1"/>
  <c r="T78" i="29"/>
  <c r="T105" i="29"/>
  <c r="X105" i="29" s="1"/>
  <c r="T69" i="29"/>
  <c r="X69" i="29" s="1"/>
  <c r="T44" i="29"/>
  <c r="X44" i="29" s="1"/>
  <c r="X77" i="29"/>
  <c r="X75" i="29"/>
  <c r="X56" i="29"/>
  <c r="X23" i="29"/>
  <c r="U70" i="29"/>
  <c r="X70" i="29" s="1"/>
  <c r="X54" i="29"/>
  <c r="X90" i="29"/>
  <c r="U14" i="29"/>
  <c r="X14" i="29" s="1"/>
  <c r="X101" i="29"/>
  <c r="U49" i="29"/>
  <c r="X49" i="29" s="1"/>
  <c r="X17" i="29"/>
  <c r="X84" i="29"/>
  <c r="X72" i="29"/>
  <c r="T96" i="29"/>
  <c r="X96" i="29" s="1"/>
  <c r="U57" i="29"/>
  <c r="U25" i="29"/>
  <c r="X25" i="29" s="1"/>
  <c r="U12" i="29"/>
  <c r="X12" i="29" s="1"/>
  <c r="T39" i="29"/>
  <c r="X39" i="29" s="1"/>
  <c r="T107" i="29"/>
  <c r="T40" i="29"/>
  <c r="X40" i="29" s="1"/>
  <c r="T79" i="29"/>
  <c r="T109" i="29"/>
  <c r="X109" i="29" s="1"/>
  <c r="U19" i="29"/>
  <c r="T59" i="29"/>
  <c r="X59" i="29" s="1"/>
  <c r="T103" i="29"/>
  <c r="X103" i="29" s="1"/>
  <c r="T68" i="29"/>
  <c r="X68" i="29" s="1"/>
  <c r="T46" i="29"/>
  <c r="U51" i="29"/>
  <c r="T66" i="29"/>
  <c r="X66" i="29" s="1"/>
  <c r="U26" i="29"/>
  <c r="T85" i="29"/>
  <c r="X85" i="29" s="1"/>
  <c r="T87" i="29"/>
  <c r="X87" i="29" s="1"/>
  <c r="Z19" i="28"/>
  <c r="AA19" i="28" s="1"/>
  <c r="AB19" i="28"/>
  <c r="Z84" i="28"/>
  <c r="AA84" i="28"/>
  <c r="AB84" i="28"/>
  <c r="Z102" i="28"/>
  <c r="AA102" i="28"/>
  <c r="AB102" i="28"/>
  <c r="Z67" i="28"/>
  <c r="AA67" i="28"/>
  <c r="AB67" i="28"/>
  <c r="Z100" i="28"/>
  <c r="AA100" i="28" s="1"/>
  <c r="AB100" i="28"/>
  <c r="AB28" i="28"/>
  <c r="Z28" i="28"/>
  <c r="AA28" i="28" s="1"/>
  <c r="AB41" i="28"/>
  <c r="Z41" i="28"/>
  <c r="AA41" i="28"/>
  <c r="AB12" i="28"/>
  <c r="Z12" i="28"/>
  <c r="AA12" i="28"/>
  <c r="Z92" i="28"/>
  <c r="AA92" i="28" s="1"/>
  <c r="AB92" i="28"/>
  <c r="X43" i="28"/>
  <c r="X25" i="28"/>
  <c r="X77" i="28"/>
  <c r="X61" i="28"/>
  <c r="Z80" i="28"/>
  <c r="AA80" i="28"/>
  <c r="AB80" i="28"/>
  <c r="X11" i="28"/>
  <c r="X66" i="28"/>
  <c r="X53" i="28"/>
  <c r="X109" i="28"/>
  <c r="X35" i="28"/>
  <c r="X44" i="28"/>
  <c r="Z60" i="28"/>
  <c r="AB60" i="28"/>
  <c r="AA60" i="28"/>
  <c r="X42" i="28"/>
  <c r="X79" i="28"/>
  <c r="X54" i="28"/>
  <c r="Z23" i="28"/>
  <c r="AA23" i="28"/>
  <c r="AB23" i="28"/>
  <c r="X55" i="28"/>
  <c r="AB93" i="28"/>
  <c r="Z93" i="28"/>
  <c r="AA93" i="28"/>
  <c r="X18" i="28"/>
  <c r="X62" i="28"/>
  <c r="X78" i="28"/>
  <c r="X76" i="28"/>
  <c r="Z71" i="28"/>
  <c r="AA71" i="28"/>
  <c r="AB71" i="28"/>
  <c r="Z73" i="28"/>
  <c r="AA73" i="28" s="1"/>
  <c r="AB73" i="28"/>
  <c r="X24" i="28"/>
  <c r="Z110" i="28"/>
  <c r="AA110" i="28" s="1"/>
  <c r="AB110" i="28"/>
  <c r="Z46" i="28"/>
  <c r="AA46" i="28"/>
  <c r="AB46" i="28"/>
  <c r="AB99" i="28"/>
  <c r="Z99" i="28"/>
  <c r="AA99" i="28"/>
  <c r="Z17" i="28"/>
  <c r="AA17" i="28"/>
  <c r="AB17" i="28"/>
  <c r="Z74" i="28"/>
  <c r="AA74" i="28" s="1"/>
  <c r="AB74" i="28"/>
  <c r="Z33" i="28"/>
  <c r="AA33" i="28"/>
  <c r="AB33" i="28"/>
  <c r="X49" i="28"/>
  <c r="AB26" i="28"/>
  <c r="Z26" i="28"/>
  <c r="AA26" i="28" s="1"/>
  <c r="X14" i="28"/>
  <c r="X16" i="28"/>
  <c r="X63" i="28"/>
  <c r="X38" i="28"/>
  <c r="X108" i="28"/>
  <c r="X56" i="28"/>
  <c r="X72" i="28"/>
  <c r="X96" i="28"/>
  <c r="X64" i="28"/>
  <c r="Z58" i="28"/>
  <c r="AB58" i="28"/>
  <c r="AA58" i="28"/>
  <c r="Z98" i="28"/>
  <c r="AA98" i="28" s="1"/>
  <c r="AB98" i="28"/>
  <c r="X48" i="28"/>
  <c r="X69" i="28"/>
  <c r="X59" i="28"/>
  <c r="X103" i="28"/>
  <c r="X70" i="28"/>
  <c r="X107" i="28"/>
  <c r="Z87" i="28"/>
  <c r="AA87" i="28" s="1"/>
  <c r="AB87" i="28"/>
  <c r="X15" i="28"/>
  <c r="X85" i="28"/>
  <c r="X36" i="28"/>
  <c r="X83" i="28"/>
  <c r="Z81" i="28"/>
  <c r="AA81" i="28" s="1"/>
  <c r="AB81" i="28"/>
  <c r="Z68" i="28"/>
  <c r="AB68" i="28"/>
  <c r="AA68" i="28"/>
  <c r="X75" i="28"/>
  <c r="Z27" i="28"/>
  <c r="AA27" i="28"/>
  <c r="AB27" i="28"/>
  <c r="X37" i="28"/>
  <c r="X30" i="28"/>
  <c r="X21" i="28"/>
  <c r="X101" i="28"/>
  <c r="X89" i="28"/>
  <c r="X39" i="28"/>
  <c r="X20" i="28"/>
  <c r="X105" i="28"/>
  <c r="Z29" i="28"/>
  <c r="AA29" i="28" s="1"/>
  <c r="AB29" i="28"/>
  <c r="Z88" i="28"/>
  <c r="AA88" i="28"/>
  <c r="AB88" i="28"/>
  <c r="Z90" i="28"/>
  <c r="AA90" i="28" s="1"/>
  <c r="AB90" i="28"/>
  <c r="Z13" i="28"/>
  <c r="AA13" i="28"/>
  <c r="AB13" i="28"/>
  <c r="Z91" i="28"/>
  <c r="AB91" i="28"/>
  <c r="AA91" i="28"/>
  <c r="X82" i="28"/>
  <c r="Z65" i="28"/>
  <c r="AA65" i="28" s="1"/>
  <c r="AB65" i="28"/>
  <c r="Z104" i="28"/>
  <c r="AA104" i="28"/>
  <c r="AB104" i="28"/>
  <c r="AB22" i="28"/>
  <c r="Z22" i="28"/>
  <c r="AA22" i="28"/>
  <c r="Z50" i="28"/>
  <c r="AA50" i="28"/>
  <c r="AB50" i="28"/>
  <c r="Z106" i="28"/>
  <c r="AA106" i="28" s="1"/>
  <c r="AB106" i="28"/>
  <c r="Z47" i="28"/>
  <c r="AA47" i="28"/>
  <c r="AB47" i="28"/>
  <c r="AB40" i="28"/>
  <c r="Z40" i="28"/>
  <c r="AA40" i="28"/>
  <c r="X31" i="28"/>
  <c r="X95" i="28"/>
  <c r="Z51" i="28"/>
  <c r="AA51" i="28"/>
  <c r="AB51" i="28"/>
  <c r="X34" i="28"/>
  <c r="Z45" i="28"/>
  <c r="AA45" i="28"/>
  <c r="AB45" i="28"/>
  <c r="X97" i="28"/>
  <c r="X32" i="28"/>
  <c r="X57" i="28"/>
  <c r="Z94" i="28"/>
  <c r="AA94" i="28"/>
  <c r="AB94" i="28"/>
  <c r="Z86" i="28"/>
  <c r="AA86" i="28" s="1"/>
  <c r="AB86" i="28"/>
  <c r="X52" i="28"/>
  <c r="AA66" i="27"/>
  <c r="Z66" i="27"/>
  <c r="AB66" i="27"/>
  <c r="Z67" i="27"/>
  <c r="AA67" i="27"/>
  <c r="AB67" i="27"/>
  <c r="Z79" i="27"/>
  <c r="AA79" i="27" s="1"/>
  <c r="AB79" i="27"/>
  <c r="Z80" i="27"/>
  <c r="AA80" i="27"/>
  <c r="AB80" i="27"/>
  <c r="AA56" i="27"/>
  <c r="AB56" i="27"/>
  <c r="Z56" i="27"/>
  <c r="Z35" i="27"/>
  <c r="AA35" i="27" s="1"/>
  <c r="AB35" i="27"/>
  <c r="Z95" i="27"/>
  <c r="AA95" i="27" s="1"/>
  <c r="AB95" i="27"/>
  <c r="Z63" i="27"/>
  <c r="AA63" i="27"/>
  <c r="AB63" i="27"/>
  <c r="AB82" i="27"/>
  <c r="Z82" i="27"/>
  <c r="AA82" i="27" s="1"/>
  <c r="AB20" i="27"/>
  <c r="Z20" i="27"/>
  <c r="AA20" i="27" s="1"/>
  <c r="X71" i="27"/>
  <c r="AB30" i="27"/>
  <c r="Z30" i="27"/>
  <c r="AA30" i="27" s="1"/>
  <c r="X54" i="27"/>
  <c r="X28" i="27"/>
  <c r="X53" i="27"/>
  <c r="AB88" i="27"/>
  <c r="Z88" i="27"/>
  <c r="AA88" i="27" s="1"/>
  <c r="X110" i="27"/>
  <c r="X45" i="27"/>
  <c r="X51" i="27"/>
  <c r="X44" i="27"/>
  <c r="X49" i="27"/>
  <c r="Z65" i="27"/>
  <c r="AA65" i="27"/>
  <c r="AB65" i="27"/>
  <c r="AB22" i="27"/>
  <c r="Z22" i="27"/>
  <c r="AA22" i="27"/>
  <c r="Z52" i="27"/>
  <c r="AA52" i="27" s="1"/>
  <c r="AB52" i="27"/>
  <c r="Z103" i="27"/>
  <c r="AA103" i="27" s="1"/>
  <c r="AB103" i="27"/>
  <c r="AB84" i="27"/>
  <c r="Z84" i="27"/>
  <c r="AA84" i="27" s="1"/>
  <c r="X29" i="27"/>
  <c r="AB34" i="27"/>
  <c r="AA34" i="27"/>
  <c r="Z34" i="27"/>
  <c r="X93" i="27"/>
  <c r="Z17" i="27"/>
  <c r="AA17" i="27"/>
  <c r="AB17" i="27"/>
  <c r="X97" i="27"/>
  <c r="X21" i="27"/>
  <c r="X94" i="27"/>
  <c r="X98" i="27"/>
  <c r="AB41" i="27"/>
  <c r="Z41" i="27"/>
  <c r="AA41" i="27" s="1"/>
  <c r="AB86" i="27"/>
  <c r="Z86" i="27"/>
  <c r="AA86" i="27" s="1"/>
  <c r="X102" i="27"/>
  <c r="AA62" i="27"/>
  <c r="Z62" i="27"/>
  <c r="AB62" i="27"/>
  <c r="X69" i="27"/>
  <c r="X60" i="27"/>
  <c r="AA64" i="27"/>
  <c r="Z64" i="27"/>
  <c r="AB64" i="27"/>
  <c r="X70" i="27"/>
  <c r="X76" i="27"/>
  <c r="X77" i="27"/>
  <c r="X105" i="27"/>
  <c r="X14" i="27"/>
  <c r="AA68" i="27"/>
  <c r="Z68" i="27"/>
  <c r="AB68" i="27"/>
  <c r="AA48" i="27"/>
  <c r="AB48" i="27"/>
  <c r="Z48" i="27"/>
  <c r="Z59" i="27"/>
  <c r="AA59" i="27" s="1"/>
  <c r="AB59" i="27"/>
  <c r="Z55" i="27"/>
  <c r="AA55" i="27"/>
  <c r="AB55" i="27"/>
  <c r="Z107" i="27"/>
  <c r="AA107" i="27" s="1"/>
  <c r="AB107" i="27"/>
  <c r="Z96" i="27"/>
  <c r="AA96" i="27"/>
  <c r="AB96" i="27"/>
  <c r="Z73" i="27"/>
  <c r="AA73" i="27" s="1"/>
  <c r="AB73" i="27"/>
  <c r="X25" i="27"/>
  <c r="X99" i="27"/>
  <c r="X109" i="27"/>
  <c r="X24" i="27"/>
  <c r="Z106" i="27"/>
  <c r="AA106" i="27"/>
  <c r="AB106" i="27"/>
  <c r="Z101" i="27"/>
  <c r="AA101" i="27" s="1"/>
  <c r="AB101" i="27"/>
  <c r="Z31" i="27"/>
  <c r="AA31" i="27"/>
  <c r="AB31" i="27"/>
  <c r="AA90" i="27"/>
  <c r="Z90" i="27"/>
  <c r="AB90" i="27"/>
  <c r="Z33" i="27"/>
  <c r="AA33" i="27"/>
  <c r="AB33" i="27"/>
  <c r="Z83" i="27"/>
  <c r="AA83" i="27" s="1"/>
  <c r="AB83" i="27"/>
  <c r="X92" i="27"/>
  <c r="X43" i="27"/>
  <c r="X87" i="27"/>
  <c r="Z39" i="27"/>
  <c r="AA39" i="27" s="1"/>
  <c r="AB39" i="27"/>
  <c r="AB36" i="27"/>
  <c r="AA36" i="27"/>
  <c r="Z36" i="27"/>
  <c r="Z37" i="27"/>
  <c r="AA37" i="27" s="1"/>
  <c r="AB37" i="27"/>
  <c r="X42" i="27"/>
  <c r="AA72" i="27"/>
  <c r="Z72" i="27"/>
  <c r="AB72" i="27"/>
  <c r="AB18" i="27"/>
  <c r="Z18" i="27"/>
  <c r="AA18" i="27" s="1"/>
  <c r="X11" i="27"/>
  <c r="Z74" i="27"/>
  <c r="AA74" i="27"/>
  <c r="AB74" i="27"/>
  <c r="Z100" i="27"/>
  <c r="AA100" i="27" s="1"/>
  <c r="AB100" i="27"/>
  <c r="X78" i="27"/>
  <c r="X75" i="27"/>
  <c r="X81" i="27"/>
  <c r="X27" i="27"/>
  <c r="Z61" i="27"/>
  <c r="AB61" i="27"/>
  <c r="AA61" i="27"/>
  <c r="AA89" i="27"/>
  <c r="Z89" i="27"/>
  <c r="AB89" i="27"/>
  <c r="Z57" i="27"/>
  <c r="AA57" i="27"/>
  <c r="AB57" i="27"/>
  <c r="AA46" i="27"/>
  <c r="AB46" i="27"/>
  <c r="Z46" i="27"/>
  <c r="X47" i="27"/>
  <c r="Z13" i="27"/>
  <c r="AA13" i="27" s="1"/>
  <c r="AB13" i="27"/>
  <c r="X108" i="27"/>
  <c r="X19" i="27"/>
  <c r="X15" i="27"/>
  <c r="X32" i="27"/>
  <c r="AB50" i="27"/>
  <c r="Z50" i="27"/>
  <c r="AA50" i="27" s="1"/>
  <c r="AB16" i="27"/>
  <c r="Z16" i="27"/>
  <c r="AA16" i="27"/>
  <c r="Z85" i="27"/>
  <c r="AA85" i="27" s="1"/>
  <c r="AB85" i="27"/>
  <c r="AB12" i="27"/>
  <c r="Z12" i="27"/>
  <c r="AA12" i="27"/>
  <c r="Z23" i="27"/>
  <c r="AA23" i="27"/>
  <c r="AB23" i="27"/>
  <c r="AA38" i="27"/>
  <c r="Z38" i="27"/>
  <c r="AB38" i="27"/>
  <c r="AB40" i="27"/>
  <c r="Z40" i="27"/>
  <c r="AA40" i="27" s="1"/>
  <c r="X104" i="27"/>
  <c r="X26" i="27"/>
  <c r="X58" i="27"/>
  <c r="X91" i="27"/>
  <c r="X17" i="26"/>
  <c r="U60" i="26"/>
  <c r="U47" i="26"/>
  <c r="U31" i="26"/>
  <c r="T48" i="26"/>
  <c r="T22" i="26"/>
  <c r="X22" i="26" s="1"/>
  <c r="U55" i="26"/>
  <c r="U96" i="26"/>
  <c r="U98" i="26"/>
  <c r="U76" i="26"/>
  <c r="U33" i="26"/>
  <c r="U45" i="26"/>
  <c r="U46" i="26"/>
  <c r="U25" i="26"/>
  <c r="U88" i="26"/>
  <c r="U78" i="26"/>
  <c r="T23" i="26"/>
  <c r="T33" i="26"/>
  <c r="X33" i="26" s="1"/>
  <c r="U30" i="26"/>
  <c r="U86" i="26"/>
  <c r="U84" i="26"/>
  <c r="U17" i="26"/>
  <c r="U65" i="26"/>
  <c r="T11" i="26"/>
  <c r="T89" i="26"/>
  <c r="T106" i="26"/>
  <c r="X106" i="26" s="1"/>
  <c r="T107" i="26"/>
  <c r="X107" i="26" s="1"/>
  <c r="T75" i="26"/>
  <c r="T98" i="26"/>
  <c r="X98" i="26" s="1"/>
  <c r="T99" i="26"/>
  <c r="T109" i="26"/>
  <c r="T101" i="26"/>
  <c r="X101" i="26" s="1"/>
  <c r="T91" i="26"/>
  <c r="T93" i="26"/>
  <c r="T44" i="26"/>
  <c r="X44" i="26" s="1"/>
  <c r="T100" i="26"/>
  <c r="X100" i="26" s="1"/>
  <c r="T105" i="26"/>
  <c r="X105" i="26" s="1"/>
  <c r="T88" i="26"/>
  <c r="X88" i="26" s="1"/>
  <c r="T79" i="26"/>
  <c r="X79" i="26" s="1"/>
  <c r="T110" i="26"/>
  <c r="T65" i="26"/>
  <c r="X65" i="26" s="1"/>
  <c r="T108" i="26"/>
  <c r="X108" i="26" s="1"/>
  <c r="T51" i="26"/>
  <c r="T92" i="26"/>
  <c r="X92" i="26" s="1"/>
  <c r="T86" i="26"/>
  <c r="X86" i="26" s="1"/>
  <c r="T61" i="26"/>
  <c r="T60" i="26"/>
  <c r="T47" i="26"/>
  <c r="X47" i="26" s="1"/>
  <c r="T76" i="26"/>
  <c r="X76" i="26" s="1"/>
  <c r="T81" i="26"/>
  <c r="X81" i="26" s="1"/>
  <c r="T59" i="26"/>
  <c r="T97" i="26"/>
  <c r="T84" i="26"/>
  <c r="X84" i="26" s="1"/>
  <c r="T55" i="26"/>
  <c r="X55" i="26" s="1"/>
  <c r="T80" i="26"/>
  <c r="T49" i="26"/>
  <c r="T67" i="26"/>
  <c r="X67" i="26" s="1"/>
  <c r="T45" i="26"/>
  <c r="X45" i="26" s="1"/>
  <c r="T57" i="26"/>
  <c r="X57" i="26" s="1"/>
  <c r="T52" i="26"/>
  <c r="X52" i="26" s="1"/>
  <c r="T95" i="26"/>
  <c r="T68" i="26"/>
  <c r="T54" i="26"/>
  <c r="T90" i="26"/>
  <c r="X90" i="26" s="1"/>
  <c r="T38" i="26"/>
  <c r="X38" i="26" s="1"/>
  <c r="T63" i="26"/>
  <c r="X63" i="26" s="1"/>
  <c r="T74" i="26"/>
  <c r="T53" i="26"/>
  <c r="T56" i="26"/>
  <c r="T77" i="26"/>
  <c r="T103" i="26"/>
  <c r="T82" i="26"/>
  <c r="T73" i="26"/>
  <c r="X73" i="26" s="1"/>
  <c r="T58" i="26"/>
  <c r="T78" i="26"/>
  <c r="X78" i="26" s="1"/>
  <c r="T85" i="26"/>
  <c r="T69" i="26"/>
  <c r="T71" i="26"/>
  <c r="T83" i="26"/>
  <c r="X83" i="26" s="1"/>
  <c r="T87" i="26"/>
  <c r="U68" i="26"/>
  <c r="U43" i="26"/>
  <c r="U62" i="26"/>
  <c r="U20" i="26"/>
  <c r="U48" i="26"/>
  <c r="U41" i="26"/>
  <c r="U63" i="26"/>
  <c r="U69" i="26"/>
  <c r="U16" i="26"/>
  <c r="T31" i="26"/>
  <c r="X31" i="26" s="1"/>
  <c r="U95" i="26"/>
  <c r="U71" i="26"/>
  <c r="U18" i="26"/>
  <c r="T16" i="26"/>
  <c r="U73" i="26"/>
  <c r="U13" i="26"/>
  <c r="T20" i="26"/>
  <c r="X20" i="26" s="1"/>
  <c r="U109" i="26"/>
  <c r="U110" i="26"/>
  <c r="U11" i="26"/>
  <c r="U21" i="26"/>
  <c r="T70" i="26"/>
  <c r="X70" i="26" s="1"/>
  <c r="U90" i="26"/>
  <c r="U97" i="26"/>
  <c r="T34" i="26"/>
  <c r="T26" i="26"/>
  <c r="U85" i="26"/>
  <c r="U28" i="26"/>
  <c r="U103" i="26"/>
  <c r="T32" i="26"/>
  <c r="T37" i="26"/>
  <c r="X37" i="26" s="1"/>
  <c r="T50" i="26"/>
  <c r="X50" i="26" s="1"/>
  <c r="T104" i="26"/>
  <c r="X104" i="26" s="1"/>
  <c r="U42" i="26"/>
  <c r="U34" i="26"/>
  <c r="T39" i="26"/>
  <c r="X39" i="26" s="1"/>
  <c r="U74" i="26"/>
  <c r="T64" i="26"/>
  <c r="X64" i="26" s="1"/>
  <c r="T13" i="26"/>
  <c r="T42" i="26"/>
  <c r="U54" i="26"/>
  <c r="X46" i="26"/>
  <c r="U99" i="26"/>
  <c r="U75" i="26"/>
  <c r="T102" i="26"/>
  <c r="X102" i="26" s="1"/>
  <c r="U81" i="26"/>
  <c r="U61" i="26"/>
  <c r="T18" i="26"/>
  <c r="X18" i="26" s="1"/>
  <c r="U77" i="26"/>
  <c r="U82" i="26"/>
  <c r="X30" i="26"/>
  <c r="T36" i="26"/>
  <c r="X36" i="26" s="1"/>
  <c r="T29" i="26"/>
  <c r="T21" i="26"/>
  <c r="T19" i="26"/>
  <c r="X19" i="26" s="1"/>
  <c r="U80" i="26"/>
  <c r="U26" i="26"/>
  <c r="T27" i="26"/>
  <c r="T96" i="26"/>
  <c r="X96" i="26" s="1"/>
  <c r="T62" i="26"/>
  <c r="X62" i="26" s="1"/>
  <c r="U15" i="26"/>
  <c r="U89" i="26"/>
  <c r="U56" i="26"/>
  <c r="U91" i="26"/>
  <c r="U14" i="26"/>
  <c r="X14" i="26" s="1"/>
  <c r="U23" i="26"/>
  <c r="U29" i="26"/>
  <c r="T15" i="26"/>
  <c r="X15" i="26" s="1"/>
  <c r="U93" i="26"/>
  <c r="U57" i="26"/>
  <c r="U87" i="26"/>
  <c r="U35" i="26"/>
  <c r="T66" i="26"/>
  <c r="X66" i="26" s="1"/>
  <c r="T43" i="26"/>
  <c r="X43" i="26" s="1"/>
  <c r="U40" i="26"/>
  <c r="T25" i="26"/>
  <c r="X25" i="26" s="1"/>
  <c r="U24" i="26"/>
  <c r="U32" i="26"/>
  <c r="T24" i="26"/>
  <c r="X24" i="26" s="1"/>
  <c r="U72" i="26"/>
  <c r="X72" i="26" s="1"/>
  <c r="T28" i="26"/>
  <c r="X28" i="26" s="1"/>
  <c r="T12" i="26"/>
  <c r="X12" i="26" s="1"/>
  <c r="T94" i="26"/>
  <c r="X94" i="26" s="1"/>
  <c r="T35" i="26"/>
  <c r="X35" i="26" s="1"/>
  <c r="U49" i="26"/>
  <c r="U19" i="26"/>
  <c r="T41" i="26"/>
  <c r="X41" i="26" s="1"/>
  <c r="U27" i="26"/>
  <c r="U51" i="26"/>
  <c r="U53" i="26"/>
  <c r="U59" i="26"/>
  <c r="T40" i="26"/>
  <c r="X40" i="26" s="1"/>
  <c r="U58" i="26"/>
  <c r="AA100" i="25"/>
  <c r="AB100" i="25"/>
  <c r="Z100" i="25"/>
  <c r="Z99" i="25"/>
  <c r="AA99" i="25"/>
  <c r="AB99" i="25"/>
  <c r="AB76" i="25"/>
  <c r="Z76" i="25"/>
  <c r="AA76" i="25"/>
  <c r="Z25" i="25"/>
  <c r="AA25" i="25" s="1"/>
  <c r="AB25" i="25"/>
  <c r="AB16" i="25"/>
  <c r="Z16" i="25"/>
  <c r="AA16" i="25" s="1"/>
  <c r="Z75" i="25"/>
  <c r="AB75" i="25"/>
  <c r="AA75" i="25"/>
  <c r="X61" i="25"/>
  <c r="AB96" i="25"/>
  <c r="Z96" i="25"/>
  <c r="AA96" i="25" s="1"/>
  <c r="AB26" i="25"/>
  <c r="Z26" i="25"/>
  <c r="AA26" i="25"/>
  <c r="AB40" i="25"/>
  <c r="Z40" i="25"/>
  <c r="AA40" i="25"/>
  <c r="Z89" i="25"/>
  <c r="AA89" i="25"/>
  <c r="AB89" i="25"/>
  <c r="X38" i="25"/>
  <c r="X71" i="25"/>
  <c r="AA64" i="25"/>
  <c r="AB64" i="25"/>
  <c r="Z64" i="25"/>
  <c r="X20" i="25"/>
  <c r="X23" i="25"/>
  <c r="X39" i="25"/>
  <c r="X91" i="25"/>
  <c r="X102" i="25"/>
  <c r="AA50" i="25"/>
  <c r="Z50" i="25"/>
  <c r="AB50" i="25"/>
  <c r="Z54" i="25"/>
  <c r="AA54" i="25"/>
  <c r="AB54" i="25"/>
  <c r="AB98" i="25"/>
  <c r="Z98" i="25"/>
  <c r="AA98" i="25" s="1"/>
  <c r="Z85" i="25"/>
  <c r="AA85" i="25"/>
  <c r="AB85" i="25"/>
  <c r="Z97" i="25"/>
  <c r="AA97" i="25" s="1"/>
  <c r="AB97" i="25"/>
  <c r="AB68" i="25"/>
  <c r="AA68" i="25"/>
  <c r="Z68" i="25"/>
  <c r="Z58" i="25"/>
  <c r="AA58" i="25"/>
  <c r="AB58" i="25"/>
  <c r="AA47" i="25"/>
  <c r="Z47" i="25"/>
  <c r="AB47" i="25"/>
  <c r="Z13" i="25"/>
  <c r="AA13" i="25" s="1"/>
  <c r="AB13" i="25"/>
  <c r="AB28" i="25"/>
  <c r="Z28" i="25"/>
  <c r="AA28" i="25" s="1"/>
  <c r="Z67" i="25"/>
  <c r="AA67" i="25"/>
  <c r="AB67" i="25"/>
  <c r="X14" i="25"/>
  <c r="X92" i="25"/>
  <c r="Z77" i="25"/>
  <c r="AA77" i="25"/>
  <c r="AB77" i="25"/>
  <c r="X30" i="25"/>
  <c r="X101" i="25"/>
  <c r="Z35" i="25"/>
  <c r="AA35" i="25" s="1"/>
  <c r="AB35" i="25"/>
  <c r="AA110" i="25"/>
  <c r="AB110" i="25"/>
  <c r="Z110" i="25"/>
  <c r="Z43" i="25"/>
  <c r="AA43" i="25" s="1"/>
  <c r="AB43" i="25"/>
  <c r="X88" i="25"/>
  <c r="Z105" i="25"/>
  <c r="AA105" i="25"/>
  <c r="AB105" i="25"/>
  <c r="X63" i="25"/>
  <c r="X104" i="25"/>
  <c r="X80" i="25"/>
  <c r="X62" i="25"/>
  <c r="X49" i="25"/>
  <c r="X41" i="25"/>
  <c r="Z19" i="25"/>
  <c r="AA19" i="25"/>
  <c r="AB19" i="25"/>
  <c r="Z46" i="25"/>
  <c r="AA46" i="25" s="1"/>
  <c r="AB46" i="25"/>
  <c r="AB72" i="25"/>
  <c r="Z72" i="25"/>
  <c r="AA72" i="25"/>
  <c r="Z11" i="25"/>
  <c r="AA11" i="25" s="1"/>
  <c r="AB11" i="25"/>
  <c r="X66" i="25"/>
  <c r="X59" i="25"/>
  <c r="AB84" i="25"/>
  <c r="Z84" i="25"/>
  <c r="AA84" i="25" s="1"/>
  <c r="AB34" i="25"/>
  <c r="Z34" i="25"/>
  <c r="AA34" i="25"/>
  <c r="Z109" i="25"/>
  <c r="AA109" i="25" s="1"/>
  <c r="AB109" i="25"/>
  <c r="Z81" i="25"/>
  <c r="AA81" i="25"/>
  <c r="AB81" i="25"/>
  <c r="AB74" i="25"/>
  <c r="AA74" i="25"/>
  <c r="Z74" i="25"/>
  <c r="AB90" i="25"/>
  <c r="Z90" i="25"/>
  <c r="AA90" i="25" s="1"/>
  <c r="Z93" i="25"/>
  <c r="AA93" i="25" s="1"/>
  <c r="AB93" i="25"/>
  <c r="AB55" i="25"/>
  <c r="Z55" i="25"/>
  <c r="AA55" i="25" s="1"/>
  <c r="Z17" i="25"/>
  <c r="AA17" i="25"/>
  <c r="AB17" i="25"/>
  <c r="X86" i="25"/>
  <c r="X18" i="25"/>
  <c r="Z87" i="25"/>
  <c r="AA87" i="25" s="1"/>
  <c r="AB87" i="25"/>
  <c r="Z78" i="25"/>
  <c r="AA78" i="25"/>
  <c r="AB78" i="25"/>
  <c r="X44" i="25"/>
  <c r="X31" i="25"/>
  <c r="AB70" i="25"/>
  <c r="Z70" i="25"/>
  <c r="AA70" i="25" s="1"/>
  <c r="AB22" i="25"/>
  <c r="Z22" i="25"/>
  <c r="AA22" i="25"/>
  <c r="X103" i="25"/>
  <c r="Z37" i="25"/>
  <c r="AA37" i="25"/>
  <c r="AB37" i="25"/>
  <c r="AB82" i="25"/>
  <c r="Z82" i="25"/>
  <c r="AA82" i="25" s="1"/>
  <c r="X69" i="25"/>
  <c r="Z33" i="25"/>
  <c r="AA33" i="25"/>
  <c r="AB33" i="25"/>
  <c r="X107" i="25"/>
  <c r="X42" i="25"/>
  <c r="X106" i="25"/>
  <c r="X12" i="25"/>
  <c r="B6" i="25" s="1"/>
  <c r="X108" i="25"/>
  <c r="Z45" i="25"/>
  <c r="AA45" i="25" s="1"/>
  <c r="AB45" i="25"/>
  <c r="X51" i="25"/>
  <c r="X15" i="25"/>
  <c r="X83" i="25"/>
  <c r="X24" i="25"/>
  <c r="X65" i="25"/>
  <c r="Z73" i="25"/>
  <c r="AB73" i="25"/>
  <c r="AA73" i="25"/>
  <c r="Z79" i="25"/>
  <c r="AA79" i="25" s="1"/>
  <c r="AB79" i="25"/>
  <c r="AA94" i="25"/>
  <c r="AB94" i="25"/>
  <c r="Z94" i="25"/>
  <c r="AB32" i="25"/>
  <c r="Z32" i="25"/>
  <c r="AA32" i="25" s="1"/>
  <c r="Z27" i="25"/>
  <c r="AA27" i="25"/>
  <c r="AB27" i="25"/>
  <c r="AA60" i="25"/>
  <c r="AB60" i="25"/>
  <c r="Z60" i="25"/>
  <c r="X52" i="25"/>
  <c r="Z21" i="25"/>
  <c r="AA21" i="25" s="1"/>
  <c r="AB21" i="25"/>
  <c r="Z29" i="25"/>
  <c r="AA29" i="25"/>
  <c r="AB29" i="25"/>
  <c r="X48" i="25"/>
  <c r="AB53" i="25"/>
  <c r="Z53" i="25"/>
  <c r="AA53" i="25" s="1"/>
  <c r="X95" i="25"/>
  <c r="X56" i="25"/>
  <c r="AB36" i="25"/>
  <c r="Z36" i="25"/>
  <c r="AA36" i="25"/>
  <c r="Z57" i="24"/>
  <c r="AA57" i="24"/>
  <c r="AB57" i="24"/>
  <c r="T103" i="24"/>
  <c r="X103" i="24" s="1"/>
  <c r="T41" i="24"/>
  <c r="X41" i="24" s="1"/>
  <c r="T19" i="24"/>
  <c r="X19" i="24" s="1"/>
  <c r="T30" i="24"/>
  <c r="X30" i="24" s="1"/>
  <c r="T94" i="24"/>
  <c r="X94" i="24" s="1"/>
  <c r="T15" i="24"/>
  <c r="X15" i="24" s="1"/>
  <c r="T28" i="24"/>
  <c r="X28" i="24" s="1"/>
  <c r="T23" i="24"/>
  <c r="X23" i="24" s="1"/>
  <c r="T78" i="24"/>
  <c r="X78" i="24" s="1"/>
  <c r="T74" i="24"/>
  <c r="X74" i="24" s="1"/>
  <c r="T71" i="24"/>
  <c r="X71" i="24" s="1"/>
  <c r="T38" i="24"/>
  <c r="X38" i="24" s="1"/>
  <c r="T31" i="24"/>
  <c r="X31" i="24" s="1"/>
  <c r="T49" i="24"/>
  <c r="X49" i="24" s="1"/>
  <c r="T104" i="24"/>
  <c r="X104" i="24" s="1"/>
  <c r="T58" i="24"/>
  <c r="X58" i="24" s="1"/>
  <c r="T97" i="24"/>
  <c r="X97" i="24" s="1"/>
  <c r="T83" i="24"/>
  <c r="X83" i="24" s="1"/>
  <c r="T34" i="24"/>
  <c r="X34" i="24" s="1"/>
  <c r="T65" i="24"/>
  <c r="X65" i="24" s="1"/>
  <c r="T98" i="24"/>
  <c r="X98" i="24" s="1"/>
  <c r="T24" i="24"/>
  <c r="X24" i="24" s="1"/>
  <c r="T81" i="24"/>
  <c r="X81" i="24" s="1"/>
  <c r="T50" i="24"/>
  <c r="X50" i="24" s="1"/>
  <c r="T105" i="24"/>
  <c r="X105" i="24" s="1"/>
  <c r="T96" i="24"/>
  <c r="X96" i="24" s="1"/>
  <c r="Z107" i="24"/>
  <c r="AA107" i="24" s="1"/>
  <c r="AB107" i="24"/>
  <c r="AB88" i="24"/>
  <c r="Z88" i="24"/>
  <c r="AA88" i="24" s="1"/>
  <c r="Z67" i="24"/>
  <c r="AA67" i="24"/>
  <c r="AB67" i="24"/>
  <c r="Z93" i="24"/>
  <c r="AA93" i="24"/>
  <c r="AB93" i="24"/>
  <c r="Z21" i="24"/>
  <c r="AA21" i="24" s="1"/>
  <c r="AB21" i="24"/>
  <c r="Z89" i="24"/>
  <c r="AA89" i="24"/>
  <c r="AB89" i="24"/>
  <c r="Z108" i="24"/>
  <c r="AA108" i="24" s="1"/>
  <c r="AB108" i="24"/>
  <c r="T16" i="24"/>
  <c r="X16" i="24" s="1"/>
  <c r="T101" i="24"/>
  <c r="X101" i="24" s="1"/>
  <c r="T68" i="24"/>
  <c r="X68" i="24" s="1"/>
  <c r="T63" i="24"/>
  <c r="X63" i="24" s="1"/>
  <c r="T75" i="24"/>
  <c r="X75" i="24" s="1"/>
  <c r="T62" i="24"/>
  <c r="X62" i="24" s="1"/>
  <c r="T110" i="24"/>
  <c r="X110" i="24" s="1"/>
  <c r="T54" i="24"/>
  <c r="X54" i="24" s="1"/>
  <c r="T36" i="24"/>
  <c r="X36" i="24" s="1"/>
  <c r="T32" i="24"/>
  <c r="X32" i="24" s="1"/>
  <c r="T109" i="24"/>
  <c r="X109" i="24" s="1"/>
  <c r="T44" i="24"/>
  <c r="X44" i="24" s="1"/>
  <c r="T22" i="24"/>
  <c r="X22" i="24" s="1"/>
  <c r="T26" i="24"/>
  <c r="X26" i="24" s="1"/>
  <c r="T84" i="24"/>
  <c r="X84" i="24" s="1"/>
  <c r="T56" i="24"/>
  <c r="X56" i="24" s="1"/>
  <c r="T13" i="24"/>
  <c r="X13" i="24" s="1"/>
  <c r="T45" i="24"/>
  <c r="X45" i="24" s="1"/>
  <c r="T47" i="24"/>
  <c r="X47" i="24" s="1"/>
  <c r="T64" i="24"/>
  <c r="X64" i="24" s="1"/>
  <c r="T72" i="24"/>
  <c r="X72" i="24" s="1"/>
  <c r="T86" i="24"/>
  <c r="X86" i="24" s="1"/>
  <c r="T51" i="24"/>
  <c r="X51" i="24" s="1"/>
  <c r="T35" i="24"/>
  <c r="X35" i="24" s="1"/>
  <c r="T43" i="24"/>
  <c r="X43" i="24" s="1"/>
  <c r="T20" i="24"/>
  <c r="X20" i="24" s="1"/>
  <c r="T11" i="24"/>
  <c r="X11" i="24" s="1"/>
  <c r="T100" i="24"/>
  <c r="X100" i="24" s="1"/>
  <c r="T52" i="24"/>
  <c r="X52" i="24" s="1"/>
  <c r="T14" i="24"/>
  <c r="X14" i="24" s="1"/>
  <c r="T77" i="24"/>
  <c r="X77" i="24" s="1"/>
  <c r="T99" i="24"/>
  <c r="X99" i="24" s="1"/>
  <c r="T53" i="24"/>
  <c r="X53" i="24" s="1"/>
  <c r="T42" i="24"/>
  <c r="X42" i="24" s="1"/>
  <c r="T73" i="24"/>
  <c r="X73" i="24" s="1"/>
  <c r="T79" i="24"/>
  <c r="X79" i="24" s="1"/>
  <c r="T92" i="24"/>
  <c r="X92" i="24" s="1"/>
  <c r="T17" i="24"/>
  <c r="X17" i="24" s="1"/>
  <c r="T60" i="24"/>
  <c r="X60" i="24" s="1"/>
  <c r="T33" i="24"/>
  <c r="X33" i="24" s="1"/>
  <c r="T59" i="24"/>
  <c r="X59" i="24" s="1"/>
  <c r="T39" i="24"/>
  <c r="X39" i="24" s="1"/>
  <c r="T61" i="24"/>
  <c r="X61" i="24" s="1"/>
  <c r="T46" i="24"/>
  <c r="X46" i="24" s="1"/>
  <c r="T87" i="24"/>
  <c r="X87" i="24" s="1"/>
  <c r="T76" i="24"/>
  <c r="X76" i="24" s="1"/>
  <c r="T91" i="24"/>
  <c r="X91" i="24" s="1"/>
  <c r="T80" i="24"/>
  <c r="X80" i="24" s="1"/>
  <c r="T90" i="24"/>
  <c r="X90" i="24" s="1"/>
  <c r="T82" i="24"/>
  <c r="X82" i="24" s="1"/>
  <c r="T27" i="24"/>
  <c r="X27" i="24" s="1"/>
  <c r="T106" i="24"/>
  <c r="X106" i="24" s="1"/>
  <c r="T95" i="24"/>
  <c r="X95" i="24" s="1"/>
  <c r="T37" i="24"/>
  <c r="X37" i="24" s="1"/>
  <c r="Z70" i="24"/>
  <c r="AA70" i="24"/>
  <c r="AB70" i="24"/>
  <c r="Z85" i="24"/>
  <c r="AA85" i="24" s="1"/>
  <c r="AB85" i="24"/>
  <c r="Z25" i="24"/>
  <c r="AA25" i="24"/>
  <c r="AB25" i="24"/>
  <c r="AB18" i="24"/>
  <c r="Z18" i="24"/>
  <c r="AA18" i="24"/>
  <c r="Z29" i="24"/>
  <c r="AA29" i="24"/>
  <c r="AB29" i="24"/>
  <c r="AB12" i="24"/>
  <c r="Z12" i="24"/>
  <c r="AA12" i="24"/>
  <c r="X69" i="24"/>
  <c r="Z55" i="24"/>
  <c r="AA55" i="24" s="1"/>
  <c r="AB55" i="24"/>
  <c r="Z66" i="24"/>
  <c r="AA66" i="24"/>
  <c r="AB66" i="24"/>
  <c r="Z48" i="24"/>
  <c r="AA48" i="24" s="1"/>
  <c r="AB48" i="24"/>
  <c r="AB40" i="24"/>
  <c r="Z40" i="24"/>
  <c r="AA40" i="24" s="1"/>
  <c r="AA102" i="24"/>
  <c r="AB102" i="24"/>
  <c r="Z102" i="24"/>
  <c r="AB98" i="23"/>
  <c r="Z98" i="23"/>
  <c r="AA98" i="23"/>
  <c r="AB108" i="23"/>
  <c r="Z108" i="23"/>
  <c r="AA108" i="23" s="1"/>
  <c r="AA40" i="23"/>
  <c r="Z40" i="23"/>
  <c r="AB40" i="23"/>
  <c r="Z103" i="23"/>
  <c r="AA103" i="23"/>
  <c r="AB103" i="23"/>
  <c r="AA60" i="23"/>
  <c r="AB60" i="23"/>
  <c r="Z60" i="23"/>
  <c r="Z35" i="23"/>
  <c r="AA35" i="23"/>
  <c r="AB35" i="23"/>
  <c r="X43" i="23"/>
  <c r="Z65" i="23"/>
  <c r="AA65" i="23" s="1"/>
  <c r="AB65" i="23"/>
  <c r="X31" i="23"/>
  <c r="X82" i="23"/>
  <c r="AB16" i="23"/>
  <c r="Z16" i="23"/>
  <c r="AA16" i="23"/>
  <c r="X87" i="23"/>
  <c r="AA64" i="23"/>
  <c r="AB64" i="23"/>
  <c r="Z64" i="23"/>
  <c r="X13" i="23"/>
  <c r="X78" i="23"/>
  <c r="X21" i="23"/>
  <c r="X30" i="23"/>
  <c r="X102" i="23"/>
  <c r="X80" i="23"/>
  <c r="X36" i="23"/>
  <c r="X38" i="23"/>
  <c r="Z45" i="23"/>
  <c r="AA45" i="23" s="1"/>
  <c r="AB45" i="23"/>
  <c r="Z63" i="23"/>
  <c r="AA63" i="23" s="1"/>
  <c r="AB63" i="23"/>
  <c r="X34" i="23"/>
  <c r="Z101" i="23"/>
  <c r="AA101" i="23" s="1"/>
  <c r="AB101" i="23"/>
  <c r="Z23" i="23"/>
  <c r="AA23" i="23"/>
  <c r="AB23" i="23"/>
  <c r="X110" i="23"/>
  <c r="X32" i="23"/>
  <c r="Z79" i="23"/>
  <c r="AB79" i="23"/>
  <c r="AA79" i="23"/>
  <c r="AB28" i="23"/>
  <c r="Z28" i="23"/>
  <c r="AA28" i="23" s="1"/>
  <c r="X54" i="23"/>
  <c r="X85" i="23"/>
  <c r="X106" i="23"/>
  <c r="X92" i="23"/>
  <c r="X77" i="23"/>
  <c r="X46" i="23"/>
  <c r="X97" i="23"/>
  <c r="X55" i="23"/>
  <c r="Z99" i="23"/>
  <c r="AA99" i="23"/>
  <c r="AB99" i="23"/>
  <c r="AB93" i="23"/>
  <c r="Z93" i="23"/>
  <c r="AA93" i="23" s="1"/>
  <c r="AA56" i="23"/>
  <c r="AB56" i="23"/>
  <c r="Z56" i="23"/>
  <c r="Z73" i="23"/>
  <c r="AA73" i="23" s="1"/>
  <c r="AB73" i="23"/>
  <c r="Z61" i="23"/>
  <c r="AA61" i="23" s="1"/>
  <c r="AB61" i="23"/>
  <c r="X18" i="23"/>
  <c r="Z109" i="23"/>
  <c r="AA109" i="23"/>
  <c r="AB109" i="23"/>
  <c r="Z48" i="23"/>
  <c r="AA48" i="23" s="1"/>
  <c r="AB48" i="23"/>
  <c r="X91" i="23"/>
  <c r="Z19" i="23"/>
  <c r="AA19" i="23" s="1"/>
  <c r="AB19" i="23"/>
  <c r="Z29" i="23"/>
  <c r="AA29" i="23" s="1"/>
  <c r="AB29" i="23"/>
  <c r="X94" i="23"/>
  <c r="X11" i="23"/>
  <c r="X95" i="23"/>
  <c r="X83" i="23"/>
  <c r="X42" i="23"/>
  <c r="AA44" i="23"/>
  <c r="Z44" i="23"/>
  <c r="AB44" i="23"/>
  <c r="X74" i="23"/>
  <c r="Z57" i="23"/>
  <c r="AA57" i="23" s="1"/>
  <c r="AB57" i="23"/>
  <c r="Z71" i="23"/>
  <c r="AA71" i="23" s="1"/>
  <c r="AB71" i="23"/>
  <c r="X100" i="23"/>
  <c r="X88" i="23"/>
  <c r="X26" i="23"/>
  <c r="X107" i="23"/>
  <c r="X104" i="23"/>
  <c r="AA49" i="23"/>
  <c r="Z49" i="23"/>
  <c r="AB49" i="23"/>
  <c r="AA68" i="23"/>
  <c r="Z68" i="23"/>
  <c r="AB68" i="23"/>
  <c r="AB58" i="23"/>
  <c r="Z58" i="23"/>
  <c r="AA58" i="23" s="1"/>
  <c r="Z70" i="23"/>
  <c r="AA70" i="23" s="1"/>
  <c r="AB70" i="23"/>
  <c r="Z39" i="23"/>
  <c r="AA39" i="23" s="1"/>
  <c r="AB39" i="23"/>
  <c r="Z37" i="23"/>
  <c r="AA37" i="23"/>
  <c r="AB37" i="23"/>
  <c r="X53" i="23"/>
  <c r="Z17" i="23"/>
  <c r="AA17" i="23" s="1"/>
  <c r="AB17" i="23"/>
  <c r="AB12" i="23"/>
  <c r="Z12" i="23"/>
  <c r="AA12" i="23"/>
  <c r="X47" i="23"/>
  <c r="Z59" i="23"/>
  <c r="AA59" i="23"/>
  <c r="AB59" i="23"/>
  <c r="X14" i="23"/>
  <c r="X24" i="23"/>
  <c r="Z86" i="23"/>
  <c r="AA86" i="23" s="1"/>
  <c r="AB86" i="23"/>
  <c r="Z90" i="23"/>
  <c r="AB90" i="23"/>
  <c r="AA90" i="23"/>
  <c r="Z15" i="23"/>
  <c r="AA15" i="23" s="1"/>
  <c r="AB15" i="23"/>
  <c r="X96" i="23"/>
  <c r="Z33" i="23"/>
  <c r="AA33" i="23" s="1"/>
  <c r="AB33" i="23"/>
  <c r="X89" i="23"/>
  <c r="X84" i="23"/>
  <c r="X51" i="23"/>
  <c r="X75" i="23"/>
  <c r="X76" i="23"/>
  <c r="X27" i="23"/>
  <c r="X66" i="23"/>
  <c r="X52" i="23"/>
  <c r="AB20" i="23"/>
  <c r="Z20" i="23"/>
  <c r="AA20" i="23" s="1"/>
  <c r="Z69" i="23"/>
  <c r="AA69" i="23"/>
  <c r="AB69" i="23"/>
  <c r="Z81" i="23"/>
  <c r="AB81" i="23"/>
  <c r="AA81" i="23"/>
  <c r="AA62" i="23"/>
  <c r="AB62" i="23"/>
  <c r="Z62" i="23"/>
  <c r="AB22" i="23"/>
  <c r="Z22" i="23"/>
  <c r="AA22" i="23" s="1"/>
  <c r="Z25" i="23"/>
  <c r="AA25" i="23" s="1"/>
  <c r="AB25" i="23"/>
  <c r="AA50" i="23"/>
  <c r="Z50" i="23"/>
  <c r="AB50" i="23"/>
  <c r="Z105" i="23"/>
  <c r="AA105" i="23" s="1"/>
  <c r="AB105" i="23"/>
  <c r="X41" i="23"/>
  <c r="Z67" i="23"/>
  <c r="AA67" i="23" s="1"/>
  <c r="AB67" i="23"/>
  <c r="X72" i="23"/>
  <c r="X110" i="30" l="1"/>
  <c r="X31" i="30"/>
  <c r="X41" i="30"/>
  <c r="X28" i="30"/>
  <c r="X23" i="30"/>
  <c r="AB23" i="30" s="1"/>
  <c r="X82" i="30"/>
  <c r="Z82" i="30" s="1"/>
  <c r="AA82" i="30" s="1"/>
  <c r="X90" i="30"/>
  <c r="X44" i="30"/>
  <c r="Z91" i="30"/>
  <c r="AA91" i="30" s="1"/>
  <c r="AB91" i="30"/>
  <c r="Z78" i="30"/>
  <c r="AA78" i="30" s="1"/>
  <c r="AB78" i="30"/>
  <c r="Z69" i="30"/>
  <c r="AA69" i="30" s="1"/>
  <c r="AB69" i="30"/>
  <c r="Z98" i="30"/>
  <c r="AA98" i="30" s="1"/>
  <c r="AB98" i="30"/>
  <c r="Z25" i="30"/>
  <c r="AA25" i="30"/>
  <c r="AB25" i="30"/>
  <c r="AB88" i="30"/>
  <c r="Z88" i="30"/>
  <c r="AA88" i="30" s="1"/>
  <c r="X73" i="30"/>
  <c r="Z23" i="30"/>
  <c r="AA23" i="30" s="1"/>
  <c r="X71" i="30"/>
  <c r="X96" i="30"/>
  <c r="X57" i="30"/>
  <c r="AB28" i="30"/>
  <c r="Z28" i="30"/>
  <c r="AA28" i="30"/>
  <c r="Z100" i="30"/>
  <c r="AA100" i="30" s="1"/>
  <c r="AB100" i="30"/>
  <c r="Z104" i="30"/>
  <c r="AA104" i="30" s="1"/>
  <c r="AB104" i="30"/>
  <c r="AB34" i="30"/>
  <c r="Z34" i="30"/>
  <c r="AA34" i="30" s="1"/>
  <c r="X102" i="30"/>
  <c r="AB22" i="30"/>
  <c r="Z22" i="30"/>
  <c r="AA22" i="30" s="1"/>
  <c r="Z60" i="30"/>
  <c r="AA60" i="30" s="1"/>
  <c r="AB60" i="30"/>
  <c r="Z58" i="30"/>
  <c r="AA58" i="30" s="1"/>
  <c r="AB58" i="30"/>
  <c r="AA93" i="30"/>
  <c r="Z93" i="30"/>
  <c r="AB93" i="30"/>
  <c r="Z83" i="30"/>
  <c r="AA83" i="30"/>
  <c r="AB83" i="30"/>
  <c r="Z74" i="30"/>
  <c r="AA74" i="30" s="1"/>
  <c r="AB74" i="30"/>
  <c r="AB82" i="30"/>
  <c r="Z90" i="30"/>
  <c r="AA90" i="30" s="1"/>
  <c r="AB90" i="30"/>
  <c r="Z47" i="30"/>
  <c r="AA47" i="30"/>
  <c r="AB47" i="30"/>
  <c r="X109" i="30"/>
  <c r="Z49" i="30"/>
  <c r="AA49" i="30"/>
  <c r="AB49" i="30"/>
  <c r="X43" i="30"/>
  <c r="X33" i="30"/>
  <c r="X68" i="30"/>
  <c r="X62" i="30"/>
  <c r="AB40" i="30"/>
  <c r="Z40" i="30"/>
  <c r="AA40" i="30"/>
  <c r="Z89" i="30"/>
  <c r="AA89" i="30" s="1"/>
  <c r="AB89" i="30"/>
  <c r="Z13" i="30"/>
  <c r="AA13" i="30" s="1"/>
  <c r="AB13" i="30"/>
  <c r="X16" i="30"/>
  <c r="X99" i="30"/>
  <c r="X15" i="30"/>
  <c r="AB84" i="30"/>
  <c r="Z84" i="30"/>
  <c r="AA84" i="30" s="1"/>
  <c r="Z11" i="30"/>
  <c r="AA11" i="30"/>
  <c r="AB11" i="30"/>
  <c r="Z75" i="30"/>
  <c r="AA75" i="30" s="1"/>
  <c r="AB75" i="30"/>
  <c r="X108" i="30"/>
  <c r="X48" i="30"/>
  <c r="X95" i="30"/>
  <c r="AB38" i="30"/>
  <c r="Z38" i="30"/>
  <c r="AA38" i="30" s="1"/>
  <c r="Z63" i="30"/>
  <c r="AA63" i="30" s="1"/>
  <c r="AB63" i="30"/>
  <c r="Z72" i="30"/>
  <c r="AA72" i="30" s="1"/>
  <c r="AB72" i="30"/>
  <c r="AA65" i="30"/>
  <c r="Z65" i="30"/>
  <c r="AB65" i="30"/>
  <c r="Z79" i="30"/>
  <c r="AA79" i="30" s="1"/>
  <c r="AB79" i="30"/>
  <c r="Z50" i="30"/>
  <c r="AA50" i="30" s="1"/>
  <c r="AB50" i="30"/>
  <c r="Z110" i="30"/>
  <c r="AA110" i="30" s="1"/>
  <c r="AB110" i="30"/>
  <c r="Z31" i="30"/>
  <c r="AA31" i="30" s="1"/>
  <c r="AB31" i="30"/>
  <c r="AA77" i="30"/>
  <c r="Z77" i="30"/>
  <c r="AB77" i="30"/>
  <c r="Z44" i="30"/>
  <c r="AA44" i="30" s="1"/>
  <c r="AB44" i="30"/>
  <c r="X97" i="30"/>
  <c r="AB30" i="30"/>
  <c r="Z30" i="30"/>
  <c r="AA30" i="30" s="1"/>
  <c r="X66" i="30"/>
  <c r="X37" i="30"/>
  <c r="X20" i="30"/>
  <c r="X101" i="30"/>
  <c r="AB32" i="30"/>
  <c r="Z32" i="30"/>
  <c r="AA32" i="30"/>
  <c r="Z56" i="30"/>
  <c r="AA56" i="30" s="1"/>
  <c r="AB56" i="30"/>
  <c r="X12" i="30"/>
  <c r="X92" i="30"/>
  <c r="X36" i="30"/>
  <c r="X52" i="30"/>
  <c r="X54" i="30"/>
  <c r="AB24" i="30"/>
  <c r="Z24" i="30"/>
  <c r="AA24" i="30" s="1"/>
  <c r="Z81" i="30"/>
  <c r="AA81" i="30"/>
  <c r="AB81" i="30"/>
  <c r="Z70" i="30"/>
  <c r="AA70" i="30" s="1"/>
  <c r="AB70" i="30"/>
  <c r="X14" i="30"/>
  <c r="X105" i="30"/>
  <c r="Z59" i="30"/>
  <c r="AA59" i="30" s="1"/>
  <c r="AB59" i="30"/>
  <c r="Z19" i="30"/>
  <c r="AA19" i="30" s="1"/>
  <c r="AB19" i="30"/>
  <c r="X67" i="30"/>
  <c r="X17" i="30"/>
  <c r="Z27" i="30"/>
  <c r="AA27" i="30" s="1"/>
  <c r="AB27" i="30"/>
  <c r="X55" i="30"/>
  <c r="X80" i="30"/>
  <c r="X53" i="30"/>
  <c r="X76" i="30"/>
  <c r="X46" i="30"/>
  <c r="Z107" i="30"/>
  <c r="AA107" i="30" s="1"/>
  <c r="AB107" i="30"/>
  <c r="X45" i="30"/>
  <c r="AB42" i="30"/>
  <c r="Z42" i="30"/>
  <c r="AA42" i="30" s="1"/>
  <c r="X26" i="30"/>
  <c r="X103" i="30"/>
  <c r="X61" i="30"/>
  <c r="AB18" i="30"/>
  <c r="Z18" i="30"/>
  <c r="AA18" i="30" s="1"/>
  <c r="Z29" i="30"/>
  <c r="AA29" i="30" s="1"/>
  <c r="AB29" i="30"/>
  <c r="Z94" i="30"/>
  <c r="AA94" i="30" s="1"/>
  <c r="AB94" i="30"/>
  <c r="Z39" i="30"/>
  <c r="AA39" i="30" s="1"/>
  <c r="AB39" i="30"/>
  <c r="Z85" i="30"/>
  <c r="AA85" i="30"/>
  <c r="AB85" i="30"/>
  <c r="Z35" i="30"/>
  <c r="AA35" i="30" s="1"/>
  <c r="AB35" i="30"/>
  <c r="Z106" i="30"/>
  <c r="AA106" i="30" s="1"/>
  <c r="AB106" i="30"/>
  <c r="Z87" i="30"/>
  <c r="AA87" i="30" s="1"/>
  <c r="AB87" i="30"/>
  <c r="AB86" i="30"/>
  <c r="Z86" i="30"/>
  <c r="AA86" i="30" s="1"/>
  <c r="X64" i="30"/>
  <c r="Z41" i="30"/>
  <c r="AA41" i="30" s="1"/>
  <c r="AB41" i="30"/>
  <c r="Z51" i="30"/>
  <c r="AA51" i="30" s="1"/>
  <c r="AB51" i="30"/>
  <c r="Z25" i="29"/>
  <c r="AA25" i="29"/>
  <c r="AB25" i="29"/>
  <c r="AB14" i="29"/>
  <c r="Z14" i="29"/>
  <c r="AA14" i="29" s="1"/>
  <c r="Z60" i="29"/>
  <c r="AA60" i="29"/>
  <c r="AB60" i="29"/>
  <c r="AB88" i="29"/>
  <c r="Z88" i="29"/>
  <c r="AA88" i="29" s="1"/>
  <c r="Z102" i="29"/>
  <c r="AA102" i="29" s="1"/>
  <c r="AB102" i="29"/>
  <c r="AB18" i="29"/>
  <c r="Z18" i="29"/>
  <c r="AA18" i="29"/>
  <c r="AA63" i="29"/>
  <c r="Z63" i="29"/>
  <c r="AB63" i="29"/>
  <c r="AB99" i="29"/>
  <c r="Z99" i="29"/>
  <c r="AA99" i="29"/>
  <c r="Z70" i="29"/>
  <c r="AA70" i="29"/>
  <c r="AB70" i="29"/>
  <c r="AB73" i="29"/>
  <c r="Z73" i="29"/>
  <c r="AA73" i="29" s="1"/>
  <c r="AB42" i="29"/>
  <c r="Z42" i="29"/>
  <c r="AA42" i="29"/>
  <c r="AB30" i="29"/>
  <c r="Z30" i="29"/>
  <c r="AA30" i="29" s="1"/>
  <c r="Z104" i="29"/>
  <c r="AA104" i="29" s="1"/>
  <c r="AB104" i="29"/>
  <c r="Z49" i="29"/>
  <c r="AA49" i="29" s="1"/>
  <c r="AB49" i="29"/>
  <c r="Z21" i="29"/>
  <c r="AA21" i="29" s="1"/>
  <c r="AB21" i="29"/>
  <c r="AB98" i="29"/>
  <c r="Z98" i="29"/>
  <c r="AA98" i="29"/>
  <c r="Z76" i="29"/>
  <c r="AA76" i="29"/>
  <c r="AB76" i="29"/>
  <c r="AB12" i="29"/>
  <c r="Z12" i="29"/>
  <c r="AA12" i="29" s="1"/>
  <c r="Z37" i="29"/>
  <c r="AA37" i="29"/>
  <c r="AB37" i="29"/>
  <c r="Z29" i="29"/>
  <c r="AA29" i="29" s="1"/>
  <c r="AB29" i="29"/>
  <c r="AB40" i="29"/>
  <c r="Z40" i="29"/>
  <c r="AA40" i="29"/>
  <c r="AB84" i="29"/>
  <c r="Z84" i="29"/>
  <c r="AA84" i="29"/>
  <c r="AB90" i="29"/>
  <c r="Z90" i="29"/>
  <c r="AA90" i="29"/>
  <c r="Z44" i="29"/>
  <c r="AA44" i="29"/>
  <c r="AB44" i="29"/>
  <c r="AB100" i="29"/>
  <c r="Z100" i="29"/>
  <c r="AA100" i="29" s="1"/>
  <c r="AB34" i="29"/>
  <c r="Z34" i="29"/>
  <c r="AA34" i="29" s="1"/>
  <c r="Z57" i="29"/>
  <c r="AA57" i="29" s="1"/>
  <c r="AB57" i="29"/>
  <c r="AB91" i="29"/>
  <c r="Z91" i="29"/>
  <c r="AA91" i="29" s="1"/>
  <c r="AB82" i="29"/>
  <c r="Z82" i="29"/>
  <c r="AA82" i="29"/>
  <c r="X13" i="29"/>
  <c r="Z74" i="29"/>
  <c r="AA74" i="29"/>
  <c r="AB74" i="29"/>
  <c r="AB38" i="29"/>
  <c r="Z38" i="29"/>
  <c r="AA38" i="29" s="1"/>
  <c r="AB65" i="29"/>
  <c r="Z65" i="29"/>
  <c r="AA65" i="29" s="1"/>
  <c r="X46" i="29"/>
  <c r="X107" i="29"/>
  <c r="Z54" i="29"/>
  <c r="AA54" i="29"/>
  <c r="AB54" i="29"/>
  <c r="AB69" i="29"/>
  <c r="Z69" i="29"/>
  <c r="AA69" i="29" s="1"/>
  <c r="X89" i="29"/>
  <c r="X110" i="29"/>
  <c r="Z43" i="29"/>
  <c r="AA43" i="29"/>
  <c r="AB43" i="29"/>
  <c r="X51" i="29"/>
  <c r="X16" i="29"/>
  <c r="AB28" i="29"/>
  <c r="Z28" i="29"/>
  <c r="AA28" i="29" s="1"/>
  <c r="X50" i="29"/>
  <c r="Z68" i="29"/>
  <c r="AA68" i="29" s="1"/>
  <c r="AB68" i="29"/>
  <c r="Z39" i="29"/>
  <c r="AA39" i="29"/>
  <c r="AB39" i="29"/>
  <c r="Z17" i="29"/>
  <c r="AA17" i="29" s="1"/>
  <c r="AB17" i="29"/>
  <c r="Z105" i="29"/>
  <c r="AA105" i="29"/>
  <c r="AB105" i="29"/>
  <c r="AB67" i="29"/>
  <c r="Z67" i="29"/>
  <c r="AA67" i="29" s="1"/>
  <c r="X19" i="29"/>
  <c r="AB36" i="29"/>
  <c r="Z36" i="29"/>
  <c r="AA36" i="29"/>
  <c r="X97" i="29"/>
  <c r="Z27" i="29"/>
  <c r="AA27" i="29"/>
  <c r="AB27" i="29"/>
  <c r="X93" i="29"/>
  <c r="Z103" i="29"/>
  <c r="AA103" i="29" s="1"/>
  <c r="AB103" i="29"/>
  <c r="Z23" i="29"/>
  <c r="AA23" i="29"/>
  <c r="AB23" i="29"/>
  <c r="X78" i="29"/>
  <c r="Z52" i="29"/>
  <c r="AA52" i="29"/>
  <c r="AB52" i="29"/>
  <c r="X26" i="29"/>
  <c r="Z47" i="29"/>
  <c r="AA47" i="29" s="1"/>
  <c r="AB47" i="29"/>
  <c r="X55" i="29"/>
  <c r="X32" i="29"/>
  <c r="X15" i="29"/>
  <c r="B6" i="29" s="1"/>
  <c r="X92" i="29"/>
  <c r="X35" i="29"/>
  <c r="AB87" i="29"/>
  <c r="Z87" i="29"/>
  <c r="AA87" i="29"/>
  <c r="AB59" i="29"/>
  <c r="Z59" i="29"/>
  <c r="AA59" i="29" s="1"/>
  <c r="AB101" i="29"/>
  <c r="Z101" i="29"/>
  <c r="AA101" i="29"/>
  <c r="Z56" i="29"/>
  <c r="AA56" i="29"/>
  <c r="AB56" i="29"/>
  <c r="Z11" i="29"/>
  <c r="AA11" i="29"/>
  <c r="AB95" i="29"/>
  <c r="Z95" i="29"/>
  <c r="AA95" i="29"/>
  <c r="Z48" i="29"/>
  <c r="AA48" i="29" s="1"/>
  <c r="AB48" i="29"/>
  <c r="AB86" i="29"/>
  <c r="Z86" i="29"/>
  <c r="AA86" i="29"/>
  <c r="AB83" i="29"/>
  <c r="Z83" i="29"/>
  <c r="AA83" i="29" s="1"/>
  <c r="X53" i="29"/>
  <c r="X61" i="29"/>
  <c r="AA85" i="29"/>
  <c r="AB85" i="29"/>
  <c r="Z85" i="29"/>
  <c r="AB75" i="29"/>
  <c r="Z75" i="29"/>
  <c r="AA75" i="29" s="1"/>
  <c r="Z58" i="29"/>
  <c r="AA58" i="29"/>
  <c r="AB58" i="29"/>
  <c r="AB94" i="29"/>
  <c r="Z94" i="29"/>
  <c r="AA94" i="29"/>
  <c r="Z80" i="29"/>
  <c r="AA80" i="29" s="1"/>
  <c r="AB80" i="29"/>
  <c r="Z64" i="29"/>
  <c r="AA64" i="29" s="1"/>
  <c r="AB64" i="29"/>
  <c r="Z108" i="29"/>
  <c r="AA108" i="29"/>
  <c r="AB108" i="29"/>
  <c r="Z31" i="29"/>
  <c r="AA31" i="29" s="1"/>
  <c r="AB31" i="29"/>
  <c r="Z62" i="29"/>
  <c r="AA62" i="29" s="1"/>
  <c r="AB62" i="29"/>
  <c r="Z109" i="29"/>
  <c r="AA109" i="29"/>
  <c r="AB109" i="29"/>
  <c r="AB96" i="29"/>
  <c r="Z96" i="29"/>
  <c r="AA96" i="29" s="1"/>
  <c r="AB77" i="29"/>
  <c r="Z77" i="29"/>
  <c r="AA77" i="29"/>
  <c r="AB20" i="29"/>
  <c r="Z20" i="29"/>
  <c r="AA20" i="29" s="1"/>
  <c r="AA45" i="29"/>
  <c r="Z45" i="29"/>
  <c r="AB45" i="29"/>
  <c r="X71" i="29"/>
  <c r="AB24" i="29"/>
  <c r="Z24" i="29"/>
  <c r="AA24" i="29" s="1"/>
  <c r="Z66" i="29"/>
  <c r="AA66" i="29"/>
  <c r="AB66" i="29"/>
  <c r="X79" i="29"/>
  <c r="Z72" i="29"/>
  <c r="AA72" i="29"/>
  <c r="AB72" i="29"/>
  <c r="X41" i="29"/>
  <c r="AB22" i="29"/>
  <c r="Z22" i="29"/>
  <c r="AA22" i="29" s="1"/>
  <c r="X33" i="29"/>
  <c r="X106" i="29"/>
  <c r="X81" i="29"/>
  <c r="AB101" i="28"/>
  <c r="Z101" i="28"/>
  <c r="AA101" i="28" s="1"/>
  <c r="Z85" i="28"/>
  <c r="AB85" i="28"/>
  <c r="AA85" i="28"/>
  <c r="Z59" i="28"/>
  <c r="AA59" i="28" s="1"/>
  <c r="AB59" i="28"/>
  <c r="AB16" i="28"/>
  <c r="Z16" i="28"/>
  <c r="AA16" i="28"/>
  <c r="AB24" i="28"/>
  <c r="Z24" i="28"/>
  <c r="AA24" i="28" s="1"/>
  <c r="Z78" i="28"/>
  <c r="AA78" i="28" s="1"/>
  <c r="AB78" i="28"/>
  <c r="AB44" i="28"/>
  <c r="Z44" i="28"/>
  <c r="AA44" i="28" s="1"/>
  <c r="AB34" i="28"/>
  <c r="Z34" i="28"/>
  <c r="AA34" i="28" s="1"/>
  <c r="Z21" i="28"/>
  <c r="AA21" i="28"/>
  <c r="AB21" i="28"/>
  <c r="Z15" i="28"/>
  <c r="AA15" i="28" s="1"/>
  <c r="AB15" i="28"/>
  <c r="Z69" i="28"/>
  <c r="AA69" i="28" s="1"/>
  <c r="AB69" i="28"/>
  <c r="Z64" i="28"/>
  <c r="AA64" i="28" s="1"/>
  <c r="AB64" i="28"/>
  <c r="AB14" i="28"/>
  <c r="Z14" i="28"/>
  <c r="AA14" i="28" s="1"/>
  <c r="Z62" i="28"/>
  <c r="AB62" i="28"/>
  <c r="AA62" i="28"/>
  <c r="Z35" i="28"/>
  <c r="AA35" i="28" s="1"/>
  <c r="AB35" i="28"/>
  <c r="Z61" i="28"/>
  <c r="AA61" i="28" s="1"/>
  <c r="AB61" i="28"/>
  <c r="AB30" i="28"/>
  <c r="Z30" i="28"/>
  <c r="AA30" i="28" s="1"/>
  <c r="Z48" i="28"/>
  <c r="AA48" i="28"/>
  <c r="AB48" i="28"/>
  <c r="Z96" i="28"/>
  <c r="AA96" i="28"/>
  <c r="AB96" i="28"/>
  <c r="AB18" i="28"/>
  <c r="Z18" i="28"/>
  <c r="AA18" i="28" s="1"/>
  <c r="Z54" i="28"/>
  <c r="AA54" i="28"/>
  <c r="AB54" i="28"/>
  <c r="Z109" i="28"/>
  <c r="AA109" i="28" s="1"/>
  <c r="AB109" i="28"/>
  <c r="AB77" i="28"/>
  <c r="Z77" i="28"/>
  <c r="AA77" i="28"/>
  <c r="Z57" i="28"/>
  <c r="AA57" i="28" s="1"/>
  <c r="AB57" i="28"/>
  <c r="Z37" i="28"/>
  <c r="AA37" i="28"/>
  <c r="AB37" i="28"/>
  <c r="Z72" i="28"/>
  <c r="AB72" i="28"/>
  <c r="AA72" i="28"/>
  <c r="Z79" i="28"/>
  <c r="AA79" i="28"/>
  <c r="AB79" i="28"/>
  <c r="Z53" i="28"/>
  <c r="AA53" i="28" s="1"/>
  <c r="AB53" i="28"/>
  <c r="Z25" i="28"/>
  <c r="AA25" i="28"/>
  <c r="AB25" i="28"/>
  <c r="Z52" i="28"/>
  <c r="AA52" i="28" s="1"/>
  <c r="AB52" i="28"/>
  <c r="AB32" i="28"/>
  <c r="Z32" i="28"/>
  <c r="AA32" i="28"/>
  <c r="Z82" i="28"/>
  <c r="AA82" i="28" s="1"/>
  <c r="AB82" i="28"/>
  <c r="Z105" i="28"/>
  <c r="AA105" i="28"/>
  <c r="AB105" i="28"/>
  <c r="Z56" i="28"/>
  <c r="AA56" i="28"/>
  <c r="AB56" i="28"/>
  <c r="AB42" i="28"/>
  <c r="Z42" i="28"/>
  <c r="AA42" i="28" s="1"/>
  <c r="Z66" i="28"/>
  <c r="AA66" i="28" s="1"/>
  <c r="AB66" i="28"/>
  <c r="Z43" i="28"/>
  <c r="AA43" i="28"/>
  <c r="AB43" i="28"/>
  <c r="AB97" i="28"/>
  <c r="Z97" i="28"/>
  <c r="AA97" i="28"/>
  <c r="AB95" i="28"/>
  <c r="Z95" i="28"/>
  <c r="AA95" i="28"/>
  <c r="AB20" i="28"/>
  <c r="Z20" i="28"/>
  <c r="AA20" i="28"/>
  <c r="Z107" i="28"/>
  <c r="AA107" i="28"/>
  <c r="AB107" i="28"/>
  <c r="Z108" i="28"/>
  <c r="AA108" i="28"/>
  <c r="AB108" i="28"/>
  <c r="Z49" i="28"/>
  <c r="AA49" i="28"/>
  <c r="AB49" i="28"/>
  <c r="Z11" i="28"/>
  <c r="AA11" i="28" s="1"/>
  <c r="B6" i="28"/>
  <c r="AB11" i="28"/>
  <c r="Z31" i="28"/>
  <c r="AA31" i="28" s="1"/>
  <c r="AB31" i="28"/>
  <c r="Z39" i="28"/>
  <c r="AA39" i="28"/>
  <c r="AB39" i="28"/>
  <c r="Z83" i="28"/>
  <c r="AB83" i="28"/>
  <c r="AA83" i="28"/>
  <c r="Z70" i="28"/>
  <c r="AA70" i="28" s="1"/>
  <c r="AB70" i="28"/>
  <c r="AB38" i="28"/>
  <c r="Z38" i="28"/>
  <c r="AA38" i="28"/>
  <c r="Z55" i="28"/>
  <c r="AA55" i="28"/>
  <c r="AB55" i="28"/>
  <c r="Z89" i="28"/>
  <c r="AB89" i="28"/>
  <c r="AA89" i="28"/>
  <c r="AB75" i="28"/>
  <c r="Z75" i="28"/>
  <c r="AA75" i="28" s="1"/>
  <c r="AB36" i="28"/>
  <c r="Z36" i="28"/>
  <c r="AA36" i="28"/>
  <c r="Z103" i="28"/>
  <c r="AA103" i="28"/>
  <c r="AB103" i="28"/>
  <c r="Z63" i="28"/>
  <c r="AA63" i="28" s="1"/>
  <c r="AB63" i="28"/>
  <c r="Z76" i="28"/>
  <c r="AA76" i="28" s="1"/>
  <c r="AB76" i="28"/>
  <c r="AB26" i="27"/>
  <c r="Z26" i="27"/>
  <c r="AA26" i="27" s="1"/>
  <c r="Z15" i="27"/>
  <c r="AA15" i="27"/>
  <c r="AB15" i="27"/>
  <c r="Z92" i="27"/>
  <c r="AA92" i="27"/>
  <c r="AB92" i="27"/>
  <c r="Z70" i="27"/>
  <c r="AA70" i="27" s="1"/>
  <c r="AB70" i="27"/>
  <c r="Z98" i="27"/>
  <c r="AA98" i="27"/>
  <c r="AB98" i="27"/>
  <c r="Z104" i="27"/>
  <c r="AA104" i="27" s="1"/>
  <c r="AB104" i="27"/>
  <c r="Z19" i="27"/>
  <c r="AA19" i="27"/>
  <c r="AB19" i="27"/>
  <c r="Z102" i="27"/>
  <c r="AA102" i="27" s="1"/>
  <c r="AB102" i="27"/>
  <c r="Z94" i="27"/>
  <c r="AA94" i="27"/>
  <c r="AB94" i="27"/>
  <c r="Z71" i="27"/>
  <c r="AA71" i="27"/>
  <c r="AB71" i="27"/>
  <c r="Z108" i="27"/>
  <c r="AA108" i="27"/>
  <c r="AB108" i="27"/>
  <c r="Z21" i="27"/>
  <c r="AA21" i="27" s="1"/>
  <c r="AB21" i="27"/>
  <c r="Z27" i="27"/>
  <c r="AA27" i="27" s="1"/>
  <c r="AB27" i="27"/>
  <c r="AB24" i="27"/>
  <c r="Z24" i="27"/>
  <c r="AA24" i="27"/>
  <c r="Z97" i="27"/>
  <c r="AA97" i="27"/>
  <c r="AB97" i="27"/>
  <c r="Z29" i="27"/>
  <c r="AA29" i="27" s="1"/>
  <c r="AB29" i="27"/>
  <c r="AB49" i="27"/>
  <c r="Z49" i="27"/>
  <c r="AA49" i="27" s="1"/>
  <c r="Z53" i="27"/>
  <c r="AA53" i="27"/>
  <c r="AB53" i="27"/>
  <c r="Z81" i="27"/>
  <c r="AA81" i="27"/>
  <c r="AB81" i="27"/>
  <c r="AB42" i="27"/>
  <c r="Z42" i="27"/>
  <c r="AA42" i="27" s="1"/>
  <c r="Z109" i="27"/>
  <c r="AA109" i="27" s="1"/>
  <c r="AB109" i="27"/>
  <c r="AB14" i="27"/>
  <c r="Z14" i="27"/>
  <c r="AA14" i="27"/>
  <c r="Z60" i="27"/>
  <c r="AA60" i="27" s="1"/>
  <c r="AB60" i="27"/>
  <c r="AB44" i="27"/>
  <c r="Z44" i="27"/>
  <c r="AA44" i="27" s="1"/>
  <c r="AB28" i="27"/>
  <c r="Z28" i="27"/>
  <c r="AA28" i="27" s="1"/>
  <c r="Z75" i="27"/>
  <c r="AA75" i="27"/>
  <c r="AB75" i="27"/>
  <c r="Z11" i="27"/>
  <c r="AA11" i="27"/>
  <c r="B6" i="27"/>
  <c r="AB11" i="27"/>
  <c r="Z99" i="27"/>
  <c r="AA99" i="27"/>
  <c r="AB99" i="27"/>
  <c r="Z105" i="27"/>
  <c r="AA105" i="27" s="1"/>
  <c r="AB105" i="27"/>
  <c r="Z69" i="27"/>
  <c r="AA69" i="27" s="1"/>
  <c r="AB69" i="27"/>
  <c r="AB51" i="27"/>
  <c r="Z51" i="27"/>
  <c r="AA51" i="27" s="1"/>
  <c r="Z54" i="27"/>
  <c r="AA54" i="27" s="1"/>
  <c r="AB54" i="27"/>
  <c r="Z91" i="27"/>
  <c r="AA91" i="27" s="1"/>
  <c r="AB91" i="27"/>
  <c r="AA47" i="27"/>
  <c r="AB47" i="27"/>
  <c r="Z47" i="27"/>
  <c r="Z78" i="27"/>
  <c r="AA78" i="27" s="1"/>
  <c r="AB78" i="27"/>
  <c r="Z87" i="27"/>
  <c r="AA87" i="27" s="1"/>
  <c r="AB87" i="27"/>
  <c r="Z25" i="27"/>
  <c r="AA25" i="27" s="1"/>
  <c r="AB25" i="27"/>
  <c r="Z77" i="27"/>
  <c r="AA77" i="27" s="1"/>
  <c r="AB77" i="27"/>
  <c r="AB45" i="27"/>
  <c r="Z45" i="27"/>
  <c r="AA45" i="27" s="1"/>
  <c r="Z58" i="27"/>
  <c r="AA58" i="27" s="1"/>
  <c r="AB58" i="27"/>
  <c r="AB32" i="27"/>
  <c r="Z32" i="27"/>
  <c r="AA32" i="27"/>
  <c r="AA43" i="27"/>
  <c r="AB43" i="27"/>
  <c r="Z43" i="27"/>
  <c r="Z76" i="27"/>
  <c r="AA76" i="27" s="1"/>
  <c r="AB76" i="27"/>
  <c r="Z93" i="27"/>
  <c r="AA93" i="27"/>
  <c r="AB93" i="27"/>
  <c r="Z110" i="27"/>
  <c r="AA110" i="27" s="1"/>
  <c r="AB110" i="27"/>
  <c r="Z72" i="26"/>
  <c r="AA72" i="26"/>
  <c r="AB72" i="26"/>
  <c r="AB14" i="26"/>
  <c r="Z14" i="26"/>
  <c r="AA14" i="26" s="1"/>
  <c r="X21" i="26"/>
  <c r="X13" i="26"/>
  <c r="Z37" i="26"/>
  <c r="AB37" i="26"/>
  <c r="AA37" i="26"/>
  <c r="AB83" i="26"/>
  <c r="Z83" i="26"/>
  <c r="AA83" i="26" s="1"/>
  <c r="X103" i="26"/>
  <c r="X54" i="26"/>
  <c r="X80" i="26"/>
  <c r="X60" i="26"/>
  <c r="AA79" i="26"/>
  <c r="AB79" i="26"/>
  <c r="Z79" i="26"/>
  <c r="X109" i="26"/>
  <c r="X29" i="26"/>
  <c r="Z102" i="26"/>
  <c r="AA102" i="26" s="1"/>
  <c r="AB102" i="26"/>
  <c r="Z64" i="26"/>
  <c r="AA64" i="26"/>
  <c r="AB64" i="26"/>
  <c r="X32" i="26"/>
  <c r="Z70" i="26"/>
  <c r="AA70" i="26" s="1"/>
  <c r="AB70" i="26"/>
  <c r="X16" i="26"/>
  <c r="X71" i="26"/>
  <c r="X77" i="26"/>
  <c r="X68" i="26"/>
  <c r="Z55" i="26"/>
  <c r="AA55" i="26"/>
  <c r="AB55" i="26"/>
  <c r="X61" i="26"/>
  <c r="Z88" i="26"/>
  <c r="AA88" i="26" s="1"/>
  <c r="AB88" i="26"/>
  <c r="X99" i="26"/>
  <c r="AB22" i="26"/>
  <c r="AA22" i="26"/>
  <c r="Z22" i="26"/>
  <c r="Z40" i="26"/>
  <c r="AA40" i="26" s="1"/>
  <c r="AB40" i="26"/>
  <c r="Z35" i="26"/>
  <c r="AA35" i="26" s="1"/>
  <c r="AB35" i="26"/>
  <c r="Z25" i="26"/>
  <c r="AA25" i="26" s="1"/>
  <c r="AB25" i="26"/>
  <c r="Z15" i="26"/>
  <c r="AA15" i="26" s="1"/>
  <c r="AB15" i="26"/>
  <c r="Z62" i="26"/>
  <c r="AA62" i="26"/>
  <c r="AB62" i="26"/>
  <c r="AA36" i="26"/>
  <c r="Z36" i="26"/>
  <c r="AB36" i="26"/>
  <c r="X69" i="26"/>
  <c r="X56" i="26"/>
  <c r="X95" i="26"/>
  <c r="Z84" i="26"/>
  <c r="AA84" i="26"/>
  <c r="AB84" i="26"/>
  <c r="Z86" i="26"/>
  <c r="AA86" i="26"/>
  <c r="AB86" i="26"/>
  <c r="AB105" i="26"/>
  <c r="Z105" i="26"/>
  <c r="AA105" i="26"/>
  <c r="Z98" i="26"/>
  <c r="AA98" i="26" s="1"/>
  <c r="AB98" i="26"/>
  <c r="X48" i="26"/>
  <c r="Z94" i="26"/>
  <c r="AA94" i="26"/>
  <c r="AB94" i="26"/>
  <c r="Z96" i="26"/>
  <c r="AA96" i="26"/>
  <c r="AB96" i="26"/>
  <c r="AB30" i="26"/>
  <c r="AA30" i="26"/>
  <c r="Z30" i="26"/>
  <c r="Z39" i="26"/>
  <c r="AA39" i="26" s="1"/>
  <c r="AB39" i="26"/>
  <c r="X85" i="26"/>
  <c r="X53" i="26"/>
  <c r="Z52" i="26"/>
  <c r="AA52" i="26"/>
  <c r="AB52" i="26"/>
  <c r="X97" i="26"/>
  <c r="Z92" i="26"/>
  <c r="AA92" i="26"/>
  <c r="AB92" i="26"/>
  <c r="Z100" i="26"/>
  <c r="AA100" i="26" s="1"/>
  <c r="AB100" i="26"/>
  <c r="X75" i="26"/>
  <c r="AB12" i="26"/>
  <c r="Z12" i="26"/>
  <c r="AA12" i="26" s="1"/>
  <c r="Z43" i="26"/>
  <c r="AA43" i="26" s="1"/>
  <c r="AB43" i="26"/>
  <c r="X27" i="26"/>
  <c r="Z78" i="26"/>
  <c r="AA78" i="26" s="1"/>
  <c r="AB78" i="26"/>
  <c r="X74" i="26"/>
  <c r="Z57" i="26"/>
  <c r="AA57" i="26" s="1"/>
  <c r="AB57" i="26"/>
  <c r="X59" i="26"/>
  <c r="X51" i="26"/>
  <c r="AA44" i="26"/>
  <c r="Z44" i="26"/>
  <c r="AB44" i="26"/>
  <c r="AB107" i="26"/>
  <c r="Z107" i="26"/>
  <c r="AA107" i="26" s="1"/>
  <c r="AB28" i="26"/>
  <c r="Z28" i="26"/>
  <c r="AA28" i="26" s="1"/>
  <c r="Z66" i="26"/>
  <c r="AA66" i="26"/>
  <c r="AB66" i="26"/>
  <c r="AA46" i="26"/>
  <c r="Z46" i="26"/>
  <c r="AB46" i="26"/>
  <c r="X26" i="26"/>
  <c r="Z31" i="26"/>
  <c r="AA31" i="26" s="1"/>
  <c r="AB31" i="26"/>
  <c r="X58" i="26"/>
  <c r="Z63" i="26"/>
  <c r="AA63" i="26" s="1"/>
  <c r="AB63" i="26"/>
  <c r="Z45" i="26"/>
  <c r="AA45" i="26"/>
  <c r="AB45" i="26"/>
  <c r="AB81" i="26"/>
  <c r="Z81" i="26"/>
  <c r="AA81" i="26" s="1"/>
  <c r="Z108" i="26"/>
  <c r="AA108" i="26"/>
  <c r="AB108" i="26"/>
  <c r="X93" i="26"/>
  <c r="Z106" i="26"/>
  <c r="AA106" i="26"/>
  <c r="AB106" i="26"/>
  <c r="Z33" i="26"/>
  <c r="AA33" i="26" s="1"/>
  <c r="AB33" i="26"/>
  <c r="AB18" i="26"/>
  <c r="AA18" i="26"/>
  <c r="Z18" i="26"/>
  <c r="Z104" i="26"/>
  <c r="AA104" i="26"/>
  <c r="AB104" i="26"/>
  <c r="X34" i="26"/>
  <c r="AB20" i="26"/>
  <c r="Z20" i="26"/>
  <c r="AA20" i="26" s="1"/>
  <c r="Z73" i="26"/>
  <c r="AA73" i="26"/>
  <c r="AB73" i="26"/>
  <c r="AB38" i="26"/>
  <c r="Z38" i="26"/>
  <c r="AA38" i="26" s="1"/>
  <c r="Z67" i="26"/>
  <c r="AA67" i="26"/>
  <c r="AB67" i="26"/>
  <c r="AA76" i="26"/>
  <c r="AB76" i="26"/>
  <c r="Z76" i="26"/>
  <c r="Z65" i="26"/>
  <c r="AA65" i="26"/>
  <c r="AB65" i="26"/>
  <c r="X91" i="26"/>
  <c r="X89" i="26"/>
  <c r="X23" i="26"/>
  <c r="Z41" i="26"/>
  <c r="AA41" i="26" s="1"/>
  <c r="AB41" i="26"/>
  <c r="AB24" i="26"/>
  <c r="Z24" i="26"/>
  <c r="AA24" i="26" s="1"/>
  <c r="Z19" i="26"/>
  <c r="AA19" i="26"/>
  <c r="AB19" i="26"/>
  <c r="X42" i="26"/>
  <c r="Z50" i="26"/>
  <c r="AA50" i="26" s="1"/>
  <c r="AB50" i="26"/>
  <c r="X87" i="26"/>
  <c r="X82" i="26"/>
  <c r="Z90" i="26"/>
  <c r="AA90" i="26"/>
  <c r="AB90" i="26"/>
  <c r="X49" i="26"/>
  <c r="Z47" i="26"/>
  <c r="AA47" i="26" s="1"/>
  <c r="AB47" i="26"/>
  <c r="X110" i="26"/>
  <c r="AB101" i="26"/>
  <c r="Z101" i="26"/>
  <c r="AA101" i="26" s="1"/>
  <c r="X11" i="26"/>
  <c r="Z17" i="26"/>
  <c r="AA17" i="26" s="1"/>
  <c r="AB17" i="26"/>
  <c r="Z48" i="25"/>
  <c r="AA48" i="25" s="1"/>
  <c r="AB48" i="25"/>
  <c r="Z31" i="25"/>
  <c r="AA31" i="25"/>
  <c r="AB31" i="25"/>
  <c r="AB18" i="25"/>
  <c r="Z18" i="25"/>
  <c r="AA18" i="25"/>
  <c r="Z104" i="25"/>
  <c r="AA104" i="25" s="1"/>
  <c r="AB104" i="25"/>
  <c r="AB30" i="25"/>
  <c r="Z30" i="25"/>
  <c r="AA30" i="25" s="1"/>
  <c r="Z91" i="25"/>
  <c r="AA91" i="25"/>
  <c r="AB91" i="25"/>
  <c r="AB38" i="25"/>
  <c r="Z38" i="25"/>
  <c r="AA38" i="25"/>
  <c r="Z103" i="25"/>
  <c r="AA103" i="25" s="1"/>
  <c r="AB103" i="25"/>
  <c r="AA44" i="25"/>
  <c r="Z44" i="25"/>
  <c r="AB44" i="25"/>
  <c r="AB86" i="25"/>
  <c r="Z86" i="25"/>
  <c r="AA86" i="25" s="1"/>
  <c r="AB63" i="25"/>
  <c r="Z63" i="25"/>
  <c r="AA63" i="25"/>
  <c r="Z39" i="25"/>
  <c r="AA39" i="25" s="1"/>
  <c r="AB39" i="25"/>
  <c r="AB65" i="25"/>
  <c r="Z65" i="25"/>
  <c r="AA65" i="25"/>
  <c r="AB108" i="25"/>
  <c r="Z108" i="25"/>
  <c r="AA108" i="25" s="1"/>
  <c r="Z69" i="25"/>
  <c r="AA69" i="25" s="1"/>
  <c r="AB69" i="25"/>
  <c r="Z23" i="25"/>
  <c r="AA23" i="25"/>
  <c r="AB23" i="25"/>
  <c r="Z56" i="25"/>
  <c r="AA56" i="25" s="1"/>
  <c r="AB56" i="25"/>
  <c r="AB24" i="25"/>
  <c r="Z24" i="25"/>
  <c r="AA24" i="25" s="1"/>
  <c r="AB12" i="25"/>
  <c r="U4" i="25" s="1"/>
  <c r="Z12" i="25"/>
  <c r="AA12" i="25"/>
  <c r="AB20" i="25"/>
  <c r="Z20" i="25"/>
  <c r="AA20" i="25" s="1"/>
  <c r="Z95" i="25"/>
  <c r="AA95" i="25" s="1"/>
  <c r="AB95" i="25"/>
  <c r="Z83" i="25"/>
  <c r="AA83" i="25"/>
  <c r="AB83" i="25"/>
  <c r="Z106" i="25"/>
  <c r="AA106" i="25" s="1"/>
  <c r="AB106" i="25"/>
  <c r="Z41" i="25"/>
  <c r="AA41" i="25"/>
  <c r="AB41" i="25"/>
  <c r="AA92" i="25"/>
  <c r="AB92" i="25"/>
  <c r="Z92" i="25"/>
  <c r="Z15" i="25"/>
  <c r="AA15" i="25"/>
  <c r="AB15" i="25"/>
  <c r="AA42" i="25"/>
  <c r="Z42" i="25"/>
  <c r="AB42" i="25"/>
  <c r="AB59" i="25"/>
  <c r="Z59" i="25"/>
  <c r="AA59" i="25" s="1"/>
  <c r="AA49" i="25"/>
  <c r="Z49" i="25"/>
  <c r="AB49" i="25"/>
  <c r="AB88" i="25"/>
  <c r="Z88" i="25"/>
  <c r="AA88" i="25" s="1"/>
  <c r="AB14" i="25"/>
  <c r="Z14" i="25"/>
  <c r="AA14" i="25"/>
  <c r="AB61" i="25"/>
  <c r="Z61" i="25"/>
  <c r="AA61" i="25" s="1"/>
  <c r="AA51" i="25"/>
  <c r="Z51" i="25"/>
  <c r="AB51" i="25"/>
  <c r="Z107" i="25"/>
  <c r="AA107" i="25"/>
  <c r="AB107" i="25"/>
  <c r="AB66" i="25"/>
  <c r="Z66" i="25"/>
  <c r="AA66" i="25"/>
  <c r="AA62" i="25"/>
  <c r="AB62" i="25"/>
  <c r="Z62" i="25"/>
  <c r="AA52" i="25"/>
  <c r="Z52" i="25"/>
  <c r="AB52" i="25"/>
  <c r="Z80" i="25"/>
  <c r="AA80" i="25" s="1"/>
  <c r="AB80" i="25"/>
  <c r="Z101" i="25"/>
  <c r="AA101" i="25"/>
  <c r="AB101" i="25"/>
  <c r="AA102" i="25"/>
  <c r="AB102" i="25"/>
  <c r="U5" i="25" s="1"/>
  <c r="Z102" i="25"/>
  <c r="Z71" i="25"/>
  <c r="AA71" i="25"/>
  <c r="AB71" i="25"/>
  <c r="Z37" i="24"/>
  <c r="AA37" i="24"/>
  <c r="AB37" i="24"/>
  <c r="AB76" i="24"/>
  <c r="Z76" i="24"/>
  <c r="AA76" i="24" s="1"/>
  <c r="Z17" i="24"/>
  <c r="AA17" i="24"/>
  <c r="AB17" i="24"/>
  <c r="AB14" i="24"/>
  <c r="Z14" i="24"/>
  <c r="AA14" i="24" s="1"/>
  <c r="AA86" i="24"/>
  <c r="AB86" i="24"/>
  <c r="Z86" i="24"/>
  <c r="AB26" i="24"/>
  <c r="Z26" i="24"/>
  <c r="AA26" i="24"/>
  <c r="Z62" i="24"/>
  <c r="AA62" i="24" s="1"/>
  <c r="AB62" i="24"/>
  <c r="AB98" i="24"/>
  <c r="Z98" i="24"/>
  <c r="AA98" i="24" s="1"/>
  <c r="Z31" i="24"/>
  <c r="AA31" i="24"/>
  <c r="AB31" i="24"/>
  <c r="AB94" i="24"/>
  <c r="Z94" i="24"/>
  <c r="AA94" i="24" s="1"/>
  <c r="Z95" i="24"/>
  <c r="AA95" i="24"/>
  <c r="AB95" i="24"/>
  <c r="Z87" i="24"/>
  <c r="AA87" i="24" s="1"/>
  <c r="AB87" i="24"/>
  <c r="AA92" i="24"/>
  <c r="AB92" i="24"/>
  <c r="Z92" i="24"/>
  <c r="Z52" i="24"/>
  <c r="AA52" i="24" s="1"/>
  <c r="AB52" i="24"/>
  <c r="AB72" i="24"/>
  <c r="Z72" i="24"/>
  <c r="AA72" i="24" s="1"/>
  <c r="AB22" i="24"/>
  <c r="Z22" i="24"/>
  <c r="AA22" i="24"/>
  <c r="Z75" i="24"/>
  <c r="AA75" i="24"/>
  <c r="AB75" i="24"/>
  <c r="Z65" i="24"/>
  <c r="AA65" i="24"/>
  <c r="AB65" i="24"/>
  <c r="AB38" i="24"/>
  <c r="Z38" i="24"/>
  <c r="AA38" i="24" s="1"/>
  <c r="AB30" i="24"/>
  <c r="Z30" i="24"/>
  <c r="AA30" i="24" s="1"/>
  <c r="Z106" i="24"/>
  <c r="AA106" i="24" s="1"/>
  <c r="AB106" i="24"/>
  <c r="Z46" i="24"/>
  <c r="AA46" i="24" s="1"/>
  <c r="AB46" i="24"/>
  <c r="Z79" i="24"/>
  <c r="AA79" i="24" s="1"/>
  <c r="AB79" i="24"/>
  <c r="AB100" i="24"/>
  <c r="Z100" i="24"/>
  <c r="AA100" i="24" s="1"/>
  <c r="Z64" i="24"/>
  <c r="AA64" i="24"/>
  <c r="AB64" i="24"/>
  <c r="Z44" i="24"/>
  <c r="AA44" i="24"/>
  <c r="AB44" i="24"/>
  <c r="Z63" i="24"/>
  <c r="AA63" i="24"/>
  <c r="AB63" i="24"/>
  <c r="AB34" i="24"/>
  <c r="Z34" i="24"/>
  <c r="AA34" i="24" s="1"/>
  <c r="Z71" i="24"/>
  <c r="AA71" i="24" s="1"/>
  <c r="AB71" i="24"/>
  <c r="Z19" i="24"/>
  <c r="AA19" i="24" s="1"/>
  <c r="AB19" i="24"/>
  <c r="Z27" i="24"/>
  <c r="AA27" i="24" s="1"/>
  <c r="AB27" i="24"/>
  <c r="Z61" i="24"/>
  <c r="AA61" i="24" s="1"/>
  <c r="AB61" i="24"/>
  <c r="Z73" i="24"/>
  <c r="AA73" i="24"/>
  <c r="AB73" i="24"/>
  <c r="Z11" i="24"/>
  <c r="AA11" i="24"/>
  <c r="B6" i="24"/>
  <c r="AB11" i="24"/>
  <c r="Z47" i="24"/>
  <c r="AA47" i="24" s="1"/>
  <c r="AB47" i="24"/>
  <c r="Z109" i="24"/>
  <c r="AA109" i="24" s="1"/>
  <c r="AB109" i="24"/>
  <c r="Z68" i="24"/>
  <c r="AA68" i="24" s="1"/>
  <c r="AB68" i="24"/>
  <c r="AB96" i="24"/>
  <c r="Z96" i="24"/>
  <c r="AA96" i="24" s="1"/>
  <c r="Z83" i="24"/>
  <c r="AA83" i="24"/>
  <c r="AB83" i="24"/>
  <c r="AA74" i="24"/>
  <c r="AB74" i="24"/>
  <c r="Z74" i="24"/>
  <c r="Z41" i="24"/>
  <c r="AA41" i="24" s="1"/>
  <c r="AB41" i="24"/>
  <c r="AA82" i="24"/>
  <c r="AB82" i="24"/>
  <c r="Z82" i="24"/>
  <c r="Z39" i="24"/>
  <c r="AA39" i="24" s="1"/>
  <c r="AB39" i="24"/>
  <c r="Z42" i="24"/>
  <c r="AA42" i="24" s="1"/>
  <c r="AB42" i="24"/>
  <c r="AB20" i="24"/>
  <c r="Z20" i="24"/>
  <c r="AA20" i="24"/>
  <c r="Z45" i="24"/>
  <c r="AA45" i="24"/>
  <c r="AB45" i="24"/>
  <c r="AB32" i="24"/>
  <c r="Z32" i="24"/>
  <c r="AA32" i="24"/>
  <c r="Z101" i="24"/>
  <c r="AA101" i="24"/>
  <c r="AB101" i="24"/>
  <c r="Z105" i="24"/>
  <c r="AA105" i="24" s="1"/>
  <c r="AB105" i="24"/>
  <c r="Z97" i="24"/>
  <c r="AA97" i="24"/>
  <c r="AB97" i="24"/>
  <c r="AA78" i="24"/>
  <c r="AB78" i="24"/>
  <c r="Z78" i="24"/>
  <c r="Z103" i="24"/>
  <c r="AA103" i="24" s="1"/>
  <c r="AB103" i="24"/>
  <c r="Z69" i="24"/>
  <c r="AA69" i="24" s="1"/>
  <c r="AB69" i="24"/>
  <c r="AB90" i="24"/>
  <c r="Z90" i="24"/>
  <c r="AA90" i="24" s="1"/>
  <c r="Z59" i="24"/>
  <c r="AA59" i="24"/>
  <c r="AB59" i="24"/>
  <c r="Z53" i="24"/>
  <c r="AA53" i="24"/>
  <c r="AB53" i="24"/>
  <c r="Z43" i="24"/>
  <c r="AA43" i="24" s="1"/>
  <c r="AB43" i="24"/>
  <c r="Z13" i="24"/>
  <c r="AA13" i="24"/>
  <c r="AB13" i="24"/>
  <c r="AB36" i="24"/>
  <c r="Z36" i="24"/>
  <c r="AA36" i="24"/>
  <c r="AB16" i="24"/>
  <c r="Z16" i="24"/>
  <c r="AA16" i="24"/>
  <c r="Z50" i="24"/>
  <c r="AA50" i="24" s="1"/>
  <c r="AB50" i="24"/>
  <c r="Z58" i="24"/>
  <c r="AA58" i="24"/>
  <c r="AB58" i="24"/>
  <c r="Z23" i="24"/>
  <c r="AA23" i="24"/>
  <c r="AB23" i="24"/>
  <c r="AA80" i="24"/>
  <c r="AB80" i="24"/>
  <c r="Z80" i="24"/>
  <c r="Z33" i="24"/>
  <c r="AA33" i="24" s="1"/>
  <c r="AB33" i="24"/>
  <c r="Z99" i="24"/>
  <c r="AA99" i="24"/>
  <c r="AB99" i="24"/>
  <c r="Z35" i="24"/>
  <c r="AA35" i="24" s="1"/>
  <c r="AB35" i="24"/>
  <c r="Z56" i="24"/>
  <c r="AA56" i="24" s="1"/>
  <c r="AB56" i="24"/>
  <c r="Z54" i="24"/>
  <c r="AA54" i="24" s="1"/>
  <c r="AB54" i="24"/>
  <c r="Z81" i="24"/>
  <c r="AA81" i="24"/>
  <c r="AB81" i="24"/>
  <c r="Z104" i="24"/>
  <c r="AA104" i="24" s="1"/>
  <c r="AB104" i="24"/>
  <c r="AB28" i="24"/>
  <c r="Z28" i="24"/>
  <c r="AA28" i="24" s="1"/>
  <c r="Z91" i="24"/>
  <c r="AA91" i="24" s="1"/>
  <c r="AB91" i="24"/>
  <c r="Z60" i="24"/>
  <c r="AA60" i="24"/>
  <c r="AB60" i="24"/>
  <c r="Z77" i="24"/>
  <c r="AA77" i="24" s="1"/>
  <c r="AB77" i="24"/>
  <c r="Z51" i="24"/>
  <c r="AA51" i="24" s="1"/>
  <c r="AB51" i="24"/>
  <c r="AA84" i="24"/>
  <c r="AB84" i="24"/>
  <c r="Z84" i="24"/>
  <c r="AB110" i="24"/>
  <c r="Z110" i="24"/>
  <c r="AA110" i="24" s="1"/>
  <c r="AB24" i="24"/>
  <c r="Z24" i="24"/>
  <c r="AA24" i="24"/>
  <c r="Z49" i="24"/>
  <c r="AA49" i="24"/>
  <c r="AB49" i="24"/>
  <c r="Z15" i="24"/>
  <c r="AA15" i="24" s="1"/>
  <c r="AB15" i="24"/>
  <c r="AB66" i="23"/>
  <c r="Z66" i="23"/>
  <c r="AA66" i="23" s="1"/>
  <c r="Z53" i="23"/>
  <c r="AA53" i="23" s="1"/>
  <c r="AB53" i="23"/>
  <c r="Z92" i="23"/>
  <c r="AA92" i="23" s="1"/>
  <c r="AB92" i="23"/>
  <c r="Z13" i="23"/>
  <c r="AA13" i="23" s="1"/>
  <c r="AB13" i="23"/>
  <c r="Z82" i="23"/>
  <c r="AA82" i="23"/>
  <c r="AB82" i="23"/>
  <c r="Z27" i="23"/>
  <c r="AA27" i="23" s="1"/>
  <c r="AB27" i="23"/>
  <c r="Z47" i="23"/>
  <c r="AA47" i="23" s="1"/>
  <c r="AB47" i="23"/>
  <c r="AB106" i="23"/>
  <c r="Z106" i="23"/>
  <c r="AA106" i="23" s="1"/>
  <c r="Z38" i="23"/>
  <c r="AA38" i="23" s="1"/>
  <c r="AB38" i="23"/>
  <c r="Z31" i="23"/>
  <c r="AA31" i="23" s="1"/>
  <c r="AB31" i="23"/>
  <c r="Z72" i="23"/>
  <c r="AA72" i="23" s="1"/>
  <c r="AB72" i="23"/>
  <c r="Z76" i="23"/>
  <c r="AA76" i="23" s="1"/>
  <c r="AB76" i="23"/>
  <c r="AB96" i="23"/>
  <c r="Z96" i="23"/>
  <c r="AA96" i="23" s="1"/>
  <c r="AA42" i="23"/>
  <c r="Z42" i="23"/>
  <c r="AB42" i="23"/>
  <c r="Z85" i="23"/>
  <c r="AA85" i="23" s="1"/>
  <c r="AB85" i="23"/>
  <c r="AB32" i="23"/>
  <c r="Z32" i="23"/>
  <c r="AA32" i="23" s="1"/>
  <c r="AB34" i="23"/>
  <c r="AA34" i="23"/>
  <c r="Z34" i="23"/>
  <c r="AB36" i="23"/>
  <c r="Z36" i="23"/>
  <c r="AA36" i="23" s="1"/>
  <c r="Z75" i="23"/>
  <c r="AA75" i="23" s="1"/>
  <c r="AB75" i="23"/>
  <c r="AB104" i="23"/>
  <c r="Z104" i="23"/>
  <c r="AA104" i="23" s="1"/>
  <c r="Z83" i="23"/>
  <c r="AB83" i="23"/>
  <c r="AA83" i="23"/>
  <c r="AB54" i="23"/>
  <c r="Z54" i="23"/>
  <c r="AA54" i="23" s="1"/>
  <c r="AB110" i="23"/>
  <c r="Z110" i="23"/>
  <c r="AA110" i="23" s="1"/>
  <c r="Z80" i="23"/>
  <c r="AA80" i="23" s="1"/>
  <c r="AB80" i="23"/>
  <c r="Z51" i="23"/>
  <c r="AA51" i="23" s="1"/>
  <c r="AB51" i="23"/>
  <c r="AB24" i="23"/>
  <c r="Z24" i="23"/>
  <c r="AA24" i="23"/>
  <c r="Z107" i="23"/>
  <c r="AA107" i="23" s="1"/>
  <c r="AB107" i="23"/>
  <c r="AB95" i="23"/>
  <c r="Z95" i="23"/>
  <c r="AA95" i="23"/>
  <c r="AB18" i="23"/>
  <c r="Z18" i="23"/>
  <c r="AA18" i="23" s="1"/>
  <c r="Z55" i="23"/>
  <c r="AA55" i="23" s="1"/>
  <c r="AB55" i="23"/>
  <c r="AB102" i="23"/>
  <c r="Z102" i="23"/>
  <c r="AA102" i="23" s="1"/>
  <c r="AB87" i="23"/>
  <c r="Z87" i="23"/>
  <c r="AA87" i="23" s="1"/>
  <c r="Z84" i="23"/>
  <c r="AA84" i="23"/>
  <c r="AB84" i="23"/>
  <c r="AB14" i="23"/>
  <c r="Z14" i="23"/>
  <c r="AA14" i="23"/>
  <c r="AB26" i="23"/>
  <c r="Z26" i="23"/>
  <c r="AA26" i="23" s="1"/>
  <c r="Z11" i="23"/>
  <c r="AA11" i="23" s="1"/>
  <c r="B6" i="23"/>
  <c r="AB11" i="23"/>
  <c r="AB91" i="23"/>
  <c r="Z91" i="23"/>
  <c r="AA91" i="23" s="1"/>
  <c r="Z97" i="23"/>
  <c r="AA97" i="23"/>
  <c r="AB97" i="23"/>
  <c r="AB30" i="23"/>
  <c r="Z30" i="23"/>
  <c r="AA30" i="23"/>
  <c r="AA43" i="23"/>
  <c r="Z43" i="23"/>
  <c r="AB43" i="23"/>
  <c r="AA41" i="23"/>
  <c r="Z41" i="23"/>
  <c r="AB41" i="23"/>
  <c r="AB89" i="23"/>
  <c r="AA89" i="23"/>
  <c r="Z89" i="23"/>
  <c r="Z88" i="23"/>
  <c r="AB88" i="23"/>
  <c r="AA88" i="23"/>
  <c r="Z74" i="23"/>
  <c r="AA74" i="23"/>
  <c r="AB74" i="23"/>
  <c r="AB94" i="23"/>
  <c r="Z94" i="23"/>
  <c r="AA94" i="23" s="1"/>
  <c r="Z46" i="23"/>
  <c r="AA46" i="23" s="1"/>
  <c r="AB46" i="23"/>
  <c r="Z21" i="23"/>
  <c r="AA21" i="23" s="1"/>
  <c r="AB21" i="23"/>
  <c r="AA52" i="23"/>
  <c r="Z52" i="23"/>
  <c r="AB52" i="23"/>
  <c r="AB100" i="23"/>
  <c r="Z100" i="23"/>
  <c r="AA100" i="23" s="1"/>
  <c r="Z77" i="23"/>
  <c r="AB77" i="23"/>
  <c r="AA77" i="23"/>
  <c r="Z78" i="23"/>
  <c r="AA78" i="23" s="1"/>
  <c r="AB78" i="23"/>
  <c r="Z61" i="30" l="1"/>
  <c r="AA61" i="30"/>
  <c r="AB61" i="30"/>
  <c r="Z92" i="30"/>
  <c r="AA92" i="30" s="1"/>
  <c r="AB92" i="30"/>
  <c r="Z101" i="30"/>
  <c r="AA101" i="30" s="1"/>
  <c r="AB101" i="30"/>
  <c r="Z108" i="30"/>
  <c r="AA108" i="30" s="1"/>
  <c r="AB108" i="30"/>
  <c r="Z68" i="30"/>
  <c r="AA68" i="30" s="1"/>
  <c r="AB68" i="30"/>
  <c r="Z96" i="30"/>
  <c r="AA96" i="30" s="1"/>
  <c r="AB96" i="30"/>
  <c r="Z103" i="30"/>
  <c r="AA103" i="30" s="1"/>
  <c r="AB103" i="30"/>
  <c r="AB12" i="30"/>
  <c r="Z12" i="30"/>
  <c r="AA12" i="30" s="1"/>
  <c r="AB20" i="30"/>
  <c r="Z20" i="30"/>
  <c r="AA20" i="30" s="1"/>
  <c r="Z33" i="30"/>
  <c r="AA33" i="30"/>
  <c r="AB33" i="30"/>
  <c r="Z71" i="30"/>
  <c r="AA71" i="30" s="1"/>
  <c r="AB71" i="30"/>
  <c r="AB26" i="30"/>
  <c r="Z26" i="30"/>
  <c r="AA26" i="30"/>
  <c r="Z46" i="30"/>
  <c r="AA46" i="30" s="1"/>
  <c r="AB46" i="30"/>
  <c r="Z17" i="30"/>
  <c r="AA17" i="30" s="1"/>
  <c r="AB17" i="30"/>
  <c r="Z105" i="30"/>
  <c r="AA105" i="30" s="1"/>
  <c r="AB105" i="30"/>
  <c r="Z37" i="30"/>
  <c r="AA37" i="30" s="1"/>
  <c r="AB37" i="30"/>
  <c r="Z43" i="30"/>
  <c r="AA43" i="30"/>
  <c r="AB43" i="30"/>
  <c r="Z102" i="30"/>
  <c r="AA102" i="30" s="1"/>
  <c r="AB102" i="30"/>
  <c r="Z76" i="30"/>
  <c r="AA76" i="30" s="1"/>
  <c r="AB76" i="30"/>
  <c r="Z67" i="30"/>
  <c r="AA67" i="30" s="1"/>
  <c r="AB67" i="30"/>
  <c r="AB14" i="30"/>
  <c r="Z14" i="30"/>
  <c r="AA14" i="30" s="1"/>
  <c r="AA66" i="30"/>
  <c r="Z66" i="30"/>
  <c r="AB66" i="30"/>
  <c r="Z15" i="30"/>
  <c r="AA15" i="30"/>
  <c r="AB15" i="30"/>
  <c r="AB64" i="30"/>
  <c r="Z64" i="30"/>
  <c r="AA64" i="30" s="1"/>
  <c r="Z53" i="30"/>
  <c r="AA53" i="30" s="1"/>
  <c r="AB53" i="30"/>
  <c r="Z99" i="30"/>
  <c r="AA99" i="30" s="1"/>
  <c r="AB99" i="30"/>
  <c r="AA80" i="30"/>
  <c r="Z80" i="30"/>
  <c r="AB80" i="30"/>
  <c r="Z54" i="30"/>
  <c r="AA54" i="30" s="1"/>
  <c r="AB54" i="30"/>
  <c r="B6" i="30"/>
  <c r="AB16" i="30"/>
  <c r="Z16" i="30"/>
  <c r="AA16" i="30" s="1"/>
  <c r="AA73" i="30"/>
  <c r="Z73" i="30"/>
  <c r="AB73" i="30"/>
  <c r="Z45" i="30"/>
  <c r="AA45" i="30"/>
  <c r="AB45" i="30"/>
  <c r="Z55" i="30"/>
  <c r="AA55" i="30" s="1"/>
  <c r="AB55" i="30"/>
  <c r="T4" i="30" s="1"/>
  <c r="Z52" i="30"/>
  <c r="AA52" i="30" s="1"/>
  <c r="AB52" i="30"/>
  <c r="Z95" i="30"/>
  <c r="AA95" i="30" s="1"/>
  <c r="AB95" i="30"/>
  <c r="Z109" i="30"/>
  <c r="AA109" i="30" s="1"/>
  <c r="AB109" i="30"/>
  <c r="AB36" i="30"/>
  <c r="Z36" i="30"/>
  <c r="AA36" i="30"/>
  <c r="Z97" i="30"/>
  <c r="AA97" i="30" s="1"/>
  <c r="AB97" i="30"/>
  <c r="Z48" i="30"/>
  <c r="AA48" i="30"/>
  <c r="AB48" i="30"/>
  <c r="Z62" i="30"/>
  <c r="AA62" i="30"/>
  <c r="AB62" i="30"/>
  <c r="Z57" i="30"/>
  <c r="AA57" i="30"/>
  <c r="AB57" i="30"/>
  <c r="Z106" i="29"/>
  <c r="AA106" i="29" s="1"/>
  <c r="AB106" i="29"/>
  <c r="AB71" i="29"/>
  <c r="Z71" i="29"/>
  <c r="AA71" i="29" s="1"/>
  <c r="AB97" i="29"/>
  <c r="Z97" i="29"/>
  <c r="AA97" i="29"/>
  <c r="AB16" i="29"/>
  <c r="U4" i="29" s="1"/>
  <c r="Z16" i="29"/>
  <c r="AA16" i="29" s="1"/>
  <c r="Z13" i="29"/>
  <c r="AA13" i="29"/>
  <c r="AB13" i="29"/>
  <c r="Z33" i="29"/>
  <c r="AA33" i="29"/>
  <c r="AB33" i="29"/>
  <c r="AB79" i="29"/>
  <c r="Z79" i="29"/>
  <c r="AA79" i="29" s="1"/>
  <c r="Z35" i="29"/>
  <c r="AA35" i="29" s="1"/>
  <c r="AB35" i="29"/>
  <c r="AB26" i="29"/>
  <c r="Z26" i="29"/>
  <c r="AA26" i="29"/>
  <c r="AB51" i="29"/>
  <c r="Z51" i="29"/>
  <c r="AA51" i="29" s="1"/>
  <c r="AB92" i="29"/>
  <c r="Z92" i="29"/>
  <c r="AA92" i="29" s="1"/>
  <c r="Z61" i="29"/>
  <c r="AA61" i="29" s="1"/>
  <c r="AB61" i="29"/>
  <c r="Z15" i="29"/>
  <c r="AA15" i="29" s="1"/>
  <c r="AB15" i="29"/>
  <c r="AA53" i="29"/>
  <c r="Z53" i="29"/>
  <c r="AB53" i="29"/>
  <c r="AB32" i="29"/>
  <c r="Z32" i="29"/>
  <c r="AA32" i="29" s="1"/>
  <c r="AB93" i="29"/>
  <c r="Z93" i="29"/>
  <c r="AA93" i="29"/>
  <c r="Z19" i="29"/>
  <c r="AA19" i="29"/>
  <c r="AB19" i="29"/>
  <c r="Z50" i="29"/>
  <c r="AA50" i="29" s="1"/>
  <c r="AB50" i="29"/>
  <c r="Z41" i="29"/>
  <c r="AA41" i="29"/>
  <c r="AB41" i="29"/>
  <c r="Z55" i="29"/>
  <c r="AA55" i="29" s="1"/>
  <c r="AB55" i="29"/>
  <c r="Z78" i="29"/>
  <c r="AA78" i="29" s="1"/>
  <c r="AB78" i="29"/>
  <c r="Z110" i="29"/>
  <c r="AA110" i="29" s="1"/>
  <c r="AB110" i="29"/>
  <c r="Z107" i="29"/>
  <c r="AA107" i="29" s="1"/>
  <c r="AB107" i="29"/>
  <c r="AB89" i="29"/>
  <c r="Z89" i="29"/>
  <c r="AA89" i="29"/>
  <c r="Z46" i="29"/>
  <c r="AA46" i="29"/>
  <c r="AB46" i="29"/>
  <c r="AA81" i="29"/>
  <c r="AB81" i="29"/>
  <c r="Z81" i="29"/>
  <c r="N4" i="28"/>
  <c r="N5" i="28"/>
  <c r="N6" i="28"/>
  <c r="T4" i="28"/>
  <c r="T5" i="28"/>
  <c r="T6" i="28"/>
  <c r="N4" i="27"/>
  <c r="N5" i="27"/>
  <c r="N6" i="27"/>
  <c r="T4" i="27"/>
  <c r="T5" i="27"/>
  <c r="T6" i="27"/>
  <c r="AA42" i="26"/>
  <c r="Z42" i="26"/>
  <c r="AB42" i="26"/>
  <c r="Z53" i="26"/>
  <c r="AA53" i="26"/>
  <c r="AB53" i="26"/>
  <c r="Z54" i="26"/>
  <c r="AA54" i="26"/>
  <c r="AB54" i="26"/>
  <c r="Z13" i="26"/>
  <c r="AA13" i="26" s="1"/>
  <c r="AB13" i="26"/>
  <c r="Z58" i="26"/>
  <c r="AA58" i="26" s="1"/>
  <c r="AB58" i="26"/>
  <c r="AB85" i="26"/>
  <c r="AA85" i="26"/>
  <c r="Z85" i="26"/>
  <c r="Z29" i="26"/>
  <c r="AA29" i="26"/>
  <c r="AB29" i="26"/>
  <c r="AB103" i="26"/>
  <c r="Z103" i="26"/>
  <c r="AA103" i="26"/>
  <c r="Z21" i="26"/>
  <c r="AA21" i="26" s="1"/>
  <c r="AB21" i="26"/>
  <c r="Z23" i="26"/>
  <c r="AA23" i="26"/>
  <c r="AB23" i="26"/>
  <c r="Z74" i="26"/>
  <c r="AA74" i="26"/>
  <c r="AB74" i="26"/>
  <c r="AB32" i="26"/>
  <c r="Z32" i="26"/>
  <c r="AA32" i="26" s="1"/>
  <c r="AB109" i="26"/>
  <c r="Z109" i="26"/>
  <c r="AA109" i="26" s="1"/>
  <c r="Z110" i="26"/>
  <c r="AA110" i="26"/>
  <c r="AB110" i="26"/>
  <c r="Z82" i="26"/>
  <c r="AA82" i="26"/>
  <c r="AB82" i="26"/>
  <c r="AB89" i="26"/>
  <c r="Z89" i="26"/>
  <c r="AA89" i="26" s="1"/>
  <c r="AB95" i="26"/>
  <c r="Z95" i="26"/>
  <c r="AA95" i="26" s="1"/>
  <c r="AB99" i="26"/>
  <c r="Z99" i="26"/>
  <c r="AA99" i="26" s="1"/>
  <c r="Z68" i="26"/>
  <c r="AA68" i="26"/>
  <c r="AB68" i="26"/>
  <c r="AB87" i="26"/>
  <c r="Z87" i="26"/>
  <c r="AA87" i="26" s="1"/>
  <c r="AB91" i="26"/>
  <c r="Z91" i="26"/>
  <c r="AA91" i="26" s="1"/>
  <c r="AB93" i="26"/>
  <c r="Z93" i="26"/>
  <c r="AA93" i="26" s="1"/>
  <c r="AB97" i="26"/>
  <c r="Z97" i="26"/>
  <c r="AA97" i="26"/>
  <c r="Z56" i="26"/>
  <c r="AA56" i="26" s="1"/>
  <c r="AB56" i="26"/>
  <c r="AA77" i="26"/>
  <c r="AB77" i="26"/>
  <c r="Z77" i="26"/>
  <c r="AB26" i="26"/>
  <c r="AA26" i="26"/>
  <c r="Z26" i="26"/>
  <c r="Z51" i="26"/>
  <c r="AA51" i="26"/>
  <c r="AB51" i="26"/>
  <c r="AB75" i="26"/>
  <c r="Z75" i="26"/>
  <c r="AA75" i="26" s="1"/>
  <c r="Z69" i="26"/>
  <c r="AA69" i="26" s="1"/>
  <c r="AB69" i="26"/>
  <c r="Z71" i="26"/>
  <c r="AA71" i="26"/>
  <c r="AB71" i="26"/>
  <c r="Z59" i="26"/>
  <c r="AA59" i="26"/>
  <c r="AB59" i="26"/>
  <c r="Z27" i="26"/>
  <c r="AA27" i="26" s="1"/>
  <c r="AB27" i="26"/>
  <c r="AA48" i="26"/>
  <c r="Z48" i="26"/>
  <c r="AB48" i="26"/>
  <c r="AB16" i="26"/>
  <c r="AA16" i="26"/>
  <c r="Z16" i="26"/>
  <c r="Z60" i="26"/>
  <c r="AA60" i="26"/>
  <c r="AB60" i="26"/>
  <c r="Z11" i="26"/>
  <c r="AA11" i="26" s="1"/>
  <c r="B6" i="26"/>
  <c r="AB11" i="26"/>
  <c r="Z49" i="26"/>
  <c r="AA49" i="26" s="1"/>
  <c r="AB49" i="26"/>
  <c r="AB34" i="26"/>
  <c r="AA34" i="26"/>
  <c r="Z34" i="26"/>
  <c r="Z61" i="26"/>
  <c r="AA61" i="26" s="1"/>
  <c r="AB61" i="26"/>
  <c r="Z80" i="26"/>
  <c r="AA80" i="26"/>
  <c r="AB80" i="26"/>
  <c r="O4" i="25"/>
  <c r="O5" i="25"/>
  <c r="T4" i="24"/>
  <c r="T5" i="24"/>
  <c r="T6" i="24"/>
  <c r="N4" i="24"/>
  <c r="N5" i="24"/>
  <c r="N6" i="24"/>
  <c r="N4" i="23"/>
  <c r="N5" i="23"/>
  <c r="N6" i="23"/>
  <c r="T4" i="23"/>
  <c r="T5" i="23"/>
  <c r="T6" i="23"/>
  <c r="N4" i="30" l="1"/>
  <c r="N5" i="30"/>
  <c r="N6" i="30"/>
  <c r="T6" i="30"/>
  <c r="T5" i="30"/>
  <c r="O5" i="29"/>
  <c r="O6" i="29"/>
  <c r="O4" i="29"/>
  <c r="U6" i="29"/>
  <c r="U5" i="29"/>
  <c r="N4" i="26"/>
  <c r="N5" i="26"/>
  <c r="N6" i="26"/>
  <c r="T4" i="26"/>
  <c r="T5" i="26"/>
  <c r="T6" i="26"/>
  <c r="D32" i="14"/>
  <c r="D22" i="14"/>
  <c r="D33" i="14"/>
  <c r="D34" i="14"/>
  <c r="D52" i="14"/>
  <c r="D23" i="14"/>
  <c r="D35" i="14"/>
  <c r="D24" i="14"/>
  <c r="D53" i="14"/>
  <c r="D25" i="14"/>
  <c r="D54" i="14"/>
  <c r="D26" i="14"/>
  <c r="D55" i="14"/>
  <c r="D2" i="14"/>
  <c r="D56" i="14"/>
  <c r="D12" i="14"/>
  <c r="D13" i="14"/>
  <c r="D3" i="14"/>
  <c r="D42" i="14"/>
  <c r="D14" i="14"/>
  <c r="D43" i="14"/>
  <c r="D4" i="14"/>
  <c r="D5" i="14"/>
  <c r="D15" i="14"/>
  <c r="D44" i="14"/>
  <c r="D16" i="14"/>
  <c r="D45" i="14"/>
  <c r="D46" i="14"/>
  <c r="D6" i="14"/>
  <c r="D7" i="14"/>
  <c r="D17" i="14"/>
  <c r="D27" i="14"/>
  <c r="D57" i="14"/>
  <c r="D28" i="14"/>
  <c r="D18" i="14"/>
  <c r="D19" i="14"/>
  <c r="D58" i="14"/>
  <c r="D20" i="14"/>
  <c r="D47" i="14"/>
  <c r="D21" i="14"/>
  <c r="D29" i="14"/>
  <c r="D36" i="14"/>
  <c r="D8" i="14"/>
  <c r="D48" i="14"/>
  <c r="D37" i="14"/>
  <c r="D9" i="14"/>
  <c r="D10" i="14"/>
  <c r="D59" i="14"/>
  <c r="D30" i="14"/>
  <c r="D49" i="14"/>
  <c r="D60" i="14"/>
  <c r="D11" i="14"/>
  <c r="D31" i="14"/>
  <c r="D38" i="14"/>
  <c r="D50" i="14"/>
  <c r="D61" i="14"/>
  <c r="D39" i="14"/>
  <c r="D40" i="14"/>
  <c r="D51" i="14"/>
  <c r="D41" i="14"/>
  <c r="L5" i="13"/>
  <c r="M5" i="13" s="1"/>
  <c r="R6" i="13"/>
  <c r="S6" i="13"/>
  <c r="T6" i="13"/>
  <c r="U6" i="13"/>
  <c r="V6" i="13"/>
  <c r="W6" i="13"/>
  <c r="X6" i="13"/>
  <c r="Y6" i="13"/>
  <c r="Z6" i="13"/>
  <c r="AA6" i="13"/>
  <c r="R7" i="13"/>
  <c r="S7" i="13"/>
  <c r="T7" i="13"/>
  <c r="U7" i="13"/>
  <c r="V7" i="13"/>
  <c r="W7" i="13"/>
  <c r="X7" i="13"/>
  <c r="Y7" i="13"/>
  <c r="Z7" i="13"/>
  <c r="AA7" i="13"/>
  <c r="R8" i="13"/>
  <c r="S8" i="13"/>
  <c r="T8" i="13"/>
  <c r="U8" i="13"/>
  <c r="V8" i="13"/>
  <c r="W8" i="13"/>
  <c r="X8" i="13"/>
  <c r="Y8" i="13"/>
  <c r="Z8" i="13"/>
  <c r="AA8" i="13"/>
  <c r="R9" i="13"/>
  <c r="S9" i="13"/>
  <c r="T9" i="13"/>
  <c r="U9" i="13"/>
  <c r="V9" i="13"/>
  <c r="W9" i="13"/>
  <c r="X9" i="13"/>
  <c r="Y9" i="13"/>
  <c r="Z9" i="13"/>
  <c r="AA9" i="13"/>
  <c r="R10" i="13"/>
  <c r="S10" i="13"/>
  <c r="T10" i="13"/>
  <c r="U10" i="13"/>
  <c r="V10" i="13"/>
  <c r="W10" i="13"/>
  <c r="X10" i="13"/>
  <c r="Y10" i="13"/>
  <c r="Z10" i="13"/>
  <c r="AA10" i="13"/>
  <c r="R11" i="13"/>
  <c r="S11" i="13"/>
  <c r="T11" i="13"/>
  <c r="U11" i="13"/>
  <c r="V11" i="13"/>
  <c r="W11" i="13"/>
  <c r="X11" i="13"/>
  <c r="Y11" i="13"/>
  <c r="Z11" i="13"/>
  <c r="AA11" i="13"/>
  <c r="R12" i="13"/>
  <c r="S12" i="13"/>
  <c r="T12" i="13"/>
  <c r="U12" i="13"/>
  <c r="V12" i="13"/>
  <c r="W12" i="13"/>
  <c r="X12" i="13"/>
  <c r="Y12" i="13"/>
  <c r="Z12" i="13"/>
  <c r="AA12" i="13"/>
  <c r="R13" i="13"/>
  <c r="S13" i="13"/>
  <c r="T13" i="13"/>
  <c r="U13" i="13"/>
  <c r="V13" i="13"/>
  <c r="W13" i="13"/>
  <c r="X13" i="13"/>
  <c r="Y13" i="13"/>
  <c r="Z13" i="13"/>
  <c r="AA13" i="13"/>
  <c r="R14" i="13"/>
  <c r="S14" i="13"/>
  <c r="T14" i="13"/>
  <c r="U14" i="13"/>
  <c r="V14" i="13"/>
  <c r="W14" i="13"/>
  <c r="X14" i="13"/>
  <c r="Y14" i="13"/>
  <c r="Z14" i="13"/>
  <c r="AA14" i="13"/>
  <c r="R15" i="13"/>
  <c r="S15" i="13"/>
  <c r="T15" i="13"/>
  <c r="U15" i="13"/>
  <c r="V15" i="13"/>
  <c r="W15" i="13"/>
  <c r="X15" i="13"/>
  <c r="Y15" i="13"/>
  <c r="Z15" i="13"/>
  <c r="AA15" i="13"/>
  <c r="R16" i="13"/>
  <c r="S16" i="13"/>
  <c r="T16" i="13"/>
  <c r="U16" i="13"/>
  <c r="V16" i="13"/>
  <c r="W16" i="13"/>
  <c r="X16" i="13"/>
  <c r="Y16" i="13"/>
  <c r="Z16" i="13"/>
  <c r="AA16" i="13"/>
  <c r="R17" i="13"/>
  <c r="S17" i="13"/>
  <c r="T17" i="13"/>
  <c r="U17" i="13"/>
  <c r="V17" i="13"/>
  <c r="W17" i="13"/>
  <c r="X17" i="13"/>
  <c r="Y17" i="13"/>
  <c r="Z17" i="13"/>
  <c r="AA17" i="13"/>
  <c r="R18" i="13"/>
  <c r="S18" i="13"/>
  <c r="T18" i="13"/>
  <c r="U18" i="13"/>
  <c r="V18" i="13"/>
  <c r="W18" i="13"/>
  <c r="X18" i="13"/>
  <c r="Y18" i="13"/>
  <c r="Z18" i="13"/>
  <c r="AA18" i="13"/>
  <c r="R19" i="13"/>
  <c r="S19" i="13"/>
  <c r="T19" i="13"/>
  <c r="U19" i="13"/>
  <c r="V19" i="13"/>
  <c r="W19" i="13"/>
  <c r="X19" i="13"/>
  <c r="Y19" i="13"/>
  <c r="Z19" i="13"/>
  <c r="AA19" i="13"/>
  <c r="R20" i="13"/>
  <c r="S20" i="13"/>
  <c r="T20" i="13"/>
  <c r="U20" i="13"/>
  <c r="V20" i="13"/>
  <c r="W20" i="13"/>
  <c r="X20" i="13"/>
  <c r="Y20" i="13"/>
  <c r="Z20" i="13"/>
  <c r="AA20" i="13"/>
  <c r="R21" i="13"/>
  <c r="S21" i="13"/>
  <c r="T21" i="13"/>
  <c r="U21" i="13"/>
  <c r="V21" i="13"/>
  <c r="W21" i="13"/>
  <c r="X21" i="13"/>
  <c r="Y21" i="13"/>
  <c r="Z21" i="13"/>
  <c r="AA21" i="13"/>
  <c r="R22" i="13"/>
  <c r="S22" i="13"/>
  <c r="T22" i="13"/>
  <c r="U22" i="13"/>
  <c r="V22" i="13"/>
  <c r="W22" i="13"/>
  <c r="X22" i="13"/>
  <c r="Y22" i="13"/>
  <c r="Z22" i="13"/>
  <c r="AA22" i="13"/>
  <c r="R23" i="13"/>
  <c r="S23" i="13"/>
  <c r="T23" i="13"/>
  <c r="U23" i="13"/>
  <c r="V23" i="13"/>
  <c r="W23" i="13"/>
  <c r="X23" i="13"/>
  <c r="Y23" i="13"/>
  <c r="Z23" i="13"/>
  <c r="AA23" i="13"/>
  <c r="R24" i="13"/>
  <c r="S24" i="13"/>
  <c r="T24" i="13"/>
  <c r="U24" i="13"/>
  <c r="V24" i="13"/>
  <c r="W24" i="13"/>
  <c r="X24" i="13"/>
  <c r="Y24" i="13"/>
  <c r="Z24" i="13"/>
  <c r="AA24" i="13"/>
  <c r="R25" i="13"/>
  <c r="S25" i="13"/>
  <c r="T25" i="13"/>
  <c r="U25" i="13"/>
  <c r="V25" i="13"/>
  <c r="W25" i="13"/>
  <c r="X25" i="13"/>
  <c r="Y25" i="13"/>
  <c r="Z25" i="13"/>
  <c r="AA25" i="13"/>
  <c r="R26" i="13"/>
  <c r="S26" i="13"/>
  <c r="T26" i="13"/>
  <c r="U26" i="13"/>
  <c r="V26" i="13"/>
  <c r="W26" i="13"/>
  <c r="X26" i="13"/>
  <c r="Y26" i="13"/>
  <c r="Z26" i="13"/>
  <c r="AA26" i="13"/>
  <c r="R27" i="13"/>
  <c r="S27" i="13"/>
  <c r="T27" i="13"/>
  <c r="U27" i="13"/>
  <c r="V27" i="13"/>
  <c r="W27" i="13"/>
  <c r="X27" i="13"/>
  <c r="Y27" i="13"/>
  <c r="Z27" i="13"/>
  <c r="AA27" i="13"/>
  <c r="R28" i="13"/>
  <c r="S28" i="13"/>
  <c r="T28" i="13"/>
  <c r="U28" i="13"/>
  <c r="V28" i="13"/>
  <c r="W28" i="13"/>
  <c r="X28" i="13"/>
  <c r="Y28" i="13"/>
  <c r="Z28" i="13"/>
  <c r="AA28" i="13"/>
  <c r="R29" i="13"/>
  <c r="S29" i="13"/>
  <c r="T29" i="13"/>
  <c r="U29" i="13"/>
  <c r="V29" i="13"/>
  <c r="W29" i="13"/>
  <c r="X29" i="13"/>
  <c r="Y29" i="13"/>
  <c r="Z29" i="13"/>
  <c r="AA29" i="13"/>
  <c r="R30" i="13"/>
  <c r="S30" i="13"/>
  <c r="T30" i="13"/>
  <c r="U30" i="13"/>
  <c r="V30" i="13"/>
  <c r="W30" i="13"/>
  <c r="X30" i="13"/>
  <c r="Y30" i="13"/>
  <c r="Z30" i="13"/>
  <c r="AA30" i="13"/>
  <c r="R31" i="13"/>
  <c r="S31" i="13"/>
  <c r="T31" i="13"/>
  <c r="U31" i="13"/>
  <c r="V31" i="13"/>
  <c r="W31" i="13"/>
  <c r="X31" i="13"/>
  <c r="Y31" i="13"/>
  <c r="Z31" i="13"/>
  <c r="AA31" i="13"/>
  <c r="R32" i="13"/>
  <c r="S32" i="13"/>
  <c r="T32" i="13"/>
  <c r="U32" i="13"/>
  <c r="V32" i="13"/>
  <c r="W32" i="13"/>
  <c r="X32" i="13"/>
  <c r="Y32" i="13"/>
  <c r="Z32" i="13"/>
  <c r="AA32" i="13"/>
  <c r="R33" i="13"/>
  <c r="S33" i="13"/>
  <c r="T33" i="13"/>
  <c r="U33" i="13"/>
  <c r="V33" i="13"/>
  <c r="W33" i="13"/>
  <c r="X33" i="13"/>
  <c r="Y33" i="13"/>
  <c r="Z33" i="13"/>
  <c r="AA33" i="13"/>
  <c r="R34" i="13"/>
  <c r="S34" i="13"/>
  <c r="T34" i="13"/>
  <c r="U34" i="13"/>
  <c r="V34" i="13"/>
  <c r="W34" i="13"/>
  <c r="X34" i="13"/>
  <c r="Y34" i="13"/>
  <c r="Z34" i="13"/>
  <c r="AA34" i="13"/>
  <c r="R35" i="13"/>
  <c r="S35" i="13"/>
  <c r="T35" i="13"/>
  <c r="U35" i="13"/>
  <c r="V35" i="13"/>
  <c r="W35" i="13"/>
  <c r="X35" i="13"/>
  <c r="Y35" i="13"/>
  <c r="Z35" i="13"/>
  <c r="AA35" i="13"/>
  <c r="R36" i="13"/>
  <c r="S36" i="13"/>
  <c r="T36" i="13"/>
  <c r="U36" i="13"/>
  <c r="V36" i="13"/>
  <c r="W36" i="13"/>
  <c r="X36" i="13"/>
  <c r="Y36" i="13"/>
  <c r="Z36" i="13"/>
  <c r="AA36" i="13"/>
  <c r="R37" i="13"/>
  <c r="S37" i="13"/>
  <c r="T37" i="13"/>
  <c r="U37" i="13"/>
  <c r="V37" i="13"/>
  <c r="W37" i="13"/>
  <c r="X37" i="13"/>
  <c r="Y37" i="13"/>
  <c r="Z37" i="13"/>
  <c r="AA37" i="13"/>
  <c r="R38" i="13"/>
  <c r="S38" i="13"/>
  <c r="T38" i="13"/>
  <c r="U38" i="13"/>
  <c r="V38" i="13"/>
  <c r="W38" i="13"/>
  <c r="X38" i="13"/>
  <c r="Y38" i="13"/>
  <c r="Z38" i="13"/>
  <c r="AA38" i="13"/>
  <c r="R39" i="13"/>
  <c r="S39" i="13"/>
  <c r="T39" i="13"/>
  <c r="U39" i="13"/>
  <c r="V39" i="13"/>
  <c r="W39" i="13"/>
  <c r="X39" i="13"/>
  <c r="Y39" i="13"/>
  <c r="Z39" i="13"/>
  <c r="AA39" i="13"/>
  <c r="R40" i="13"/>
  <c r="S40" i="13"/>
  <c r="T40" i="13"/>
  <c r="U40" i="13"/>
  <c r="V40" i="13"/>
  <c r="W40" i="13"/>
  <c r="X40" i="13"/>
  <c r="Y40" i="13"/>
  <c r="Z40" i="13"/>
  <c r="AA40" i="13"/>
  <c r="R41" i="13"/>
  <c r="S41" i="13"/>
  <c r="T41" i="13"/>
  <c r="U41" i="13"/>
  <c r="V41" i="13"/>
  <c r="W41" i="13"/>
  <c r="X41" i="13"/>
  <c r="Y41" i="13"/>
  <c r="Z41" i="13"/>
  <c r="AA41" i="13"/>
  <c r="R42" i="13"/>
  <c r="S42" i="13"/>
  <c r="T42" i="13"/>
  <c r="U42" i="13"/>
  <c r="V42" i="13"/>
  <c r="W42" i="13"/>
  <c r="X42" i="13"/>
  <c r="Y42" i="13"/>
  <c r="Z42" i="13"/>
  <c r="AA42" i="13"/>
  <c r="R43" i="13"/>
  <c r="S43" i="13"/>
  <c r="T43" i="13"/>
  <c r="U43" i="13"/>
  <c r="V43" i="13"/>
  <c r="W43" i="13"/>
  <c r="X43" i="13"/>
  <c r="Y43" i="13"/>
  <c r="Z43" i="13"/>
  <c r="AA43" i="13"/>
  <c r="R44" i="13"/>
  <c r="S44" i="13"/>
  <c r="T44" i="13"/>
  <c r="U44" i="13"/>
  <c r="V44" i="13"/>
  <c r="W44" i="13"/>
  <c r="X44" i="13"/>
  <c r="Y44" i="13"/>
  <c r="Z44" i="13"/>
  <c r="AA44" i="13"/>
  <c r="R45" i="13"/>
  <c r="S45" i="13"/>
  <c r="T45" i="13"/>
  <c r="U45" i="13"/>
  <c r="V45" i="13"/>
  <c r="W45" i="13"/>
  <c r="X45" i="13"/>
  <c r="Y45" i="13"/>
  <c r="Z45" i="13"/>
  <c r="AA45" i="13"/>
  <c r="R46" i="13"/>
  <c r="S46" i="13"/>
  <c r="T46" i="13"/>
  <c r="U46" i="13"/>
  <c r="V46" i="13"/>
  <c r="W46" i="13"/>
  <c r="X46" i="13"/>
  <c r="Y46" i="13"/>
  <c r="Z46" i="13"/>
  <c r="AA46" i="13"/>
  <c r="R47" i="13"/>
  <c r="S47" i="13"/>
  <c r="T47" i="13"/>
  <c r="U47" i="13"/>
  <c r="V47" i="13"/>
  <c r="W47" i="13"/>
  <c r="X47" i="13"/>
  <c r="Y47" i="13"/>
  <c r="Z47" i="13"/>
  <c r="AA47" i="13"/>
  <c r="R48" i="13"/>
  <c r="S48" i="13"/>
  <c r="T48" i="13"/>
  <c r="U48" i="13"/>
  <c r="V48" i="13"/>
  <c r="W48" i="13"/>
  <c r="X48" i="13"/>
  <c r="Y48" i="13"/>
  <c r="Z48" i="13"/>
  <c r="AA48" i="13"/>
  <c r="R49" i="13"/>
  <c r="S49" i="13"/>
  <c r="T49" i="13"/>
  <c r="U49" i="13"/>
  <c r="V49" i="13"/>
  <c r="W49" i="13"/>
  <c r="X49" i="13"/>
  <c r="Y49" i="13"/>
  <c r="Z49" i="13"/>
  <c r="AA49" i="13"/>
  <c r="R50" i="13"/>
  <c r="S50" i="13"/>
  <c r="T50" i="13"/>
  <c r="U50" i="13"/>
  <c r="V50" i="13"/>
  <c r="W50" i="13"/>
  <c r="X50" i="13"/>
  <c r="Y50" i="13"/>
  <c r="Z50" i="13"/>
  <c r="AA50" i="13"/>
  <c r="R51" i="13"/>
  <c r="S51" i="13"/>
  <c r="T51" i="13"/>
  <c r="U51" i="13"/>
  <c r="V51" i="13"/>
  <c r="W51" i="13"/>
  <c r="X51" i="13"/>
  <c r="Y51" i="13"/>
  <c r="Z51" i="13"/>
  <c r="AA51" i="13"/>
  <c r="R52" i="13"/>
  <c r="S52" i="13"/>
  <c r="T52" i="13"/>
  <c r="U52" i="13"/>
  <c r="V52" i="13"/>
  <c r="W52" i="13"/>
  <c r="X52" i="13"/>
  <c r="Y52" i="13"/>
  <c r="Z52" i="13"/>
  <c r="AA52" i="13"/>
  <c r="R53" i="13"/>
  <c r="S53" i="13"/>
  <c r="T53" i="13"/>
  <c r="U53" i="13"/>
  <c r="V53" i="13"/>
  <c r="W53" i="13"/>
  <c r="X53" i="13"/>
  <c r="Y53" i="13"/>
  <c r="Z53" i="13"/>
  <c r="AA53" i="13"/>
  <c r="R54" i="13"/>
  <c r="S54" i="13"/>
  <c r="T54" i="13"/>
  <c r="U54" i="13"/>
  <c r="V54" i="13"/>
  <c r="W54" i="13"/>
  <c r="X54" i="13"/>
  <c r="Y54" i="13"/>
  <c r="Z54" i="13"/>
  <c r="AA54" i="13"/>
  <c r="R55" i="13"/>
  <c r="S55" i="13"/>
  <c r="T55" i="13"/>
  <c r="U55" i="13"/>
  <c r="V55" i="13"/>
  <c r="W55" i="13"/>
  <c r="X55" i="13"/>
  <c r="Y55" i="13"/>
  <c r="Z55" i="13"/>
  <c r="AA55" i="13"/>
  <c r="R56" i="13"/>
  <c r="S56" i="13"/>
  <c r="T56" i="13"/>
  <c r="U56" i="13"/>
  <c r="V56" i="13"/>
  <c r="W56" i="13"/>
  <c r="X56" i="13"/>
  <c r="Y56" i="13"/>
  <c r="Z56" i="13"/>
  <c r="AA56" i="13"/>
  <c r="R57" i="13"/>
  <c r="S57" i="13"/>
  <c r="T57" i="13"/>
  <c r="U57" i="13"/>
  <c r="V57" i="13"/>
  <c r="W57" i="13"/>
  <c r="X57" i="13"/>
  <c r="Y57" i="13"/>
  <c r="Z57" i="13"/>
  <c r="AA57" i="13"/>
  <c r="R58" i="13"/>
  <c r="S58" i="13"/>
  <c r="T58" i="13"/>
  <c r="U58" i="13"/>
  <c r="V58" i="13"/>
  <c r="W58" i="13"/>
  <c r="X58" i="13"/>
  <c r="Y58" i="13"/>
  <c r="Z58" i="13"/>
  <c r="AA58" i="13"/>
  <c r="R59" i="13"/>
  <c r="S59" i="13"/>
  <c r="T59" i="13"/>
  <c r="U59" i="13"/>
  <c r="V59" i="13"/>
  <c r="W59" i="13"/>
  <c r="X59" i="13"/>
  <c r="Y59" i="13"/>
  <c r="Z59" i="13"/>
  <c r="AA59" i="13"/>
  <c r="R60" i="13"/>
  <c r="S60" i="13"/>
  <c r="T60" i="13"/>
  <c r="U60" i="13"/>
  <c r="V60" i="13"/>
  <c r="W60" i="13"/>
  <c r="X60" i="13"/>
  <c r="Y60" i="13"/>
  <c r="Z60" i="13"/>
  <c r="AA60" i="13"/>
  <c r="R61" i="13"/>
  <c r="S61" i="13"/>
  <c r="T61" i="13"/>
  <c r="U61" i="13"/>
  <c r="V61" i="13"/>
  <c r="W61" i="13"/>
  <c r="X61" i="13"/>
  <c r="Y61" i="13"/>
  <c r="Z61" i="13"/>
  <c r="AA61" i="13"/>
  <c r="R62" i="13"/>
  <c r="S62" i="13"/>
  <c r="T62" i="13"/>
  <c r="U62" i="13"/>
  <c r="V62" i="13"/>
  <c r="W62" i="13"/>
  <c r="X62" i="13"/>
  <c r="Y62" i="13"/>
  <c r="Z62" i="13"/>
  <c r="AA62" i="13"/>
  <c r="R63" i="13"/>
  <c r="S63" i="13"/>
  <c r="T63" i="13"/>
  <c r="U63" i="13"/>
  <c r="V63" i="13"/>
  <c r="W63" i="13"/>
  <c r="X63" i="13"/>
  <c r="Y63" i="13"/>
  <c r="Z63" i="13"/>
  <c r="AA63" i="13"/>
  <c r="R64" i="13"/>
  <c r="S64" i="13"/>
  <c r="T64" i="13"/>
  <c r="U64" i="13"/>
  <c r="V64" i="13"/>
  <c r="W64" i="13"/>
  <c r="X64" i="13"/>
  <c r="Y64" i="13"/>
  <c r="Z64" i="13"/>
  <c r="AA64" i="13"/>
  <c r="R65" i="13"/>
  <c r="S65" i="13"/>
  <c r="T65" i="13"/>
  <c r="U65" i="13"/>
  <c r="V65" i="13"/>
  <c r="W65" i="13"/>
  <c r="X65" i="13"/>
  <c r="Y65" i="13"/>
  <c r="Z65" i="13"/>
  <c r="AA65" i="13"/>
  <c r="R66" i="13"/>
  <c r="S66" i="13"/>
  <c r="T66" i="13"/>
  <c r="U66" i="13"/>
  <c r="V66" i="13"/>
  <c r="W66" i="13"/>
  <c r="X66" i="13"/>
  <c r="Y66" i="13"/>
  <c r="Z66" i="13"/>
  <c r="AA66" i="13"/>
  <c r="R67" i="13"/>
  <c r="S67" i="13"/>
  <c r="T67" i="13"/>
  <c r="U67" i="13"/>
  <c r="V67" i="13"/>
  <c r="W67" i="13"/>
  <c r="X67" i="13"/>
  <c r="Y67" i="13"/>
  <c r="Z67" i="13"/>
  <c r="AA67" i="13"/>
  <c r="R68" i="13"/>
  <c r="S68" i="13"/>
  <c r="T68" i="13"/>
  <c r="U68" i="13"/>
  <c r="V68" i="13"/>
  <c r="W68" i="13"/>
  <c r="X68" i="13"/>
  <c r="Y68" i="13"/>
  <c r="Z68" i="13"/>
  <c r="AA68" i="13"/>
  <c r="R69" i="13"/>
  <c r="S69" i="13"/>
  <c r="T69" i="13"/>
  <c r="U69" i="13"/>
  <c r="V69" i="13"/>
  <c r="W69" i="13"/>
  <c r="X69" i="13"/>
  <c r="Y69" i="13"/>
  <c r="Z69" i="13"/>
  <c r="AA69" i="13"/>
  <c r="R70" i="13"/>
  <c r="S70" i="13"/>
  <c r="T70" i="13"/>
  <c r="U70" i="13"/>
  <c r="V70" i="13"/>
  <c r="W70" i="13"/>
  <c r="X70" i="13"/>
  <c r="Y70" i="13"/>
  <c r="Z70" i="13"/>
  <c r="AA70" i="13"/>
  <c r="R71" i="13"/>
  <c r="S71" i="13"/>
  <c r="T71" i="13"/>
  <c r="U71" i="13"/>
  <c r="V71" i="13"/>
  <c r="W71" i="13"/>
  <c r="X71" i="13"/>
  <c r="Y71" i="13"/>
  <c r="Z71" i="13"/>
  <c r="AA71" i="13"/>
  <c r="R72" i="13"/>
  <c r="S72" i="13"/>
  <c r="T72" i="13"/>
  <c r="U72" i="13"/>
  <c r="V72" i="13"/>
  <c r="W72" i="13"/>
  <c r="X72" i="13"/>
  <c r="Y72" i="13"/>
  <c r="Z72" i="13"/>
  <c r="AA72" i="13"/>
  <c r="R73" i="13"/>
  <c r="S73" i="13"/>
  <c r="T73" i="13"/>
  <c r="U73" i="13"/>
  <c r="V73" i="13"/>
  <c r="W73" i="13"/>
  <c r="X73" i="13"/>
  <c r="Y73" i="13"/>
  <c r="Z73" i="13"/>
  <c r="AA73" i="13"/>
  <c r="R74" i="13"/>
  <c r="S74" i="13"/>
  <c r="T74" i="13"/>
  <c r="U74" i="13"/>
  <c r="V74" i="13"/>
  <c r="W74" i="13"/>
  <c r="X74" i="13"/>
  <c r="Y74" i="13"/>
  <c r="Z74" i="13"/>
  <c r="AA74" i="13"/>
  <c r="R75" i="13"/>
  <c r="S75" i="13"/>
  <c r="T75" i="13"/>
  <c r="U75" i="13"/>
  <c r="V75" i="13"/>
  <c r="W75" i="13"/>
  <c r="X75" i="13"/>
  <c r="Y75" i="13"/>
  <c r="Z75" i="13"/>
  <c r="AA75" i="13"/>
  <c r="R76" i="13"/>
  <c r="S76" i="13"/>
  <c r="T76" i="13"/>
  <c r="U76" i="13"/>
  <c r="V76" i="13"/>
  <c r="W76" i="13"/>
  <c r="X76" i="13"/>
  <c r="Y76" i="13"/>
  <c r="Z76" i="13"/>
  <c r="AA76" i="13"/>
  <c r="R77" i="13"/>
  <c r="S77" i="13"/>
  <c r="T77" i="13"/>
  <c r="U77" i="13"/>
  <c r="V77" i="13"/>
  <c r="W77" i="13"/>
  <c r="X77" i="13"/>
  <c r="Y77" i="13"/>
  <c r="Z77" i="13"/>
  <c r="AA77" i="13"/>
  <c r="R78" i="13"/>
  <c r="S78" i="13"/>
  <c r="T78" i="13"/>
  <c r="U78" i="13"/>
  <c r="V78" i="13"/>
  <c r="W78" i="13"/>
  <c r="X78" i="13"/>
  <c r="Y78" i="13"/>
  <c r="Z78" i="13"/>
  <c r="AA78" i="13"/>
  <c r="R79" i="13"/>
  <c r="S79" i="13"/>
  <c r="T79" i="13"/>
  <c r="U79" i="13"/>
  <c r="V79" i="13"/>
  <c r="W79" i="13"/>
  <c r="X79" i="13"/>
  <c r="Y79" i="13"/>
  <c r="Z79" i="13"/>
  <c r="AA79" i="13"/>
  <c r="R80" i="13"/>
  <c r="S80" i="13"/>
  <c r="T80" i="13"/>
  <c r="U80" i="13"/>
  <c r="V80" i="13"/>
  <c r="W80" i="13"/>
  <c r="X80" i="13"/>
  <c r="Y80" i="13"/>
  <c r="Z80" i="13"/>
  <c r="AA80" i="13"/>
  <c r="R81" i="13"/>
  <c r="S81" i="13"/>
  <c r="T81" i="13"/>
  <c r="U81" i="13"/>
  <c r="V81" i="13"/>
  <c r="W81" i="13"/>
  <c r="X81" i="13"/>
  <c r="Y81" i="13"/>
  <c r="Z81" i="13"/>
  <c r="AA81" i="13"/>
  <c r="R82" i="13"/>
  <c r="S82" i="13"/>
  <c r="T82" i="13"/>
  <c r="U82" i="13"/>
  <c r="V82" i="13"/>
  <c r="W82" i="13"/>
  <c r="X82" i="13"/>
  <c r="Y82" i="13"/>
  <c r="Z82" i="13"/>
  <c r="AA82" i="13"/>
  <c r="R83" i="13"/>
  <c r="S83" i="13"/>
  <c r="T83" i="13"/>
  <c r="U83" i="13"/>
  <c r="V83" i="13"/>
  <c r="W83" i="13"/>
  <c r="X83" i="13"/>
  <c r="Y83" i="13"/>
  <c r="Z83" i="13"/>
  <c r="AA83" i="13"/>
  <c r="R84" i="13"/>
  <c r="S84" i="13"/>
  <c r="T84" i="13"/>
  <c r="U84" i="13"/>
  <c r="V84" i="13"/>
  <c r="W84" i="13"/>
  <c r="X84" i="13"/>
  <c r="Y84" i="13"/>
  <c r="Z84" i="13"/>
  <c r="AA84" i="13"/>
  <c r="R85" i="13"/>
  <c r="S85" i="13"/>
  <c r="T85" i="13"/>
  <c r="U85" i="13"/>
  <c r="V85" i="13"/>
  <c r="W85" i="13"/>
  <c r="X85" i="13"/>
  <c r="Y85" i="13"/>
  <c r="Z85" i="13"/>
  <c r="AA85" i="13"/>
  <c r="R86" i="13"/>
  <c r="S86" i="13"/>
  <c r="T86" i="13"/>
  <c r="U86" i="13"/>
  <c r="V86" i="13"/>
  <c r="W86" i="13"/>
  <c r="X86" i="13"/>
  <c r="Y86" i="13"/>
  <c r="Z86" i="13"/>
  <c r="AA86" i="13"/>
  <c r="R87" i="13"/>
  <c r="S87" i="13"/>
  <c r="T87" i="13"/>
  <c r="U87" i="13"/>
  <c r="V87" i="13"/>
  <c r="W87" i="13"/>
  <c r="X87" i="13"/>
  <c r="Y87" i="13"/>
  <c r="Z87" i="13"/>
  <c r="AA87" i="13"/>
  <c r="R88" i="13"/>
  <c r="S88" i="13"/>
  <c r="T88" i="13"/>
  <c r="U88" i="13"/>
  <c r="V88" i="13"/>
  <c r="W88" i="13"/>
  <c r="X88" i="13"/>
  <c r="Y88" i="13"/>
  <c r="Z88" i="13"/>
  <c r="AA88" i="13"/>
  <c r="R89" i="13"/>
  <c r="S89" i="13"/>
  <c r="T89" i="13"/>
  <c r="U89" i="13"/>
  <c r="V89" i="13"/>
  <c r="W89" i="13"/>
  <c r="X89" i="13"/>
  <c r="Y89" i="13"/>
  <c r="Z89" i="13"/>
  <c r="AA89" i="13"/>
  <c r="R90" i="13"/>
  <c r="S90" i="13"/>
  <c r="T90" i="13"/>
  <c r="U90" i="13"/>
  <c r="V90" i="13"/>
  <c r="W90" i="13"/>
  <c r="X90" i="13"/>
  <c r="Y90" i="13"/>
  <c r="Z90" i="13"/>
  <c r="AA90" i="13"/>
  <c r="R91" i="13"/>
  <c r="S91" i="13"/>
  <c r="T91" i="13"/>
  <c r="U91" i="13"/>
  <c r="V91" i="13"/>
  <c r="W91" i="13"/>
  <c r="X91" i="13"/>
  <c r="Y91" i="13"/>
  <c r="Z91" i="13"/>
  <c r="AA91" i="13"/>
  <c r="R92" i="13"/>
  <c r="S92" i="13"/>
  <c r="T92" i="13"/>
  <c r="U92" i="13"/>
  <c r="V92" i="13"/>
  <c r="W92" i="13"/>
  <c r="X92" i="13"/>
  <c r="Y92" i="13"/>
  <c r="Z92" i="13"/>
  <c r="AA92" i="13"/>
  <c r="R93" i="13"/>
  <c r="S93" i="13"/>
  <c r="T93" i="13"/>
  <c r="U93" i="13"/>
  <c r="V93" i="13"/>
  <c r="W93" i="13"/>
  <c r="X93" i="13"/>
  <c r="Y93" i="13"/>
  <c r="Z93" i="13"/>
  <c r="AA93" i="13"/>
  <c r="R94" i="13"/>
  <c r="S94" i="13"/>
  <c r="T94" i="13"/>
  <c r="U94" i="13"/>
  <c r="V94" i="13"/>
  <c r="W94" i="13"/>
  <c r="X94" i="13"/>
  <c r="Y94" i="13"/>
  <c r="Z94" i="13"/>
  <c r="AA94" i="13"/>
  <c r="R95" i="13"/>
  <c r="S95" i="13"/>
  <c r="T95" i="13"/>
  <c r="U95" i="13"/>
  <c r="V95" i="13"/>
  <c r="W95" i="13"/>
  <c r="X95" i="13"/>
  <c r="Y95" i="13"/>
  <c r="Z95" i="13"/>
  <c r="AA95" i="13"/>
  <c r="R96" i="13"/>
  <c r="S96" i="13"/>
  <c r="T96" i="13"/>
  <c r="U96" i="13"/>
  <c r="V96" i="13"/>
  <c r="W96" i="13"/>
  <c r="X96" i="13"/>
  <c r="Y96" i="13"/>
  <c r="Z96" i="13"/>
  <c r="AA96" i="13"/>
  <c r="R97" i="13"/>
  <c r="S97" i="13"/>
  <c r="T97" i="13"/>
  <c r="U97" i="13"/>
  <c r="V97" i="13"/>
  <c r="W97" i="13"/>
  <c r="X97" i="13"/>
  <c r="Y97" i="13"/>
  <c r="Z97" i="13"/>
  <c r="AA97" i="13"/>
  <c r="R98" i="13"/>
  <c r="S98" i="13"/>
  <c r="T98" i="13"/>
  <c r="U98" i="13"/>
  <c r="V98" i="13"/>
  <c r="W98" i="13"/>
  <c r="X98" i="13"/>
  <c r="Y98" i="13"/>
  <c r="Z98" i="13"/>
  <c r="AA98" i="13"/>
  <c r="R99" i="13"/>
  <c r="S99" i="13"/>
  <c r="T99" i="13"/>
  <c r="U99" i="13"/>
  <c r="V99" i="13"/>
  <c r="W99" i="13"/>
  <c r="X99" i="13"/>
  <c r="Y99" i="13"/>
  <c r="Z99" i="13"/>
  <c r="AA99" i="13"/>
  <c r="R100" i="13"/>
  <c r="S100" i="13"/>
  <c r="T100" i="13"/>
  <c r="U100" i="13"/>
  <c r="V100" i="13"/>
  <c r="W100" i="13"/>
  <c r="X100" i="13"/>
  <c r="Y100" i="13"/>
  <c r="Z100" i="13"/>
  <c r="AA100" i="13"/>
  <c r="R101" i="13"/>
  <c r="S101" i="13"/>
  <c r="T101" i="13"/>
  <c r="U101" i="13"/>
  <c r="V101" i="13"/>
  <c r="W101" i="13"/>
  <c r="X101" i="13"/>
  <c r="Y101" i="13"/>
  <c r="Z101" i="13"/>
  <c r="AA101" i="13"/>
  <c r="R102" i="13"/>
  <c r="S102" i="13"/>
  <c r="T102" i="13"/>
  <c r="U102" i="13"/>
  <c r="V102" i="13"/>
  <c r="W102" i="13"/>
  <c r="X102" i="13"/>
  <c r="Y102" i="13"/>
  <c r="Z102" i="13"/>
  <c r="AA102" i="13"/>
  <c r="R103" i="13"/>
  <c r="S103" i="13"/>
  <c r="T103" i="13"/>
  <c r="U103" i="13"/>
  <c r="V103" i="13"/>
  <c r="W103" i="13"/>
  <c r="X103" i="13"/>
  <c r="Y103" i="13"/>
  <c r="Z103" i="13"/>
  <c r="AA103" i="13"/>
  <c r="R104" i="13"/>
  <c r="S104" i="13"/>
  <c r="T104" i="13"/>
  <c r="U104" i="13"/>
  <c r="V104" i="13"/>
  <c r="W104" i="13"/>
  <c r="X104" i="13"/>
  <c r="Y104" i="13"/>
  <c r="Z104" i="13"/>
  <c r="AA104" i="13"/>
  <c r="R105" i="13"/>
  <c r="S105" i="13"/>
  <c r="T105" i="13"/>
  <c r="U105" i="13"/>
  <c r="V105" i="13"/>
  <c r="W105" i="13"/>
  <c r="X105" i="13"/>
  <c r="Y105" i="13"/>
  <c r="Z105" i="13"/>
  <c r="AA105" i="13"/>
  <c r="L6" i="13"/>
  <c r="M6" i="13" s="1"/>
  <c r="L7" i="13"/>
  <c r="M7" i="13" s="1"/>
  <c r="L8" i="13"/>
  <c r="M8" i="13" s="1"/>
  <c r="L9" i="13"/>
  <c r="M9" i="13" s="1"/>
  <c r="L10" i="13"/>
  <c r="M10" i="13" s="1"/>
  <c r="L11" i="13"/>
  <c r="M11" i="13" s="1"/>
  <c r="L12" i="13"/>
  <c r="M12" i="13" s="1"/>
  <c r="L13" i="13"/>
  <c r="M13" i="13" s="1"/>
  <c r="L14" i="13"/>
  <c r="M14" i="13" s="1"/>
  <c r="L15" i="13"/>
  <c r="M15" i="13" s="1"/>
  <c r="L16" i="13"/>
  <c r="M16" i="13" s="1"/>
  <c r="L17" i="13"/>
  <c r="M17" i="13" s="1"/>
  <c r="L18" i="13"/>
  <c r="M18" i="13" s="1"/>
  <c r="L19" i="13"/>
  <c r="M19" i="13" s="1"/>
  <c r="L20" i="13"/>
  <c r="M20" i="13" s="1"/>
  <c r="L21" i="13"/>
  <c r="M21" i="13" s="1"/>
  <c r="L22" i="13"/>
  <c r="M22" i="13" s="1"/>
  <c r="L23" i="13"/>
  <c r="M23" i="13" s="1"/>
  <c r="L24" i="13"/>
  <c r="M24" i="13" s="1"/>
  <c r="L25" i="13"/>
  <c r="M25" i="13" s="1"/>
  <c r="L26" i="13"/>
  <c r="M26" i="13" s="1"/>
  <c r="L27" i="13"/>
  <c r="M27" i="13" s="1"/>
  <c r="L28" i="13"/>
  <c r="M28" i="13" s="1"/>
  <c r="L29" i="13"/>
  <c r="M29" i="13" s="1"/>
  <c r="L30" i="13"/>
  <c r="M30" i="13" s="1"/>
  <c r="L31" i="13"/>
  <c r="M31" i="13" s="1"/>
  <c r="L32" i="13"/>
  <c r="M32" i="13" s="1"/>
  <c r="L33" i="13"/>
  <c r="M33" i="13" s="1"/>
  <c r="L34" i="13"/>
  <c r="M34" i="13" s="1"/>
  <c r="L35" i="13"/>
  <c r="M35" i="13" s="1"/>
  <c r="L36" i="13"/>
  <c r="M36" i="13" s="1"/>
  <c r="L37" i="13"/>
  <c r="M37" i="13" s="1"/>
  <c r="L38" i="13"/>
  <c r="M38" i="13" s="1"/>
  <c r="L39" i="13"/>
  <c r="M39" i="13" s="1"/>
  <c r="L40" i="13"/>
  <c r="M40" i="13" s="1"/>
  <c r="L41" i="13"/>
  <c r="M41" i="13" s="1"/>
  <c r="L42" i="13"/>
  <c r="M42" i="13" s="1"/>
  <c r="L43" i="13"/>
  <c r="M43" i="13" s="1"/>
  <c r="L44" i="13"/>
  <c r="M44" i="13" s="1"/>
  <c r="L45" i="13"/>
  <c r="M45" i="13" s="1"/>
  <c r="L46" i="13"/>
  <c r="M46" i="13" s="1"/>
  <c r="L47" i="13"/>
  <c r="M47" i="13" s="1"/>
  <c r="L48" i="13"/>
  <c r="M48" i="13" s="1"/>
  <c r="L49" i="13"/>
  <c r="M49" i="13" s="1"/>
  <c r="L50" i="13"/>
  <c r="M50" i="13" s="1"/>
  <c r="L51" i="13"/>
  <c r="M51" i="13" s="1"/>
  <c r="L52" i="13"/>
  <c r="M52" i="13" s="1"/>
  <c r="L53" i="13"/>
  <c r="M53" i="13" s="1"/>
  <c r="L54" i="13"/>
  <c r="M54" i="13" s="1"/>
  <c r="L55" i="13"/>
  <c r="M55" i="13" s="1"/>
  <c r="L56" i="13"/>
  <c r="M56" i="13" s="1"/>
  <c r="L57" i="13"/>
  <c r="M57" i="13" s="1"/>
  <c r="L58" i="13"/>
  <c r="M58" i="13" s="1"/>
  <c r="L59" i="13"/>
  <c r="M59" i="13" s="1"/>
  <c r="L60" i="13"/>
  <c r="M60" i="13" s="1"/>
  <c r="L61" i="13"/>
  <c r="M61" i="13" s="1"/>
  <c r="L62" i="13"/>
  <c r="M62" i="13" s="1"/>
  <c r="L63" i="13"/>
  <c r="M63" i="13" s="1"/>
  <c r="L64" i="13"/>
  <c r="M64" i="13" s="1"/>
  <c r="L65" i="13"/>
  <c r="M65" i="13" s="1"/>
  <c r="L66" i="13"/>
  <c r="M66" i="13" s="1"/>
  <c r="L67" i="13"/>
  <c r="M67" i="13" s="1"/>
  <c r="L68" i="13"/>
  <c r="M68" i="13" s="1"/>
  <c r="L69" i="13"/>
  <c r="M69" i="13" s="1"/>
  <c r="L70" i="13"/>
  <c r="M70" i="13" s="1"/>
  <c r="L71" i="13"/>
  <c r="M71" i="13" s="1"/>
  <c r="L72" i="13"/>
  <c r="M72" i="13" s="1"/>
  <c r="L73" i="13"/>
  <c r="M73" i="13" s="1"/>
  <c r="L74" i="13"/>
  <c r="M74" i="13" s="1"/>
  <c r="L75" i="13"/>
  <c r="M75" i="13" s="1"/>
  <c r="L76" i="13"/>
  <c r="M76" i="13" s="1"/>
  <c r="L77" i="13"/>
  <c r="M77" i="13" s="1"/>
  <c r="L78" i="13"/>
  <c r="M78" i="13" s="1"/>
  <c r="L79" i="13"/>
  <c r="M79" i="13" s="1"/>
  <c r="L80" i="13"/>
  <c r="M80" i="13" s="1"/>
  <c r="L81" i="13"/>
  <c r="M81" i="13" s="1"/>
  <c r="L82" i="13"/>
  <c r="M82" i="13" s="1"/>
  <c r="L83" i="13"/>
  <c r="M83" i="13" s="1"/>
  <c r="L84" i="13"/>
  <c r="M84" i="13" s="1"/>
  <c r="L85" i="13"/>
  <c r="M85" i="13" s="1"/>
  <c r="L86" i="13"/>
  <c r="M86" i="13" s="1"/>
  <c r="L87" i="13"/>
  <c r="M87" i="13" s="1"/>
  <c r="L88" i="13"/>
  <c r="M88" i="13" s="1"/>
  <c r="L89" i="13"/>
  <c r="M89" i="13" s="1"/>
  <c r="L90" i="13"/>
  <c r="M90" i="13" s="1"/>
  <c r="L91" i="13"/>
  <c r="M91" i="13" s="1"/>
  <c r="L92" i="13"/>
  <c r="M92" i="13" s="1"/>
  <c r="L93" i="13"/>
  <c r="M93" i="13" s="1"/>
  <c r="L94" i="13"/>
  <c r="M94" i="13" s="1"/>
  <c r="L95" i="13"/>
  <c r="M95" i="13" s="1"/>
  <c r="L96" i="13"/>
  <c r="M96" i="13" s="1"/>
  <c r="L97" i="13"/>
  <c r="M97" i="13" s="1"/>
  <c r="L98" i="13"/>
  <c r="M98" i="13" s="1"/>
  <c r="L99" i="13"/>
  <c r="M99" i="13" s="1"/>
  <c r="L100" i="13"/>
  <c r="M100" i="13" s="1"/>
  <c r="L101" i="13"/>
  <c r="M101" i="13" s="1"/>
  <c r="L102" i="13"/>
  <c r="M102" i="13" s="1"/>
  <c r="L103" i="13"/>
  <c r="M103" i="13" s="1"/>
  <c r="L104" i="13"/>
  <c r="M104" i="13" s="1"/>
  <c r="N5" i="13"/>
  <c r="O5" i="13" s="1"/>
  <c r="N6" i="13"/>
  <c r="O6" i="13" s="1"/>
  <c r="N7" i="13"/>
  <c r="O7" i="13" s="1"/>
  <c r="N8" i="13"/>
  <c r="O8" i="13" s="1"/>
  <c r="N9" i="13"/>
  <c r="O9" i="13" s="1"/>
  <c r="N10" i="13"/>
  <c r="O10" i="13" s="1"/>
  <c r="N11" i="13"/>
  <c r="O11" i="13" s="1"/>
  <c r="N12" i="13"/>
  <c r="O12" i="13" s="1"/>
  <c r="N13" i="13"/>
  <c r="O13" i="13" s="1"/>
  <c r="N14" i="13"/>
  <c r="O14" i="13" s="1"/>
  <c r="N15" i="13"/>
  <c r="O15" i="13" s="1"/>
  <c r="N16" i="13"/>
  <c r="O16" i="13" s="1"/>
  <c r="N17" i="13"/>
  <c r="O17" i="13" s="1"/>
  <c r="N18" i="13"/>
  <c r="O18" i="13" s="1"/>
  <c r="N19" i="13"/>
  <c r="O19" i="13" s="1"/>
  <c r="N20" i="13"/>
  <c r="O20" i="13" s="1"/>
  <c r="N21" i="13"/>
  <c r="O21" i="13" s="1"/>
  <c r="N22" i="13"/>
  <c r="O22" i="13" s="1"/>
  <c r="N23" i="13"/>
  <c r="O23" i="13" s="1"/>
  <c r="N24" i="13"/>
  <c r="O24" i="13" s="1"/>
  <c r="N25" i="13"/>
  <c r="O25" i="13" s="1"/>
  <c r="N26" i="13"/>
  <c r="O26" i="13" s="1"/>
  <c r="N27" i="13"/>
  <c r="O27" i="13" s="1"/>
  <c r="N28" i="13"/>
  <c r="O28" i="13" s="1"/>
  <c r="N29" i="13"/>
  <c r="O29" i="13" s="1"/>
  <c r="N30" i="13"/>
  <c r="O30" i="13" s="1"/>
  <c r="N31" i="13"/>
  <c r="O31" i="13" s="1"/>
  <c r="N32" i="13"/>
  <c r="O32" i="13" s="1"/>
  <c r="N33" i="13"/>
  <c r="O33" i="13" s="1"/>
  <c r="N34" i="13"/>
  <c r="O34" i="13" s="1"/>
  <c r="N35" i="13"/>
  <c r="O35" i="13" s="1"/>
  <c r="N36" i="13"/>
  <c r="O36" i="13" s="1"/>
  <c r="N37" i="13"/>
  <c r="O37" i="13" s="1"/>
  <c r="N38" i="13"/>
  <c r="O38" i="13" s="1"/>
  <c r="N39" i="13"/>
  <c r="O39" i="13" s="1"/>
  <c r="N40" i="13"/>
  <c r="O40" i="13" s="1"/>
  <c r="N41" i="13"/>
  <c r="O41" i="13" s="1"/>
  <c r="N42" i="13"/>
  <c r="O42" i="13" s="1"/>
  <c r="N43" i="13"/>
  <c r="O43" i="13" s="1"/>
  <c r="N44" i="13"/>
  <c r="O44" i="13" s="1"/>
  <c r="N45" i="13"/>
  <c r="O45" i="13" s="1"/>
  <c r="N46" i="13"/>
  <c r="O46" i="13" s="1"/>
  <c r="N47" i="13"/>
  <c r="O47" i="13" s="1"/>
  <c r="N48" i="13"/>
  <c r="O48" i="13" s="1"/>
  <c r="N49" i="13"/>
  <c r="O49" i="13" s="1"/>
  <c r="N50" i="13"/>
  <c r="O50" i="13" s="1"/>
  <c r="N51" i="13"/>
  <c r="O51" i="13" s="1"/>
  <c r="N52" i="13"/>
  <c r="O52" i="13" s="1"/>
  <c r="N53" i="13"/>
  <c r="O53" i="13" s="1"/>
  <c r="N54" i="13"/>
  <c r="O54" i="13" s="1"/>
  <c r="N55" i="13"/>
  <c r="O55" i="13" s="1"/>
  <c r="N56" i="13"/>
  <c r="O56" i="13" s="1"/>
  <c r="N57" i="13"/>
  <c r="O57" i="13" s="1"/>
  <c r="N58" i="13"/>
  <c r="O58" i="13" s="1"/>
  <c r="N59" i="13"/>
  <c r="O59" i="13" s="1"/>
  <c r="N60" i="13"/>
  <c r="O60" i="13" s="1"/>
  <c r="N61" i="13"/>
  <c r="O61" i="13" s="1"/>
  <c r="N62" i="13"/>
  <c r="O62" i="13" s="1"/>
  <c r="N63" i="13"/>
  <c r="O63" i="13" s="1"/>
  <c r="N64" i="13"/>
  <c r="O64" i="13" s="1"/>
  <c r="N65" i="13"/>
  <c r="O65" i="13" s="1"/>
  <c r="N66" i="13"/>
  <c r="O66" i="13" s="1"/>
  <c r="N67" i="13"/>
  <c r="O67" i="13" s="1"/>
  <c r="N68" i="13"/>
  <c r="O68" i="13" s="1"/>
  <c r="N69" i="13"/>
  <c r="O69" i="13" s="1"/>
  <c r="N70" i="13"/>
  <c r="O70" i="13" s="1"/>
  <c r="N71" i="13"/>
  <c r="O71" i="13" s="1"/>
  <c r="N72" i="13"/>
  <c r="O72" i="13" s="1"/>
  <c r="N73" i="13"/>
  <c r="O73" i="13" s="1"/>
  <c r="N74" i="13"/>
  <c r="O74" i="13" s="1"/>
  <c r="N75" i="13"/>
  <c r="O75" i="13" s="1"/>
  <c r="N76" i="13"/>
  <c r="O76" i="13" s="1"/>
  <c r="N77" i="13"/>
  <c r="O77" i="13" s="1"/>
  <c r="N78" i="13"/>
  <c r="O78" i="13" s="1"/>
  <c r="N79" i="13"/>
  <c r="O79" i="13" s="1"/>
  <c r="N80" i="13"/>
  <c r="O80" i="13" s="1"/>
  <c r="N81" i="13"/>
  <c r="O81" i="13" s="1"/>
  <c r="N82" i="13"/>
  <c r="O82" i="13" s="1"/>
  <c r="N83" i="13"/>
  <c r="O83" i="13" s="1"/>
  <c r="N84" i="13"/>
  <c r="O84" i="13" s="1"/>
  <c r="N85" i="13"/>
  <c r="O85" i="13" s="1"/>
  <c r="N86" i="13"/>
  <c r="O86" i="13" s="1"/>
  <c r="N87" i="13"/>
  <c r="O87" i="13" s="1"/>
  <c r="N88" i="13"/>
  <c r="O88" i="13" s="1"/>
  <c r="N89" i="13"/>
  <c r="O89" i="13" s="1"/>
  <c r="N90" i="13"/>
  <c r="O90" i="13" s="1"/>
  <c r="N91" i="13"/>
  <c r="O91" i="13" s="1"/>
  <c r="N92" i="13"/>
  <c r="O92" i="13" s="1"/>
  <c r="N93" i="13"/>
  <c r="O93" i="13" s="1"/>
  <c r="N94" i="13"/>
  <c r="O94" i="13" s="1"/>
  <c r="N95" i="13"/>
  <c r="O95" i="13" s="1"/>
  <c r="N96" i="13"/>
  <c r="O96" i="13" s="1"/>
  <c r="N97" i="13"/>
  <c r="O97" i="13" s="1"/>
  <c r="N98" i="13"/>
  <c r="O98" i="13" s="1"/>
  <c r="N99" i="13"/>
  <c r="O99" i="13" s="1"/>
  <c r="N100" i="13"/>
  <c r="O100" i="13" s="1"/>
  <c r="N101" i="13"/>
  <c r="O101" i="13" s="1"/>
  <c r="N102" i="13"/>
  <c r="O102" i="13" s="1"/>
  <c r="N103" i="13"/>
  <c r="O103" i="13" s="1"/>
  <c r="N104" i="13"/>
  <c r="O104" i="13" s="1"/>
  <c r="K105" i="13"/>
  <c r="J105" i="13"/>
  <c r="I105" i="13"/>
  <c r="H105" i="13"/>
  <c r="G105" i="13"/>
  <c r="F105" i="13"/>
  <c r="E105" i="13"/>
  <c r="D105" i="13"/>
  <c r="C105" i="13"/>
  <c r="B105" i="13"/>
  <c r="L45" i="12"/>
  <c r="M45" i="12" s="1"/>
  <c r="L5" i="6"/>
  <c r="M5" i="6" s="1"/>
  <c r="N5" i="6"/>
  <c r="O5" i="6" s="1"/>
  <c r="L5" i="9"/>
  <c r="M5" i="9" s="1"/>
  <c r="N5" i="9"/>
  <c r="O5" i="9" s="1"/>
  <c r="L5" i="11"/>
  <c r="M5" i="11" s="1"/>
  <c r="N5" i="11"/>
  <c r="O5" i="11" s="1"/>
  <c r="L5" i="1"/>
  <c r="M5" i="1" s="1"/>
  <c r="L6" i="1"/>
  <c r="M6" i="1" s="1"/>
  <c r="L7" i="1"/>
  <c r="M7" i="1" s="1"/>
  <c r="L8" i="1"/>
  <c r="M8" i="1" s="1"/>
  <c r="L9" i="1"/>
  <c r="M9" i="1" s="1"/>
  <c r="L10" i="1"/>
  <c r="M10" i="1" s="1"/>
  <c r="L11" i="1"/>
  <c r="M11" i="1" s="1"/>
  <c r="L12" i="1"/>
  <c r="M12" i="1" s="1"/>
  <c r="L13" i="1"/>
  <c r="M13" i="1" s="1"/>
  <c r="L14" i="1"/>
  <c r="M14" i="1" s="1"/>
  <c r="L15" i="1"/>
  <c r="M15" i="1" s="1"/>
  <c r="L16" i="1"/>
  <c r="M16" i="1" s="1"/>
  <c r="L17" i="1"/>
  <c r="M17" i="1" s="1"/>
  <c r="L18" i="1"/>
  <c r="M18" i="1" s="1"/>
  <c r="L19" i="1"/>
  <c r="M19" i="1" s="1"/>
  <c r="L20" i="1"/>
  <c r="M20" i="1" s="1"/>
  <c r="L21" i="1"/>
  <c r="M21" i="1" s="1"/>
  <c r="L22" i="1"/>
  <c r="M22" i="1" s="1"/>
  <c r="L23" i="1"/>
  <c r="M23" i="1" s="1"/>
  <c r="L24" i="1"/>
  <c r="M24" i="1" s="1"/>
  <c r="L25" i="1"/>
  <c r="M25" i="1" s="1"/>
  <c r="L26" i="1"/>
  <c r="M26" i="1" s="1"/>
  <c r="L27" i="1"/>
  <c r="M27" i="1" s="1"/>
  <c r="L28" i="1"/>
  <c r="M28" i="1" s="1"/>
  <c r="L29" i="1"/>
  <c r="M29" i="1" s="1"/>
  <c r="L30" i="1"/>
  <c r="M30" i="1" s="1"/>
  <c r="L31" i="1"/>
  <c r="M31" i="1" s="1"/>
  <c r="L32" i="1"/>
  <c r="M32" i="1" s="1"/>
  <c r="L33" i="1"/>
  <c r="M33" i="1" s="1"/>
  <c r="L34" i="1"/>
  <c r="M34" i="1" s="1"/>
  <c r="L35" i="1"/>
  <c r="M35" i="1" s="1"/>
  <c r="L36" i="1"/>
  <c r="M36" i="1" s="1"/>
  <c r="L37" i="1"/>
  <c r="M37" i="1" s="1"/>
  <c r="L38" i="1"/>
  <c r="M38" i="1" s="1"/>
  <c r="L39" i="1"/>
  <c r="M39" i="1" s="1"/>
  <c r="L40" i="1"/>
  <c r="M40" i="1" s="1"/>
  <c r="L41" i="1"/>
  <c r="M41" i="1" s="1"/>
  <c r="L42" i="1"/>
  <c r="M42" i="1" s="1"/>
  <c r="L43" i="1"/>
  <c r="M43" i="1" s="1"/>
  <c r="L44" i="1"/>
  <c r="M44" i="1" s="1"/>
  <c r="L45" i="1"/>
  <c r="M45" i="1" s="1"/>
  <c r="L46" i="1"/>
  <c r="M46" i="1" s="1"/>
  <c r="L47" i="1"/>
  <c r="M47" i="1" s="1"/>
  <c r="L48" i="1"/>
  <c r="M48" i="1" s="1"/>
  <c r="L49" i="1"/>
  <c r="M49" i="1" s="1"/>
  <c r="L50" i="1"/>
  <c r="M50" i="1" s="1"/>
  <c r="L51" i="1"/>
  <c r="M51" i="1" s="1"/>
  <c r="L52" i="1"/>
  <c r="M52" i="1" s="1"/>
  <c r="L53" i="1"/>
  <c r="M53" i="1" s="1"/>
  <c r="L54" i="1"/>
  <c r="M54" i="1" s="1"/>
  <c r="L55" i="1"/>
  <c r="M55" i="1" s="1"/>
  <c r="L56" i="1"/>
  <c r="M56" i="1" s="1"/>
  <c r="L57" i="1"/>
  <c r="M57" i="1" s="1"/>
  <c r="L58" i="1"/>
  <c r="M58" i="1" s="1"/>
  <c r="L59" i="1"/>
  <c r="M59" i="1" s="1"/>
  <c r="L60" i="1"/>
  <c r="M60" i="1" s="1"/>
  <c r="L61" i="1"/>
  <c r="M61" i="1" s="1"/>
  <c r="L62" i="1"/>
  <c r="M62" i="1" s="1"/>
  <c r="L63" i="1"/>
  <c r="M63" i="1" s="1"/>
  <c r="L64" i="1"/>
  <c r="M64" i="1" s="1"/>
  <c r="L65" i="1"/>
  <c r="M65" i="1" s="1"/>
  <c r="L66" i="1"/>
  <c r="M66" i="1" s="1"/>
  <c r="L67" i="1"/>
  <c r="M67" i="1" s="1"/>
  <c r="L68" i="1"/>
  <c r="M68" i="1" s="1"/>
  <c r="L69" i="1"/>
  <c r="M69" i="1" s="1"/>
  <c r="L70" i="1"/>
  <c r="M70" i="1" s="1"/>
  <c r="L71" i="1"/>
  <c r="M71" i="1" s="1"/>
  <c r="L72" i="1"/>
  <c r="M72" i="1" s="1"/>
  <c r="L73" i="1"/>
  <c r="M73" i="1" s="1"/>
  <c r="L74" i="1"/>
  <c r="M74" i="1" s="1"/>
  <c r="L75" i="1"/>
  <c r="M75" i="1" s="1"/>
  <c r="L76" i="1"/>
  <c r="M76" i="1" s="1"/>
  <c r="L77" i="1"/>
  <c r="M77" i="1" s="1"/>
  <c r="L78" i="1"/>
  <c r="M78" i="1" s="1"/>
  <c r="L79" i="1"/>
  <c r="M79" i="1" s="1"/>
  <c r="L80" i="1"/>
  <c r="M80" i="1" s="1"/>
  <c r="L81" i="1"/>
  <c r="M81" i="1" s="1"/>
  <c r="L82" i="1"/>
  <c r="M82" i="1" s="1"/>
  <c r="L83" i="1"/>
  <c r="M83" i="1" s="1"/>
  <c r="L84" i="1"/>
  <c r="M84" i="1" s="1"/>
  <c r="L85" i="1"/>
  <c r="M85" i="1" s="1"/>
  <c r="L86" i="1"/>
  <c r="M86" i="1" s="1"/>
  <c r="L87" i="1"/>
  <c r="M87" i="1" s="1"/>
  <c r="L88" i="1"/>
  <c r="M88" i="1" s="1"/>
  <c r="L89" i="1"/>
  <c r="M89" i="1" s="1"/>
  <c r="L90" i="1"/>
  <c r="M90" i="1" s="1"/>
  <c r="L91" i="1"/>
  <c r="M91" i="1" s="1"/>
  <c r="L92" i="1"/>
  <c r="M92" i="1" s="1"/>
  <c r="L93" i="1"/>
  <c r="M93" i="1" s="1"/>
  <c r="L94" i="1"/>
  <c r="M94" i="1" s="1"/>
  <c r="L95" i="1"/>
  <c r="M95" i="1" s="1"/>
  <c r="L96" i="1"/>
  <c r="M96" i="1" s="1"/>
  <c r="L97" i="1"/>
  <c r="M97" i="1" s="1"/>
  <c r="L98" i="1"/>
  <c r="M98" i="1" s="1"/>
  <c r="L99" i="1"/>
  <c r="M99" i="1" s="1"/>
  <c r="L100" i="1"/>
  <c r="M100" i="1" s="1"/>
  <c r="L101" i="1"/>
  <c r="M101" i="1" s="1"/>
  <c r="L102" i="1"/>
  <c r="M102" i="1" s="1"/>
  <c r="L103" i="1"/>
  <c r="M103" i="1" s="1"/>
  <c r="L104" i="1"/>
  <c r="M104" i="1" s="1"/>
  <c r="L6" i="11"/>
  <c r="M6" i="11" s="1"/>
  <c r="L7" i="11"/>
  <c r="M7" i="11" s="1"/>
  <c r="L8" i="11"/>
  <c r="M8" i="11" s="1"/>
  <c r="L9" i="11"/>
  <c r="M9" i="11" s="1"/>
  <c r="L10" i="11"/>
  <c r="M10" i="11" s="1"/>
  <c r="L11" i="11"/>
  <c r="M11" i="11" s="1"/>
  <c r="L12" i="11"/>
  <c r="M12" i="11" s="1"/>
  <c r="L13" i="11"/>
  <c r="M13" i="11" s="1"/>
  <c r="L14" i="11"/>
  <c r="M14" i="11" s="1"/>
  <c r="L15" i="11"/>
  <c r="M15" i="11" s="1"/>
  <c r="L16" i="11"/>
  <c r="M16" i="11" s="1"/>
  <c r="L17" i="11"/>
  <c r="M17" i="11" s="1"/>
  <c r="L18" i="11"/>
  <c r="M18" i="11" s="1"/>
  <c r="L19" i="11"/>
  <c r="M19" i="11" s="1"/>
  <c r="L20" i="11"/>
  <c r="M20" i="11" s="1"/>
  <c r="L21" i="11"/>
  <c r="M21" i="11" s="1"/>
  <c r="L22" i="11"/>
  <c r="M22" i="11" s="1"/>
  <c r="L23" i="11"/>
  <c r="M23" i="11" s="1"/>
  <c r="L24" i="11"/>
  <c r="M24" i="11" s="1"/>
  <c r="L25" i="11"/>
  <c r="M25" i="11" s="1"/>
  <c r="L26" i="11"/>
  <c r="M26" i="11" s="1"/>
  <c r="L27" i="11"/>
  <c r="M27" i="11" s="1"/>
  <c r="L28" i="11"/>
  <c r="M28" i="11" s="1"/>
  <c r="L29" i="11"/>
  <c r="M29" i="11" s="1"/>
  <c r="L30" i="11"/>
  <c r="M30" i="11" s="1"/>
  <c r="L31" i="11"/>
  <c r="M31" i="11" s="1"/>
  <c r="L32" i="11"/>
  <c r="M32" i="11" s="1"/>
  <c r="L33" i="11"/>
  <c r="M33" i="11" s="1"/>
  <c r="L34" i="11"/>
  <c r="M34" i="11" s="1"/>
  <c r="L35" i="11"/>
  <c r="M35" i="11" s="1"/>
  <c r="L36" i="11"/>
  <c r="M36" i="11" s="1"/>
  <c r="L37" i="11"/>
  <c r="M37" i="11" s="1"/>
  <c r="L38" i="11"/>
  <c r="M38" i="11" s="1"/>
  <c r="L39" i="11"/>
  <c r="M39" i="11" s="1"/>
  <c r="L40" i="11"/>
  <c r="M40" i="11" s="1"/>
  <c r="L41" i="11"/>
  <c r="M41" i="11" s="1"/>
  <c r="L42" i="11"/>
  <c r="M42" i="11" s="1"/>
  <c r="L43" i="11"/>
  <c r="M43" i="11" s="1"/>
  <c r="L44" i="11"/>
  <c r="M44" i="11" s="1"/>
  <c r="L45" i="11"/>
  <c r="M45" i="11" s="1"/>
  <c r="L46" i="11"/>
  <c r="M46" i="11" s="1"/>
  <c r="L47" i="11"/>
  <c r="M47" i="11" s="1"/>
  <c r="L48" i="11"/>
  <c r="M48" i="11" s="1"/>
  <c r="L49" i="11"/>
  <c r="M49" i="11" s="1"/>
  <c r="L50" i="11"/>
  <c r="M50" i="11" s="1"/>
  <c r="L51" i="11"/>
  <c r="M51" i="11" s="1"/>
  <c r="L52" i="11"/>
  <c r="M52" i="11" s="1"/>
  <c r="L53" i="11"/>
  <c r="M53" i="11" s="1"/>
  <c r="L54" i="11"/>
  <c r="M54" i="11" s="1"/>
  <c r="L55" i="11"/>
  <c r="M55" i="11" s="1"/>
  <c r="L56" i="11"/>
  <c r="M56" i="11" s="1"/>
  <c r="L57" i="11"/>
  <c r="M57" i="11" s="1"/>
  <c r="L58" i="11"/>
  <c r="M58" i="11" s="1"/>
  <c r="L59" i="11"/>
  <c r="M59" i="11" s="1"/>
  <c r="L60" i="11"/>
  <c r="M60" i="11" s="1"/>
  <c r="L61" i="11"/>
  <c r="M61" i="11" s="1"/>
  <c r="L62" i="11"/>
  <c r="M62" i="11" s="1"/>
  <c r="L63" i="11"/>
  <c r="M63" i="11" s="1"/>
  <c r="L64" i="11"/>
  <c r="M64" i="11" s="1"/>
  <c r="L65" i="11"/>
  <c r="M65" i="11" s="1"/>
  <c r="L66" i="11"/>
  <c r="M66" i="11" s="1"/>
  <c r="L67" i="11"/>
  <c r="M67" i="11" s="1"/>
  <c r="L68" i="11"/>
  <c r="M68" i="11" s="1"/>
  <c r="L69" i="11"/>
  <c r="M69" i="11" s="1"/>
  <c r="L70" i="11"/>
  <c r="M70" i="11" s="1"/>
  <c r="L71" i="11"/>
  <c r="M71" i="11" s="1"/>
  <c r="L72" i="11"/>
  <c r="M72" i="11" s="1"/>
  <c r="L73" i="11"/>
  <c r="M73" i="11" s="1"/>
  <c r="L74" i="11"/>
  <c r="M74" i="11" s="1"/>
  <c r="L75" i="11"/>
  <c r="M75" i="11" s="1"/>
  <c r="L76" i="11"/>
  <c r="M76" i="11" s="1"/>
  <c r="L77" i="11"/>
  <c r="M77" i="11" s="1"/>
  <c r="L78" i="11"/>
  <c r="M78" i="11" s="1"/>
  <c r="L79" i="11"/>
  <c r="M79" i="11" s="1"/>
  <c r="L80" i="11"/>
  <c r="M80" i="11" s="1"/>
  <c r="L81" i="11"/>
  <c r="M81" i="11" s="1"/>
  <c r="L82" i="11"/>
  <c r="M82" i="11" s="1"/>
  <c r="L83" i="11"/>
  <c r="M83" i="11" s="1"/>
  <c r="L84" i="11"/>
  <c r="M84" i="11" s="1"/>
  <c r="L85" i="11"/>
  <c r="M85" i="11" s="1"/>
  <c r="L86" i="11"/>
  <c r="M86" i="11" s="1"/>
  <c r="L87" i="11"/>
  <c r="M87" i="11" s="1"/>
  <c r="L88" i="11"/>
  <c r="M88" i="11" s="1"/>
  <c r="L89" i="11"/>
  <c r="M89" i="11" s="1"/>
  <c r="L90" i="11"/>
  <c r="M90" i="11" s="1"/>
  <c r="L91" i="11"/>
  <c r="M91" i="11" s="1"/>
  <c r="L92" i="11"/>
  <c r="M92" i="11" s="1"/>
  <c r="L93" i="11"/>
  <c r="M93" i="11" s="1"/>
  <c r="L94" i="11"/>
  <c r="M94" i="11" s="1"/>
  <c r="L95" i="11"/>
  <c r="M95" i="11" s="1"/>
  <c r="L96" i="11"/>
  <c r="M96" i="11" s="1"/>
  <c r="L97" i="11"/>
  <c r="M97" i="11" s="1"/>
  <c r="L98" i="11"/>
  <c r="M98" i="11" s="1"/>
  <c r="L99" i="11"/>
  <c r="M99" i="11" s="1"/>
  <c r="L100" i="11"/>
  <c r="M100" i="11" s="1"/>
  <c r="L101" i="11"/>
  <c r="M101" i="11" s="1"/>
  <c r="L102" i="11"/>
  <c r="M102" i="11" s="1"/>
  <c r="L103" i="11"/>
  <c r="M103" i="11" s="1"/>
  <c r="L104" i="11"/>
  <c r="M104" i="11" s="1"/>
  <c r="L5" i="7"/>
  <c r="M5" i="7" s="1"/>
  <c r="L6" i="7"/>
  <c r="M6" i="7" s="1"/>
  <c r="L7" i="7"/>
  <c r="M7" i="7" s="1"/>
  <c r="L8" i="7"/>
  <c r="M8" i="7" s="1"/>
  <c r="L9" i="7"/>
  <c r="M9" i="7" s="1"/>
  <c r="L10" i="7"/>
  <c r="M10" i="7" s="1"/>
  <c r="L11" i="7"/>
  <c r="M11" i="7" s="1"/>
  <c r="L12" i="7"/>
  <c r="M12" i="7" s="1"/>
  <c r="L13" i="7"/>
  <c r="M13" i="7" s="1"/>
  <c r="L14" i="7"/>
  <c r="M14" i="7" s="1"/>
  <c r="L15" i="7"/>
  <c r="M15" i="7" s="1"/>
  <c r="L16" i="7"/>
  <c r="M16" i="7" s="1"/>
  <c r="L17" i="7"/>
  <c r="M17" i="7" s="1"/>
  <c r="L18" i="7"/>
  <c r="M18" i="7" s="1"/>
  <c r="L19" i="7"/>
  <c r="M19" i="7" s="1"/>
  <c r="L20" i="7"/>
  <c r="M20" i="7" s="1"/>
  <c r="L21" i="7"/>
  <c r="M21" i="7" s="1"/>
  <c r="L22" i="7"/>
  <c r="M22" i="7" s="1"/>
  <c r="L23" i="7"/>
  <c r="M23" i="7" s="1"/>
  <c r="L24" i="7"/>
  <c r="M24" i="7" s="1"/>
  <c r="L25" i="7"/>
  <c r="M25" i="7" s="1"/>
  <c r="L26" i="7"/>
  <c r="M26" i="7" s="1"/>
  <c r="L27" i="7"/>
  <c r="M27" i="7" s="1"/>
  <c r="L28" i="7"/>
  <c r="M28" i="7" s="1"/>
  <c r="L29" i="7"/>
  <c r="M29" i="7" s="1"/>
  <c r="L30" i="7"/>
  <c r="M30" i="7" s="1"/>
  <c r="L31" i="7"/>
  <c r="M31" i="7" s="1"/>
  <c r="L32" i="7"/>
  <c r="M32" i="7" s="1"/>
  <c r="L33" i="7"/>
  <c r="M33" i="7" s="1"/>
  <c r="L34" i="7"/>
  <c r="M34" i="7" s="1"/>
  <c r="L35" i="7"/>
  <c r="M35" i="7" s="1"/>
  <c r="L36" i="7"/>
  <c r="M36" i="7" s="1"/>
  <c r="L37" i="7"/>
  <c r="M37" i="7" s="1"/>
  <c r="L38" i="7"/>
  <c r="M38" i="7" s="1"/>
  <c r="L39" i="7"/>
  <c r="M39" i="7" s="1"/>
  <c r="L40" i="7"/>
  <c r="M40" i="7" s="1"/>
  <c r="L41" i="7"/>
  <c r="M41" i="7" s="1"/>
  <c r="L42" i="7"/>
  <c r="M42" i="7" s="1"/>
  <c r="L43" i="7"/>
  <c r="M43" i="7" s="1"/>
  <c r="L44" i="7"/>
  <c r="M44" i="7" s="1"/>
  <c r="L45" i="7"/>
  <c r="M45" i="7" s="1"/>
  <c r="L46" i="7"/>
  <c r="M46" i="7" s="1"/>
  <c r="L47" i="7"/>
  <c r="M47" i="7" s="1"/>
  <c r="L48" i="7"/>
  <c r="M48" i="7" s="1"/>
  <c r="L49" i="7"/>
  <c r="M49" i="7" s="1"/>
  <c r="L50" i="7"/>
  <c r="M50" i="7" s="1"/>
  <c r="L51" i="7"/>
  <c r="M51" i="7" s="1"/>
  <c r="L52" i="7"/>
  <c r="M52" i="7" s="1"/>
  <c r="L53" i="7"/>
  <c r="M53" i="7" s="1"/>
  <c r="L54" i="7"/>
  <c r="M54" i="7" s="1"/>
  <c r="L55" i="7"/>
  <c r="M55" i="7" s="1"/>
  <c r="L56" i="7"/>
  <c r="M56" i="7" s="1"/>
  <c r="L57" i="7"/>
  <c r="M57" i="7" s="1"/>
  <c r="L58" i="7"/>
  <c r="M58" i="7" s="1"/>
  <c r="L59" i="7"/>
  <c r="M59" i="7" s="1"/>
  <c r="L60" i="7"/>
  <c r="M60" i="7" s="1"/>
  <c r="L61" i="7"/>
  <c r="M61" i="7" s="1"/>
  <c r="L62" i="7"/>
  <c r="M62" i="7" s="1"/>
  <c r="L63" i="7"/>
  <c r="M63" i="7" s="1"/>
  <c r="L64" i="7"/>
  <c r="M64" i="7" s="1"/>
  <c r="L65" i="7"/>
  <c r="M65" i="7" s="1"/>
  <c r="L66" i="7"/>
  <c r="M66" i="7" s="1"/>
  <c r="L67" i="7"/>
  <c r="M67" i="7" s="1"/>
  <c r="L68" i="7"/>
  <c r="M68" i="7" s="1"/>
  <c r="L69" i="7"/>
  <c r="M69" i="7" s="1"/>
  <c r="L70" i="7"/>
  <c r="M70" i="7" s="1"/>
  <c r="L71" i="7"/>
  <c r="M71" i="7" s="1"/>
  <c r="L72" i="7"/>
  <c r="M72" i="7" s="1"/>
  <c r="L73" i="7"/>
  <c r="M73" i="7" s="1"/>
  <c r="L74" i="7"/>
  <c r="M74" i="7" s="1"/>
  <c r="L75" i="7"/>
  <c r="M75" i="7" s="1"/>
  <c r="L76" i="7"/>
  <c r="M76" i="7" s="1"/>
  <c r="L77" i="7"/>
  <c r="M77" i="7" s="1"/>
  <c r="L78" i="7"/>
  <c r="M78" i="7" s="1"/>
  <c r="L79" i="7"/>
  <c r="M79" i="7" s="1"/>
  <c r="L80" i="7"/>
  <c r="M80" i="7" s="1"/>
  <c r="L81" i="7"/>
  <c r="M81" i="7" s="1"/>
  <c r="L82" i="7"/>
  <c r="M82" i="7" s="1"/>
  <c r="L83" i="7"/>
  <c r="M83" i="7" s="1"/>
  <c r="L84" i="7"/>
  <c r="M84" i="7" s="1"/>
  <c r="L85" i="7"/>
  <c r="M85" i="7" s="1"/>
  <c r="L86" i="7"/>
  <c r="M86" i="7" s="1"/>
  <c r="L87" i="7"/>
  <c r="M87" i="7" s="1"/>
  <c r="L88" i="7"/>
  <c r="M88" i="7" s="1"/>
  <c r="L89" i="7"/>
  <c r="M89" i="7" s="1"/>
  <c r="L90" i="7"/>
  <c r="M90" i="7" s="1"/>
  <c r="L91" i="7"/>
  <c r="M91" i="7" s="1"/>
  <c r="L92" i="7"/>
  <c r="M92" i="7" s="1"/>
  <c r="L93" i="7"/>
  <c r="M93" i="7" s="1"/>
  <c r="L94" i="7"/>
  <c r="M94" i="7" s="1"/>
  <c r="L95" i="7"/>
  <c r="M95" i="7" s="1"/>
  <c r="L96" i="7"/>
  <c r="M96" i="7" s="1"/>
  <c r="L97" i="7"/>
  <c r="M97" i="7" s="1"/>
  <c r="L98" i="7"/>
  <c r="M98" i="7" s="1"/>
  <c r="L99" i="7"/>
  <c r="M99" i="7" s="1"/>
  <c r="L100" i="7"/>
  <c r="M100" i="7" s="1"/>
  <c r="L101" i="7"/>
  <c r="M101" i="7" s="1"/>
  <c r="L102" i="7"/>
  <c r="M102" i="7" s="1"/>
  <c r="L103" i="7"/>
  <c r="M103" i="7" s="1"/>
  <c r="L104" i="7"/>
  <c r="M104" i="7" s="1"/>
  <c r="L5" i="8"/>
  <c r="M5" i="8" s="1"/>
  <c r="L6" i="8"/>
  <c r="M6" i="8" s="1"/>
  <c r="L7" i="8"/>
  <c r="M7" i="8" s="1"/>
  <c r="L8" i="8"/>
  <c r="M8" i="8" s="1"/>
  <c r="L9" i="8"/>
  <c r="M9" i="8" s="1"/>
  <c r="L10" i="8"/>
  <c r="M10" i="8" s="1"/>
  <c r="L11" i="8"/>
  <c r="M11" i="8" s="1"/>
  <c r="L12" i="8"/>
  <c r="M12" i="8" s="1"/>
  <c r="L13" i="8"/>
  <c r="M13" i="8" s="1"/>
  <c r="L14" i="8"/>
  <c r="M14" i="8" s="1"/>
  <c r="L15" i="8"/>
  <c r="M15" i="8" s="1"/>
  <c r="L16" i="8"/>
  <c r="M16" i="8" s="1"/>
  <c r="L17" i="8"/>
  <c r="M17" i="8" s="1"/>
  <c r="L18" i="8"/>
  <c r="M18" i="8" s="1"/>
  <c r="L19" i="8"/>
  <c r="M19" i="8" s="1"/>
  <c r="L20" i="8"/>
  <c r="M20" i="8" s="1"/>
  <c r="L21" i="8"/>
  <c r="M21" i="8" s="1"/>
  <c r="L22" i="8"/>
  <c r="M22" i="8" s="1"/>
  <c r="L23" i="8"/>
  <c r="M23" i="8" s="1"/>
  <c r="L24" i="8"/>
  <c r="M24" i="8" s="1"/>
  <c r="L25" i="8"/>
  <c r="M25" i="8" s="1"/>
  <c r="L26" i="8"/>
  <c r="M26" i="8" s="1"/>
  <c r="L27" i="8"/>
  <c r="M27" i="8" s="1"/>
  <c r="L28" i="8"/>
  <c r="M28" i="8" s="1"/>
  <c r="L29" i="8"/>
  <c r="M29" i="8" s="1"/>
  <c r="L30" i="8"/>
  <c r="M30" i="8" s="1"/>
  <c r="L31" i="8"/>
  <c r="M31" i="8" s="1"/>
  <c r="L32" i="8"/>
  <c r="M32" i="8" s="1"/>
  <c r="L33" i="8"/>
  <c r="M33" i="8" s="1"/>
  <c r="L34" i="8"/>
  <c r="M34" i="8" s="1"/>
  <c r="L35" i="8"/>
  <c r="M35" i="8" s="1"/>
  <c r="L36" i="8"/>
  <c r="M36" i="8" s="1"/>
  <c r="L37" i="8"/>
  <c r="M37" i="8" s="1"/>
  <c r="L38" i="8"/>
  <c r="M38" i="8" s="1"/>
  <c r="L39" i="8"/>
  <c r="M39" i="8" s="1"/>
  <c r="L40" i="8"/>
  <c r="M40" i="8" s="1"/>
  <c r="L41" i="8"/>
  <c r="M41" i="8" s="1"/>
  <c r="L42" i="8"/>
  <c r="M42" i="8" s="1"/>
  <c r="L43" i="8"/>
  <c r="M43" i="8" s="1"/>
  <c r="L44" i="8"/>
  <c r="M44" i="8" s="1"/>
  <c r="L45" i="8"/>
  <c r="M45" i="8" s="1"/>
  <c r="L46" i="8"/>
  <c r="M46" i="8" s="1"/>
  <c r="L47" i="8"/>
  <c r="M47" i="8" s="1"/>
  <c r="L48" i="8"/>
  <c r="M48" i="8" s="1"/>
  <c r="L49" i="8"/>
  <c r="M49" i="8" s="1"/>
  <c r="L50" i="8"/>
  <c r="M50" i="8" s="1"/>
  <c r="L51" i="8"/>
  <c r="M51" i="8" s="1"/>
  <c r="L52" i="8"/>
  <c r="M52" i="8" s="1"/>
  <c r="L53" i="8"/>
  <c r="M53" i="8" s="1"/>
  <c r="L54" i="8"/>
  <c r="M54" i="8" s="1"/>
  <c r="L55" i="8"/>
  <c r="M55" i="8" s="1"/>
  <c r="L56" i="8"/>
  <c r="M56" i="8" s="1"/>
  <c r="L57" i="8"/>
  <c r="M57" i="8" s="1"/>
  <c r="L58" i="8"/>
  <c r="M58" i="8" s="1"/>
  <c r="L59" i="8"/>
  <c r="M59" i="8" s="1"/>
  <c r="L60" i="8"/>
  <c r="M60" i="8" s="1"/>
  <c r="L61" i="8"/>
  <c r="M61" i="8" s="1"/>
  <c r="L62" i="8"/>
  <c r="M62" i="8" s="1"/>
  <c r="L63" i="8"/>
  <c r="M63" i="8" s="1"/>
  <c r="L64" i="8"/>
  <c r="M64" i="8" s="1"/>
  <c r="L65" i="8"/>
  <c r="M65" i="8" s="1"/>
  <c r="L66" i="8"/>
  <c r="M66" i="8" s="1"/>
  <c r="L67" i="8"/>
  <c r="M67" i="8" s="1"/>
  <c r="L68" i="8"/>
  <c r="M68" i="8" s="1"/>
  <c r="L69" i="8"/>
  <c r="M69" i="8" s="1"/>
  <c r="L70" i="8"/>
  <c r="M70" i="8" s="1"/>
  <c r="L71" i="8"/>
  <c r="M71" i="8" s="1"/>
  <c r="L72" i="8"/>
  <c r="M72" i="8" s="1"/>
  <c r="L73" i="8"/>
  <c r="M73" i="8" s="1"/>
  <c r="L74" i="8"/>
  <c r="M74" i="8" s="1"/>
  <c r="L75" i="8"/>
  <c r="M75" i="8" s="1"/>
  <c r="L76" i="8"/>
  <c r="M76" i="8" s="1"/>
  <c r="L77" i="8"/>
  <c r="M77" i="8" s="1"/>
  <c r="L78" i="8"/>
  <c r="M78" i="8" s="1"/>
  <c r="L79" i="8"/>
  <c r="M79" i="8" s="1"/>
  <c r="L80" i="8"/>
  <c r="M80" i="8" s="1"/>
  <c r="L81" i="8"/>
  <c r="M81" i="8" s="1"/>
  <c r="L82" i="8"/>
  <c r="M82" i="8" s="1"/>
  <c r="L83" i="8"/>
  <c r="M83" i="8" s="1"/>
  <c r="L84" i="8"/>
  <c r="M84" i="8" s="1"/>
  <c r="L85" i="8"/>
  <c r="M85" i="8" s="1"/>
  <c r="L86" i="8"/>
  <c r="M86" i="8" s="1"/>
  <c r="L87" i="8"/>
  <c r="M87" i="8" s="1"/>
  <c r="L88" i="8"/>
  <c r="M88" i="8" s="1"/>
  <c r="L89" i="8"/>
  <c r="M89" i="8" s="1"/>
  <c r="L90" i="8"/>
  <c r="M90" i="8" s="1"/>
  <c r="L91" i="8"/>
  <c r="M91" i="8" s="1"/>
  <c r="L92" i="8"/>
  <c r="M92" i="8" s="1"/>
  <c r="L93" i="8"/>
  <c r="M93" i="8" s="1"/>
  <c r="L94" i="8"/>
  <c r="M94" i="8" s="1"/>
  <c r="L95" i="8"/>
  <c r="M95" i="8" s="1"/>
  <c r="L96" i="8"/>
  <c r="M96" i="8" s="1"/>
  <c r="L97" i="8"/>
  <c r="M97" i="8" s="1"/>
  <c r="L98" i="8"/>
  <c r="M98" i="8" s="1"/>
  <c r="L99" i="8"/>
  <c r="M99" i="8" s="1"/>
  <c r="L100" i="8"/>
  <c r="M100" i="8" s="1"/>
  <c r="L101" i="8"/>
  <c r="M101" i="8" s="1"/>
  <c r="L102" i="8"/>
  <c r="M102" i="8" s="1"/>
  <c r="L103" i="8"/>
  <c r="M103" i="8" s="1"/>
  <c r="L104" i="8"/>
  <c r="M104" i="8" s="1"/>
  <c r="L6" i="9"/>
  <c r="M6" i="9" s="1"/>
  <c r="L7" i="9"/>
  <c r="M7" i="9" s="1"/>
  <c r="L8" i="9"/>
  <c r="M8" i="9" s="1"/>
  <c r="L9" i="9"/>
  <c r="M9" i="9" s="1"/>
  <c r="L10" i="9"/>
  <c r="M10" i="9" s="1"/>
  <c r="L11" i="9"/>
  <c r="M11" i="9" s="1"/>
  <c r="L12" i="9"/>
  <c r="M12" i="9" s="1"/>
  <c r="L13" i="9"/>
  <c r="M13" i="9" s="1"/>
  <c r="L14" i="9"/>
  <c r="M14" i="9" s="1"/>
  <c r="L15" i="9"/>
  <c r="M15" i="9" s="1"/>
  <c r="L16" i="9"/>
  <c r="M16" i="9" s="1"/>
  <c r="L17" i="9"/>
  <c r="M17" i="9" s="1"/>
  <c r="L18" i="9"/>
  <c r="M18" i="9" s="1"/>
  <c r="L19" i="9"/>
  <c r="M19" i="9" s="1"/>
  <c r="L20" i="9"/>
  <c r="M20" i="9" s="1"/>
  <c r="L21" i="9"/>
  <c r="M21" i="9" s="1"/>
  <c r="L22" i="9"/>
  <c r="M22" i="9" s="1"/>
  <c r="L23" i="9"/>
  <c r="M23" i="9" s="1"/>
  <c r="L24" i="9"/>
  <c r="M24" i="9" s="1"/>
  <c r="L25" i="9"/>
  <c r="M25" i="9" s="1"/>
  <c r="L26" i="9"/>
  <c r="M26" i="9" s="1"/>
  <c r="L27" i="9"/>
  <c r="M27" i="9" s="1"/>
  <c r="L28" i="9"/>
  <c r="M28" i="9" s="1"/>
  <c r="L29" i="9"/>
  <c r="M29" i="9" s="1"/>
  <c r="L30" i="9"/>
  <c r="M30" i="9" s="1"/>
  <c r="L31" i="9"/>
  <c r="M31" i="9" s="1"/>
  <c r="L32" i="9"/>
  <c r="M32" i="9" s="1"/>
  <c r="L33" i="9"/>
  <c r="M33" i="9" s="1"/>
  <c r="L34" i="9"/>
  <c r="M34" i="9" s="1"/>
  <c r="L35" i="9"/>
  <c r="M35" i="9" s="1"/>
  <c r="L36" i="9"/>
  <c r="M36" i="9" s="1"/>
  <c r="L37" i="9"/>
  <c r="M37" i="9" s="1"/>
  <c r="L38" i="9"/>
  <c r="M38" i="9" s="1"/>
  <c r="L39" i="9"/>
  <c r="M39" i="9" s="1"/>
  <c r="L40" i="9"/>
  <c r="M40" i="9" s="1"/>
  <c r="L41" i="9"/>
  <c r="M41" i="9" s="1"/>
  <c r="L42" i="9"/>
  <c r="M42" i="9" s="1"/>
  <c r="L43" i="9"/>
  <c r="M43" i="9" s="1"/>
  <c r="L44" i="9"/>
  <c r="M44" i="9" s="1"/>
  <c r="L45" i="9"/>
  <c r="M45" i="9" s="1"/>
  <c r="L46" i="9"/>
  <c r="M46" i="9" s="1"/>
  <c r="L47" i="9"/>
  <c r="M47" i="9" s="1"/>
  <c r="L48" i="9"/>
  <c r="M48" i="9" s="1"/>
  <c r="L49" i="9"/>
  <c r="M49" i="9" s="1"/>
  <c r="L50" i="9"/>
  <c r="M50" i="9" s="1"/>
  <c r="L51" i="9"/>
  <c r="M51" i="9" s="1"/>
  <c r="L52" i="9"/>
  <c r="M52" i="9" s="1"/>
  <c r="L53" i="9"/>
  <c r="M53" i="9" s="1"/>
  <c r="L54" i="9"/>
  <c r="M54" i="9" s="1"/>
  <c r="L55" i="9"/>
  <c r="M55" i="9" s="1"/>
  <c r="L56" i="9"/>
  <c r="M56" i="9" s="1"/>
  <c r="L57" i="9"/>
  <c r="M57" i="9" s="1"/>
  <c r="L58" i="9"/>
  <c r="M58" i="9" s="1"/>
  <c r="L59" i="9"/>
  <c r="M59" i="9" s="1"/>
  <c r="L60" i="9"/>
  <c r="M60" i="9" s="1"/>
  <c r="L61" i="9"/>
  <c r="M61" i="9" s="1"/>
  <c r="L62" i="9"/>
  <c r="M62" i="9" s="1"/>
  <c r="L63" i="9"/>
  <c r="M63" i="9" s="1"/>
  <c r="L64" i="9"/>
  <c r="M64" i="9" s="1"/>
  <c r="L65" i="9"/>
  <c r="M65" i="9" s="1"/>
  <c r="L66" i="9"/>
  <c r="M66" i="9" s="1"/>
  <c r="L67" i="9"/>
  <c r="M67" i="9" s="1"/>
  <c r="L68" i="9"/>
  <c r="M68" i="9" s="1"/>
  <c r="L69" i="9"/>
  <c r="M69" i="9" s="1"/>
  <c r="L70" i="9"/>
  <c r="M70" i="9" s="1"/>
  <c r="L71" i="9"/>
  <c r="M71" i="9" s="1"/>
  <c r="L72" i="9"/>
  <c r="M72" i="9" s="1"/>
  <c r="L73" i="9"/>
  <c r="M73" i="9" s="1"/>
  <c r="L74" i="9"/>
  <c r="M74" i="9" s="1"/>
  <c r="L75" i="9"/>
  <c r="M75" i="9" s="1"/>
  <c r="L76" i="9"/>
  <c r="M76" i="9" s="1"/>
  <c r="L77" i="9"/>
  <c r="M77" i="9" s="1"/>
  <c r="L78" i="9"/>
  <c r="M78" i="9" s="1"/>
  <c r="L79" i="9"/>
  <c r="M79" i="9" s="1"/>
  <c r="L80" i="9"/>
  <c r="M80" i="9" s="1"/>
  <c r="L81" i="9"/>
  <c r="M81" i="9" s="1"/>
  <c r="L82" i="9"/>
  <c r="M82" i="9" s="1"/>
  <c r="L83" i="9"/>
  <c r="M83" i="9" s="1"/>
  <c r="L84" i="9"/>
  <c r="M84" i="9" s="1"/>
  <c r="L85" i="9"/>
  <c r="M85" i="9" s="1"/>
  <c r="L86" i="9"/>
  <c r="M86" i="9" s="1"/>
  <c r="L87" i="9"/>
  <c r="M87" i="9" s="1"/>
  <c r="L88" i="9"/>
  <c r="M88" i="9" s="1"/>
  <c r="L89" i="9"/>
  <c r="M89" i="9" s="1"/>
  <c r="L90" i="9"/>
  <c r="M90" i="9" s="1"/>
  <c r="L91" i="9"/>
  <c r="M91" i="9" s="1"/>
  <c r="L92" i="9"/>
  <c r="M92" i="9" s="1"/>
  <c r="L93" i="9"/>
  <c r="M93" i="9" s="1"/>
  <c r="L94" i="9"/>
  <c r="M94" i="9" s="1"/>
  <c r="L95" i="9"/>
  <c r="M95" i="9" s="1"/>
  <c r="L96" i="9"/>
  <c r="M96" i="9" s="1"/>
  <c r="L97" i="9"/>
  <c r="M97" i="9" s="1"/>
  <c r="L98" i="9"/>
  <c r="M98" i="9" s="1"/>
  <c r="L99" i="9"/>
  <c r="M99" i="9" s="1"/>
  <c r="L100" i="9"/>
  <c r="M100" i="9" s="1"/>
  <c r="L101" i="9"/>
  <c r="M101" i="9" s="1"/>
  <c r="L102" i="9"/>
  <c r="M102" i="9" s="1"/>
  <c r="L103" i="9"/>
  <c r="M103" i="9" s="1"/>
  <c r="L104" i="9"/>
  <c r="M104" i="9" s="1"/>
  <c r="L6" i="6"/>
  <c r="M6" i="6" s="1"/>
  <c r="L7" i="6"/>
  <c r="M7" i="6" s="1"/>
  <c r="L8" i="6"/>
  <c r="M8" i="6" s="1"/>
  <c r="L9" i="6"/>
  <c r="M9" i="6" s="1"/>
  <c r="L10" i="6"/>
  <c r="M10" i="6" s="1"/>
  <c r="L11" i="6"/>
  <c r="M11" i="6" s="1"/>
  <c r="L12" i="6"/>
  <c r="M12" i="6" s="1"/>
  <c r="L13" i="6"/>
  <c r="M13" i="6" s="1"/>
  <c r="L14" i="6"/>
  <c r="M14" i="6" s="1"/>
  <c r="L15" i="6"/>
  <c r="M15" i="6" s="1"/>
  <c r="L16" i="6"/>
  <c r="M16" i="6" s="1"/>
  <c r="L17" i="6"/>
  <c r="M17" i="6" s="1"/>
  <c r="L18" i="6"/>
  <c r="M18" i="6" s="1"/>
  <c r="L19" i="6"/>
  <c r="M19" i="6" s="1"/>
  <c r="L20" i="6"/>
  <c r="M20" i="6" s="1"/>
  <c r="L21" i="6"/>
  <c r="M21" i="6" s="1"/>
  <c r="L22" i="6"/>
  <c r="M22" i="6" s="1"/>
  <c r="L23" i="6"/>
  <c r="M23" i="6" s="1"/>
  <c r="L24" i="6"/>
  <c r="M24" i="6" s="1"/>
  <c r="L25" i="6"/>
  <c r="M25" i="6" s="1"/>
  <c r="L26" i="6"/>
  <c r="M26" i="6" s="1"/>
  <c r="L27" i="6"/>
  <c r="M27" i="6" s="1"/>
  <c r="L28" i="6"/>
  <c r="M28" i="6" s="1"/>
  <c r="L29" i="6"/>
  <c r="M29" i="6" s="1"/>
  <c r="L30" i="6"/>
  <c r="M30" i="6" s="1"/>
  <c r="L31" i="6"/>
  <c r="M31" i="6" s="1"/>
  <c r="L32" i="6"/>
  <c r="M32" i="6" s="1"/>
  <c r="L33" i="6"/>
  <c r="M33" i="6" s="1"/>
  <c r="L34" i="6"/>
  <c r="M34" i="6" s="1"/>
  <c r="L35" i="6"/>
  <c r="M35" i="6" s="1"/>
  <c r="L36" i="6"/>
  <c r="M36" i="6" s="1"/>
  <c r="L37" i="6"/>
  <c r="M37" i="6" s="1"/>
  <c r="L38" i="6"/>
  <c r="M38" i="6" s="1"/>
  <c r="L39" i="6"/>
  <c r="M39" i="6" s="1"/>
  <c r="L40" i="6"/>
  <c r="M40" i="6" s="1"/>
  <c r="L41" i="6"/>
  <c r="M41" i="6" s="1"/>
  <c r="L42" i="6"/>
  <c r="M42" i="6" s="1"/>
  <c r="L43" i="6"/>
  <c r="M43" i="6" s="1"/>
  <c r="L44" i="6"/>
  <c r="M44" i="6" s="1"/>
  <c r="L45" i="6"/>
  <c r="M45" i="6" s="1"/>
  <c r="L46" i="6"/>
  <c r="M46" i="6" s="1"/>
  <c r="L47" i="6"/>
  <c r="M47" i="6" s="1"/>
  <c r="L48" i="6"/>
  <c r="M48" i="6" s="1"/>
  <c r="L49" i="6"/>
  <c r="M49" i="6" s="1"/>
  <c r="L50" i="6"/>
  <c r="M50" i="6" s="1"/>
  <c r="L51" i="6"/>
  <c r="M51" i="6" s="1"/>
  <c r="L52" i="6"/>
  <c r="M52" i="6" s="1"/>
  <c r="L53" i="6"/>
  <c r="M53" i="6" s="1"/>
  <c r="L54" i="6"/>
  <c r="M54" i="6" s="1"/>
  <c r="L55" i="6"/>
  <c r="M55" i="6" s="1"/>
  <c r="L56" i="6"/>
  <c r="M56" i="6" s="1"/>
  <c r="L57" i="6"/>
  <c r="M57" i="6" s="1"/>
  <c r="L58" i="6"/>
  <c r="M58" i="6" s="1"/>
  <c r="L59" i="6"/>
  <c r="M59" i="6" s="1"/>
  <c r="L60" i="6"/>
  <c r="M60" i="6" s="1"/>
  <c r="L61" i="6"/>
  <c r="M61" i="6" s="1"/>
  <c r="L62" i="6"/>
  <c r="M62" i="6" s="1"/>
  <c r="L63" i="6"/>
  <c r="M63" i="6" s="1"/>
  <c r="L64" i="6"/>
  <c r="M64" i="6" s="1"/>
  <c r="L65" i="6"/>
  <c r="M65" i="6" s="1"/>
  <c r="L66" i="6"/>
  <c r="M66" i="6" s="1"/>
  <c r="L67" i="6"/>
  <c r="M67" i="6" s="1"/>
  <c r="L68" i="6"/>
  <c r="M68" i="6" s="1"/>
  <c r="L69" i="6"/>
  <c r="M69" i="6" s="1"/>
  <c r="L70" i="6"/>
  <c r="M70" i="6" s="1"/>
  <c r="L71" i="6"/>
  <c r="M71" i="6" s="1"/>
  <c r="L72" i="6"/>
  <c r="M72" i="6" s="1"/>
  <c r="L73" i="6"/>
  <c r="M73" i="6" s="1"/>
  <c r="L74" i="6"/>
  <c r="M74" i="6" s="1"/>
  <c r="L75" i="6"/>
  <c r="M75" i="6" s="1"/>
  <c r="L76" i="6"/>
  <c r="M76" i="6" s="1"/>
  <c r="L77" i="6"/>
  <c r="M77" i="6" s="1"/>
  <c r="L78" i="6"/>
  <c r="M78" i="6" s="1"/>
  <c r="L79" i="6"/>
  <c r="M79" i="6" s="1"/>
  <c r="L80" i="6"/>
  <c r="M80" i="6" s="1"/>
  <c r="L81" i="6"/>
  <c r="M81" i="6" s="1"/>
  <c r="L82" i="6"/>
  <c r="M82" i="6" s="1"/>
  <c r="L83" i="6"/>
  <c r="M83" i="6" s="1"/>
  <c r="L84" i="6"/>
  <c r="M84" i="6" s="1"/>
  <c r="L85" i="6"/>
  <c r="M85" i="6" s="1"/>
  <c r="L86" i="6"/>
  <c r="M86" i="6" s="1"/>
  <c r="L87" i="6"/>
  <c r="M87" i="6" s="1"/>
  <c r="L88" i="6"/>
  <c r="M88" i="6" s="1"/>
  <c r="L89" i="6"/>
  <c r="M89" i="6" s="1"/>
  <c r="L90" i="6"/>
  <c r="M90" i="6" s="1"/>
  <c r="L91" i="6"/>
  <c r="M91" i="6" s="1"/>
  <c r="L92" i="6"/>
  <c r="M92" i="6" s="1"/>
  <c r="L93" i="6"/>
  <c r="M93" i="6" s="1"/>
  <c r="L94" i="6"/>
  <c r="M94" i="6" s="1"/>
  <c r="L95" i="6"/>
  <c r="M95" i="6" s="1"/>
  <c r="L96" i="6"/>
  <c r="M96" i="6" s="1"/>
  <c r="L97" i="6"/>
  <c r="M97" i="6" s="1"/>
  <c r="L98" i="6"/>
  <c r="M98" i="6" s="1"/>
  <c r="L99" i="6"/>
  <c r="M99" i="6" s="1"/>
  <c r="L100" i="6"/>
  <c r="M100" i="6" s="1"/>
  <c r="L101" i="6"/>
  <c r="M101" i="6" s="1"/>
  <c r="L102" i="6"/>
  <c r="M102" i="6" s="1"/>
  <c r="L103" i="6"/>
  <c r="M103" i="6" s="1"/>
  <c r="L104" i="6"/>
  <c r="M104" i="6" s="1"/>
  <c r="L5" i="12"/>
  <c r="M5" i="12" s="1"/>
  <c r="L6" i="12"/>
  <c r="M6" i="12" s="1"/>
  <c r="L7" i="12"/>
  <c r="M7" i="12" s="1"/>
  <c r="L8" i="12"/>
  <c r="M8" i="12" s="1"/>
  <c r="L9" i="12"/>
  <c r="M9" i="12" s="1"/>
  <c r="L10" i="12"/>
  <c r="M10" i="12" s="1"/>
  <c r="L11" i="12"/>
  <c r="M11" i="12" s="1"/>
  <c r="L12" i="12"/>
  <c r="M12" i="12" s="1"/>
  <c r="L13" i="12"/>
  <c r="M13" i="12" s="1"/>
  <c r="L14" i="12"/>
  <c r="M14" i="12" s="1"/>
  <c r="L15" i="12"/>
  <c r="M15" i="12" s="1"/>
  <c r="L16" i="12"/>
  <c r="M16" i="12" s="1"/>
  <c r="L17" i="12"/>
  <c r="M17" i="12" s="1"/>
  <c r="L18" i="12"/>
  <c r="M18" i="12" s="1"/>
  <c r="L19" i="12"/>
  <c r="M19" i="12" s="1"/>
  <c r="L20" i="12"/>
  <c r="M20" i="12" s="1"/>
  <c r="L21" i="12"/>
  <c r="M21" i="12" s="1"/>
  <c r="L22" i="12"/>
  <c r="M22" i="12" s="1"/>
  <c r="L23" i="12"/>
  <c r="M23" i="12" s="1"/>
  <c r="L24" i="12"/>
  <c r="M24" i="12" s="1"/>
  <c r="L25" i="12"/>
  <c r="M25" i="12" s="1"/>
  <c r="L26" i="12"/>
  <c r="M26" i="12" s="1"/>
  <c r="L27" i="12"/>
  <c r="M27" i="12" s="1"/>
  <c r="L28" i="12"/>
  <c r="M28" i="12" s="1"/>
  <c r="L29" i="12"/>
  <c r="M29" i="12" s="1"/>
  <c r="L30" i="12"/>
  <c r="M30" i="12" s="1"/>
  <c r="L31" i="12"/>
  <c r="M31" i="12" s="1"/>
  <c r="L32" i="12"/>
  <c r="M32" i="12" s="1"/>
  <c r="L33" i="12"/>
  <c r="M33" i="12" s="1"/>
  <c r="L34" i="12"/>
  <c r="M34" i="12" s="1"/>
  <c r="L35" i="12"/>
  <c r="M35" i="12" s="1"/>
  <c r="L36" i="12"/>
  <c r="M36" i="12" s="1"/>
  <c r="L37" i="12"/>
  <c r="M37" i="12" s="1"/>
  <c r="L38" i="12"/>
  <c r="M38" i="12" s="1"/>
  <c r="L39" i="12"/>
  <c r="M39" i="12" s="1"/>
  <c r="L40" i="12"/>
  <c r="M40" i="12" s="1"/>
  <c r="L41" i="12"/>
  <c r="M41" i="12" s="1"/>
  <c r="L42" i="12"/>
  <c r="M42" i="12" s="1"/>
  <c r="L43" i="12"/>
  <c r="M43" i="12" s="1"/>
  <c r="L44" i="12"/>
  <c r="M44" i="12" s="1"/>
  <c r="L46" i="12"/>
  <c r="M46" i="12" s="1"/>
  <c r="L47" i="12"/>
  <c r="M47" i="12" s="1"/>
  <c r="L48" i="12"/>
  <c r="M48" i="12" s="1"/>
  <c r="L49" i="12"/>
  <c r="M49" i="12" s="1"/>
  <c r="L50" i="12"/>
  <c r="M50" i="12" s="1"/>
  <c r="L51" i="12"/>
  <c r="M51" i="12" s="1"/>
  <c r="L52" i="12"/>
  <c r="M52" i="12" s="1"/>
  <c r="L53" i="12"/>
  <c r="M53" i="12" s="1"/>
  <c r="L54" i="12"/>
  <c r="M54" i="12" s="1"/>
  <c r="L55" i="12"/>
  <c r="M55" i="12" s="1"/>
  <c r="L56" i="12"/>
  <c r="M56" i="12" s="1"/>
  <c r="L57" i="12"/>
  <c r="M57" i="12" s="1"/>
  <c r="L58" i="12"/>
  <c r="M58" i="12" s="1"/>
  <c r="L59" i="12"/>
  <c r="M59" i="12" s="1"/>
  <c r="L60" i="12"/>
  <c r="M60" i="12" s="1"/>
  <c r="L61" i="12"/>
  <c r="M61" i="12" s="1"/>
  <c r="L62" i="12"/>
  <c r="M62" i="12" s="1"/>
  <c r="L63" i="12"/>
  <c r="M63" i="12" s="1"/>
  <c r="L64" i="12"/>
  <c r="M64" i="12" s="1"/>
  <c r="L65" i="12"/>
  <c r="M65" i="12" s="1"/>
  <c r="L66" i="12"/>
  <c r="M66" i="12" s="1"/>
  <c r="L67" i="12"/>
  <c r="M67" i="12" s="1"/>
  <c r="L68" i="12"/>
  <c r="M68" i="12" s="1"/>
  <c r="L69" i="12"/>
  <c r="M69" i="12" s="1"/>
  <c r="L70" i="12"/>
  <c r="M70" i="12" s="1"/>
  <c r="L71" i="12"/>
  <c r="M71" i="12" s="1"/>
  <c r="L72" i="12"/>
  <c r="M72" i="12" s="1"/>
  <c r="L73" i="12"/>
  <c r="M73" i="12" s="1"/>
  <c r="L74" i="12"/>
  <c r="M74" i="12" s="1"/>
  <c r="L75" i="12"/>
  <c r="M75" i="12" s="1"/>
  <c r="L76" i="12"/>
  <c r="M76" i="12" s="1"/>
  <c r="L77" i="12"/>
  <c r="M77" i="12" s="1"/>
  <c r="L78" i="12"/>
  <c r="M78" i="12" s="1"/>
  <c r="L79" i="12"/>
  <c r="M79" i="12" s="1"/>
  <c r="L80" i="12"/>
  <c r="M80" i="12" s="1"/>
  <c r="L81" i="12"/>
  <c r="M81" i="12" s="1"/>
  <c r="L82" i="12"/>
  <c r="M82" i="12" s="1"/>
  <c r="L83" i="12"/>
  <c r="M83" i="12" s="1"/>
  <c r="L84" i="12"/>
  <c r="M84" i="12" s="1"/>
  <c r="L85" i="12"/>
  <c r="M85" i="12" s="1"/>
  <c r="L86" i="12"/>
  <c r="M86" i="12" s="1"/>
  <c r="L87" i="12"/>
  <c r="M87" i="12" s="1"/>
  <c r="L88" i="12"/>
  <c r="M88" i="12" s="1"/>
  <c r="L89" i="12"/>
  <c r="M89" i="12" s="1"/>
  <c r="L90" i="12"/>
  <c r="M90" i="12" s="1"/>
  <c r="L91" i="12"/>
  <c r="M91" i="12" s="1"/>
  <c r="L92" i="12"/>
  <c r="M92" i="12" s="1"/>
  <c r="L93" i="12"/>
  <c r="M93" i="12" s="1"/>
  <c r="L94" i="12"/>
  <c r="M94" i="12" s="1"/>
  <c r="L95" i="12"/>
  <c r="M95" i="12" s="1"/>
  <c r="L96" i="12"/>
  <c r="M96" i="12" s="1"/>
  <c r="L97" i="12"/>
  <c r="M97" i="12" s="1"/>
  <c r="L98" i="12"/>
  <c r="M98" i="12" s="1"/>
  <c r="L99" i="12"/>
  <c r="M99" i="12" s="1"/>
  <c r="L100" i="12"/>
  <c r="M100" i="12" s="1"/>
  <c r="L101" i="12"/>
  <c r="M101" i="12" s="1"/>
  <c r="L102" i="12"/>
  <c r="M102" i="12" s="1"/>
  <c r="L103" i="12"/>
  <c r="M103" i="12" s="1"/>
  <c r="L104" i="12"/>
  <c r="M104" i="12" s="1"/>
  <c r="N5" i="12"/>
  <c r="O5" i="12" s="1"/>
  <c r="N104" i="12"/>
  <c r="O104" i="12" s="1"/>
  <c r="N103" i="12"/>
  <c r="O103" i="12" s="1"/>
  <c r="N102" i="12"/>
  <c r="O102" i="12" s="1"/>
  <c r="N101" i="12"/>
  <c r="O101" i="12" s="1"/>
  <c r="N100" i="12"/>
  <c r="O100" i="12" s="1"/>
  <c r="N99" i="12"/>
  <c r="O99" i="12" s="1"/>
  <c r="N98" i="12"/>
  <c r="O98" i="12" s="1"/>
  <c r="N97" i="12"/>
  <c r="O97" i="12" s="1"/>
  <c r="N96" i="12"/>
  <c r="O96" i="12" s="1"/>
  <c r="N95" i="12"/>
  <c r="O95" i="12" s="1"/>
  <c r="N94" i="12"/>
  <c r="O94" i="12" s="1"/>
  <c r="N93" i="12"/>
  <c r="O93" i="12" s="1"/>
  <c r="N92" i="12"/>
  <c r="O92" i="12" s="1"/>
  <c r="N91" i="12"/>
  <c r="O91" i="12" s="1"/>
  <c r="N90" i="12"/>
  <c r="O90" i="12" s="1"/>
  <c r="N89" i="12"/>
  <c r="O89" i="12" s="1"/>
  <c r="N88" i="12"/>
  <c r="O88" i="12" s="1"/>
  <c r="N87" i="12"/>
  <c r="O87" i="12" s="1"/>
  <c r="N86" i="12"/>
  <c r="O86" i="12" s="1"/>
  <c r="N85" i="12"/>
  <c r="O85" i="12" s="1"/>
  <c r="N84" i="12"/>
  <c r="O84" i="12" s="1"/>
  <c r="N83" i="12"/>
  <c r="O83" i="12" s="1"/>
  <c r="N82" i="12"/>
  <c r="O82" i="12" s="1"/>
  <c r="N81" i="12"/>
  <c r="O81" i="12" s="1"/>
  <c r="N80" i="12"/>
  <c r="O80" i="12" s="1"/>
  <c r="N79" i="12"/>
  <c r="O79" i="12" s="1"/>
  <c r="N78" i="12"/>
  <c r="O78" i="12" s="1"/>
  <c r="N77" i="12"/>
  <c r="O77" i="12" s="1"/>
  <c r="N76" i="12"/>
  <c r="O76" i="12" s="1"/>
  <c r="N75" i="12"/>
  <c r="O75" i="12" s="1"/>
  <c r="N74" i="12"/>
  <c r="O74" i="12" s="1"/>
  <c r="N73" i="12"/>
  <c r="O73" i="12" s="1"/>
  <c r="N72" i="12"/>
  <c r="O72" i="12" s="1"/>
  <c r="N71" i="12"/>
  <c r="O71" i="12" s="1"/>
  <c r="N70" i="12"/>
  <c r="O70" i="12" s="1"/>
  <c r="N69" i="12"/>
  <c r="O69" i="12" s="1"/>
  <c r="N68" i="12"/>
  <c r="O68" i="12" s="1"/>
  <c r="N67" i="12"/>
  <c r="O67" i="12" s="1"/>
  <c r="N66" i="12"/>
  <c r="O66" i="12" s="1"/>
  <c r="N65" i="12"/>
  <c r="O65" i="12" s="1"/>
  <c r="N64" i="12"/>
  <c r="O64" i="12" s="1"/>
  <c r="N63" i="12"/>
  <c r="O63" i="12" s="1"/>
  <c r="N62" i="12"/>
  <c r="O62" i="12" s="1"/>
  <c r="N61" i="12"/>
  <c r="O61" i="12" s="1"/>
  <c r="N60" i="12"/>
  <c r="O60" i="12" s="1"/>
  <c r="N59" i="12"/>
  <c r="O59" i="12" s="1"/>
  <c r="N58" i="12"/>
  <c r="O58" i="12" s="1"/>
  <c r="N57" i="12"/>
  <c r="O57" i="12" s="1"/>
  <c r="N56" i="12"/>
  <c r="O56" i="12" s="1"/>
  <c r="N55" i="12"/>
  <c r="O55" i="12" s="1"/>
  <c r="N54" i="12"/>
  <c r="O54" i="12" s="1"/>
  <c r="N53" i="12"/>
  <c r="O53" i="12" s="1"/>
  <c r="N52" i="12"/>
  <c r="O52" i="12" s="1"/>
  <c r="N51" i="12"/>
  <c r="O51" i="12" s="1"/>
  <c r="N50" i="12"/>
  <c r="O50" i="12" s="1"/>
  <c r="N49" i="12"/>
  <c r="O49" i="12" s="1"/>
  <c r="N48" i="12"/>
  <c r="O48" i="12" s="1"/>
  <c r="N47" i="12"/>
  <c r="O47" i="12" s="1"/>
  <c r="N46" i="12"/>
  <c r="O46" i="12" s="1"/>
  <c r="N45" i="12"/>
  <c r="O45" i="12" s="1"/>
  <c r="N44" i="12"/>
  <c r="O44" i="12" s="1"/>
  <c r="N43" i="12"/>
  <c r="O43" i="12" s="1"/>
  <c r="N42" i="12"/>
  <c r="O42" i="12" s="1"/>
  <c r="N41" i="12"/>
  <c r="O41" i="12" s="1"/>
  <c r="N40" i="12"/>
  <c r="O40" i="12" s="1"/>
  <c r="N39" i="12"/>
  <c r="O39" i="12" s="1"/>
  <c r="N38" i="12"/>
  <c r="O38" i="12" s="1"/>
  <c r="N37" i="12"/>
  <c r="O37" i="12" s="1"/>
  <c r="N36" i="12"/>
  <c r="O36" i="12" s="1"/>
  <c r="N35" i="12"/>
  <c r="O35" i="12" s="1"/>
  <c r="N34" i="12"/>
  <c r="O34" i="12" s="1"/>
  <c r="N33" i="12"/>
  <c r="O33" i="12" s="1"/>
  <c r="N32" i="12"/>
  <c r="O32" i="12" s="1"/>
  <c r="N31" i="12"/>
  <c r="O31" i="12" s="1"/>
  <c r="N30" i="12"/>
  <c r="O30" i="12" s="1"/>
  <c r="N29" i="12"/>
  <c r="O29" i="12" s="1"/>
  <c r="N28" i="12"/>
  <c r="O28" i="12" s="1"/>
  <c r="N27" i="12"/>
  <c r="O27" i="12" s="1"/>
  <c r="N26" i="12"/>
  <c r="O26" i="12" s="1"/>
  <c r="N25" i="12"/>
  <c r="O25" i="12" s="1"/>
  <c r="N24" i="12"/>
  <c r="O24" i="12" s="1"/>
  <c r="N23" i="12"/>
  <c r="O23" i="12" s="1"/>
  <c r="N22" i="12"/>
  <c r="O22" i="12" s="1"/>
  <c r="N21" i="12"/>
  <c r="O21" i="12" s="1"/>
  <c r="N20" i="12"/>
  <c r="O20" i="12" s="1"/>
  <c r="N19" i="12"/>
  <c r="O19" i="12" s="1"/>
  <c r="N18" i="12"/>
  <c r="O18" i="12" s="1"/>
  <c r="N17" i="12"/>
  <c r="O17" i="12" s="1"/>
  <c r="N16" i="12"/>
  <c r="O16" i="12" s="1"/>
  <c r="N15" i="12"/>
  <c r="O15" i="12" s="1"/>
  <c r="N14" i="12"/>
  <c r="O14" i="12" s="1"/>
  <c r="N13" i="12"/>
  <c r="O13" i="12" s="1"/>
  <c r="N12" i="12"/>
  <c r="O12" i="12" s="1"/>
  <c r="N11" i="12"/>
  <c r="O11" i="12" s="1"/>
  <c r="N10" i="12"/>
  <c r="O10" i="12" s="1"/>
  <c r="N9" i="12"/>
  <c r="O9" i="12" s="1"/>
  <c r="N8" i="12"/>
  <c r="O8" i="12" s="1"/>
  <c r="N7" i="12"/>
  <c r="O7" i="12" s="1"/>
  <c r="N6" i="12"/>
  <c r="O6" i="12" s="1"/>
  <c r="AA105" i="12"/>
  <c r="Z105" i="12"/>
  <c r="Y105" i="12"/>
  <c r="X105" i="12"/>
  <c r="W105" i="12"/>
  <c r="V105" i="12"/>
  <c r="U105" i="12"/>
  <c r="T105" i="12"/>
  <c r="S105" i="12"/>
  <c r="R105" i="12"/>
  <c r="K105" i="12"/>
  <c r="J105" i="12"/>
  <c r="I105" i="12"/>
  <c r="H105" i="12"/>
  <c r="G105" i="12"/>
  <c r="F105" i="12"/>
  <c r="E105" i="12"/>
  <c r="D105" i="12"/>
  <c r="C105" i="12"/>
  <c r="B105" i="12"/>
  <c r="AA104" i="12"/>
  <c r="Z104" i="12"/>
  <c r="Y104" i="12"/>
  <c r="X104" i="12"/>
  <c r="W104" i="12"/>
  <c r="V104" i="12"/>
  <c r="U104" i="12"/>
  <c r="T104" i="12"/>
  <c r="S104" i="12"/>
  <c r="R104" i="12"/>
  <c r="AA103" i="12"/>
  <c r="Z103" i="12"/>
  <c r="Y103" i="12"/>
  <c r="X103" i="12"/>
  <c r="W103" i="12"/>
  <c r="V103" i="12"/>
  <c r="U103" i="12"/>
  <c r="T103" i="12"/>
  <c r="S103" i="12"/>
  <c r="R103" i="12"/>
  <c r="AA102" i="12"/>
  <c r="Z102" i="12"/>
  <c r="Y102" i="12"/>
  <c r="X102" i="12"/>
  <c r="W102" i="12"/>
  <c r="V102" i="12"/>
  <c r="U102" i="12"/>
  <c r="T102" i="12"/>
  <c r="S102" i="12"/>
  <c r="R102" i="12"/>
  <c r="AA101" i="12"/>
  <c r="Z101" i="12"/>
  <c r="Y101" i="12"/>
  <c r="X101" i="12"/>
  <c r="W101" i="12"/>
  <c r="V101" i="12"/>
  <c r="U101" i="12"/>
  <c r="T101" i="12"/>
  <c r="S101" i="12"/>
  <c r="R101" i="12"/>
  <c r="AA100" i="12"/>
  <c r="Z100" i="12"/>
  <c r="Y100" i="12"/>
  <c r="X100" i="12"/>
  <c r="W100" i="12"/>
  <c r="V100" i="12"/>
  <c r="U100" i="12"/>
  <c r="T100" i="12"/>
  <c r="S100" i="12"/>
  <c r="R100" i="12"/>
  <c r="AA99" i="12"/>
  <c r="Z99" i="12"/>
  <c r="Y99" i="12"/>
  <c r="X99" i="12"/>
  <c r="W99" i="12"/>
  <c r="V99" i="12"/>
  <c r="U99" i="12"/>
  <c r="T99" i="12"/>
  <c r="S99" i="12"/>
  <c r="R99" i="12"/>
  <c r="AA98" i="12"/>
  <c r="Z98" i="12"/>
  <c r="Y98" i="12"/>
  <c r="X98" i="12"/>
  <c r="W98" i="12"/>
  <c r="V98" i="12"/>
  <c r="U98" i="12"/>
  <c r="T98" i="12"/>
  <c r="S98" i="12"/>
  <c r="R98" i="12"/>
  <c r="AA97" i="12"/>
  <c r="Z97" i="12"/>
  <c r="Y97" i="12"/>
  <c r="X97" i="12"/>
  <c r="W97" i="12"/>
  <c r="V97" i="12"/>
  <c r="U97" i="12"/>
  <c r="T97" i="12"/>
  <c r="S97" i="12"/>
  <c r="R97" i="12"/>
  <c r="AA96" i="12"/>
  <c r="Z96" i="12"/>
  <c r="Y96" i="12"/>
  <c r="X96" i="12"/>
  <c r="W96" i="12"/>
  <c r="V96" i="12"/>
  <c r="U96" i="12"/>
  <c r="T96" i="12"/>
  <c r="S96" i="12"/>
  <c r="R96" i="12"/>
  <c r="AA95" i="12"/>
  <c r="Z95" i="12"/>
  <c r="Y95" i="12"/>
  <c r="X95" i="12"/>
  <c r="W95" i="12"/>
  <c r="V95" i="12"/>
  <c r="U95" i="12"/>
  <c r="T95" i="12"/>
  <c r="S95" i="12"/>
  <c r="R95" i="12"/>
  <c r="AA94" i="12"/>
  <c r="Z94" i="12"/>
  <c r="Y94" i="12"/>
  <c r="X94" i="12"/>
  <c r="W94" i="12"/>
  <c r="V94" i="12"/>
  <c r="U94" i="12"/>
  <c r="T94" i="12"/>
  <c r="S94" i="12"/>
  <c r="R94" i="12"/>
  <c r="AA93" i="12"/>
  <c r="Z93" i="12"/>
  <c r="Y93" i="12"/>
  <c r="X93" i="12"/>
  <c r="W93" i="12"/>
  <c r="V93" i="12"/>
  <c r="U93" i="12"/>
  <c r="T93" i="12"/>
  <c r="S93" i="12"/>
  <c r="R93" i="12"/>
  <c r="AA92" i="12"/>
  <c r="Z92" i="12"/>
  <c r="Y92" i="12"/>
  <c r="X92" i="12"/>
  <c r="W92" i="12"/>
  <c r="V92" i="12"/>
  <c r="U92" i="12"/>
  <c r="T92" i="12"/>
  <c r="S92" i="12"/>
  <c r="R92" i="12"/>
  <c r="AA91" i="12"/>
  <c r="Z91" i="12"/>
  <c r="Y91" i="12"/>
  <c r="X91" i="12"/>
  <c r="W91" i="12"/>
  <c r="V91" i="12"/>
  <c r="U91" i="12"/>
  <c r="T91" i="12"/>
  <c r="S91" i="12"/>
  <c r="R91" i="12"/>
  <c r="AA90" i="12"/>
  <c r="Z90" i="12"/>
  <c r="Y90" i="12"/>
  <c r="X90" i="12"/>
  <c r="W90" i="12"/>
  <c r="V90" i="12"/>
  <c r="U90" i="12"/>
  <c r="T90" i="12"/>
  <c r="S90" i="12"/>
  <c r="R90" i="12"/>
  <c r="AA89" i="12"/>
  <c r="Z89" i="12"/>
  <c r="Y89" i="12"/>
  <c r="X89" i="12"/>
  <c r="W89" i="12"/>
  <c r="V89" i="12"/>
  <c r="U89" i="12"/>
  <c r="T89" i="12"/>
  <c r="S89" i="12"/>
  <c r="R89" i="12"/>
  <c r="AA88" i="12"/>
  <c r="Z88" i="12"/>
  <c r="Y88" i="12"/>
  <c r="X88" i="12"/>
  <c r="W88" i="12"/>
  <c r="V88" i="12"/>
  <c r="U88" i="12"/>
  <c r="T88" i="12"/>
  <c r="S88" i="12"/>
  <c r="R88" i="12"/>
  <c r="AA87" i="12"/>
  <c r="Z87" i="12"/>
  <c r="Y87" i="12"/>
  <c r="X87" i="12"/>
  <c r="W87" i="12"/>
  <c r="V87" i="12"/>
  <c r="U87" i="12"/>
  <c r="T87" i="12"/>
  <c r="S87" i="12"/>
  <c r="R87" i="12"/>
  <c r="AA86" i="12"/>
  <c r="Z86" i="12"/>
  <c r="Y86" i="12"/>
  <c r="X86" i="12"/>
  <c r="W86" i="12"/>
  <c r="V86" i="12"/>
  <c r="U86" i="12"/>
  <c r="T86" i="12"/>
  <c r="S86" i="12"/>
  <c r="R86" i="12"/>
  <c r="AA85" i="12"/>
  <c r="Z85" i="12"/>
  <c r="Y85" i="12"/>
  <c r="X85" i="12"/>
  <c r="W85" i="12"/>
  <c r="V85" i="12"/>
  <c r="U85" i="12"/>
  <c r="T85" i="12"/>
  <c r="S85" i="12"/>
  <c r="R85" i="12"/>
  <c r="AA84" i="12"/>
  <c r="Z84" i="12"/>
  <c r="Y84" i="12"/>
  <c r="X84" i="12"/>
  <c r="W84" i="12"/>
  <c r="V84" i="12"/>
  <c r="U84" i="12"/>
  <c r="T84" i="12"/>
  <c r="S84" i="12"/>
  <c r="R84" i="12"/>
  <c r="AA83" i="12"/>
  <c r="Z83" i="12"/>
  <c r="Y83" i="12"/>
  <c r="X83" i="12"/>
  <c r="W83" i="12"/>
  <c r="V83" i="12"/>
  <c r="U83" i="12"/>
  <c r="T83" i="12"/>
  <c r="S83" i="12"/>
  <c r="R83" i="12"/>
  <c r="AA82" i="12"/>
  <c r="Z82" i="12"/>
  <c r="Y82" i="12"/>
  <c r="X82" i="12"/>
  <c r="W82" i="12"/>
  <c r="V82" i="12"/>
  <c r="U82" i="12"/>
  <c r="T82" i="12"/>
  <c r="S82" i="12"/>
  <c r="R82" i="12"/>
  <c r="AA81" i="12"/>
  <c r="Z81" i="12"/>
  <c r="Y81" i="12"/>
  <c r="X81" i="12"/>
  <c r="W81" i="12"/>
  <c r="V81" i="12"/>
  <c r="U81" i="12"/>
  <c r="T81" i="12"/>
  <c r="S81" i="12"/>
  <c r="R81" i="12"/>
  <c r="AA80" i="12"/>
  <c r="Z80" i="12"/>
  <c r="Y80" i="12"/>
  <c r="X80" i="12"/>
  <c r="W80" i="12"/>
  <c r="V80" i="12"/>
  <c r="U80" i="12"/>
  <c r="T80" i="12"/>
  <c r="S80" i="12"/>
  <c r="R80" i="12"/>
  <c r="AA79" i="12"/>
  <c r="Z79" i="12"/>
  <c r="Y79" i="12"/>
  <c r="X79" i="12"/>
  <c r="W79" i="12"/>
  <c r="V79" i="12"/>
  <c r="U79" i="12"/>
  <c r="T79" i="12"/>
  <c r="S79" i="12"/>
  <c r="R79" i="12"/>
  <c r="AA78" i="12"/>
  <c r="Z78" i="12"/>
  <c r="Y78" i="12"/>
  <c r="X78" i="12"/>
  <c r="W78" i="12"/>
  <c r="V78" i="12"/>
  <c r="U78" i="12"/>
  <c r="T78" i="12"/>
  <c r="S78" i="12"/>
  <c r="R78" i="12"/>
  <c r="AA77" i="12"/>
  <c r="Z77" i="12"/>
  <c r="Y77" i="12"/>
  <c r="X77" i="12"/>
  <c r="W77" i="12"/>
  <c r="V77" i="12"/>
  <c r="U77" i="12"/>
  <c r="T77" i="12"/>
  <c r="S77" i="12"/>
  <c r="R77" i="12"/>
  <c r="AA76" i="12"/>
  <c r="Z76" i="12"/>
  <c r="Y76" i="12"/>
  <c r="X76" i="12"/>
  <c r="W76" i="12"/>
  <c r="V76" i="12"/>
  <c r="U76" i="12"/>
  <c r="T76" i="12"/>
  <c r="S76" i="12"/>
  <c r="R76" i="12"/>
  <c r="AA75" i="12"/>
  <c r="Z75" i="12"/>
  <c r="Y75" i="12"/>
  <c r="X75" i="12"/>
  <c r="W75" i="12"/>
  <c r="V75" i="12"/>
  <c r="U75" i="12"/>
  <c r="T75" i="12"/>
  <c r="S75" i="12"/>
  <c r="R75" i="12"/>
  <c r="AA74" i="12"/>
  <c r="Z74" i="12"/>
  <c r="Y74" i="12"/>
  <c r="X74" i="12"/>
  <c r="W74" i="12"/>
  <c r="V74" i="12"/>
  <c r="U74" i="12"/>
  <c r="T74" i="12"/>
  <c r="S74" i="12"/>
  <c r="R74" i="12"/>
  <c r="AA73" i="12"/>
  <c r="Z73" i="12"/>
  <c r="Y73" i="12"/>
  <c r="X73" i="12"/>
  <c r="W73" i="12"/>
  <c r="V73" i="12"/>
  <c r="U73" i="12"/>
  <c r="T73" i="12"/>
  <c r="S73" i="12"/>
  <c r="R73" i="12"/>
  <c r="AA72" i="12"/>
  <c r="Z72" i="12"/>
  <c r="Y72" i="12"/>
  <c r="X72" i="12"/>
  <c r="W72" i="12"/>
  <c r="V72" i="12"/>
  <c r="U72" i="12"/>
  <c r="T72" i="12"/>
  <c r="S72" i="12"/>
  <c r="R72" i="12"/>
  <c r="AA71" i="12"/>
  <c r="Z71" i="12"/>
  <c r="Y71" i="12"/>
  <c r="X71" i="12"/>
  <c r="W71" i="12"/>
  <c r="V71" i="12"/>
  <c r="U71" i="12"/>
  <c r="T71" i="12"/>
  <c r="S71" i="12"/>
  <c r="R71" i="12"/>
  <c r="AA70" i="12"/>
  <c r="Z70" i="12"/>
  <c r="Y70" i="12"/>
  <c r="X70" i="12"/>
  <c r="W70" i="12"/>
  <c r="V70" i="12"/>
  <c r="U70" i="12"/>
  <c r="T70" i="12"/>
  <c r="S70" i="12"/>
  <c r="R70" i="12"/>
  <c r="AA69" i="12"/>
  <c r="Z69" i="12"/>
  <c r="Y69" i="12"/>
  <c r="X69" i="12"/>
  <c r="W69" i="12"/>
  <c r="V69" i="12"/>
  <c r="U69" i="12"/>
  <c r="T69" i="12"/>
  <c r="S69" i="12"/>
  <c r="R69" i="12"/>
  <c r="AA68" i="12"/>
  <c r="Z68" i="12"/>
  <c r="Y68" i="12"/>
  <c r="X68" i="12"/>
  <c r="W68" i="12"/>
  <c r="V68" i="12"/>
  <c r="U68" i="12"/>
  <c r="T68" i="12"/>
  <c r="S68" i="12"/>
  <c r="R68" i="12"/>
  <c r="AA67" i="12"/>
  <c r="Z67" i="12"/>
  <c r="Y67" i="12"/>
  <c r="X67" i="12"/>
  <c r="W67" i="12"/>
  <c r="V67" i="12"/>
  <c r="U67" i="12"/>
  <c r="T67" i="12"/>
  <c r="S67" i="12"/>
  <c r="R67" i="12"/>
  <c r="AA66" i="12"/>
  <c r="Z66" i="12"/>
  <c r="Y66" i="12"/>
  <c r="X66" i="12"/>
  <c r="W66" i="12"/>
  <c r="V66" i="12"/>
  <c r="U66" i="12"/>
  <c r="T66" i="12"/>
  <c r="S66" i="12"/>
  <c r="R66" i="12"/>
  <c r="AA65" i="12"/>
  <c r="Z65" i="12"/>
  <c r="Y65" i="12"/>
  <c r="X65" i="12"/>
  <c r="W65" i="12"/>
  <c r="V65" i="12"/>
  <c r="U65" i="12"/>
  <c r="T65" i="12"/>
  <c r="S65" i="12"/>
  <c r="R65" i="12"/>
  <c r="AA64" i="12"/>
  <c r="Z64" i="12"/>
  <c r="Y64" i="12"/>
  <c r="X64" i="12"/>
  <c r="W64" i="12"/>
  <c r="V64" i="12"/>
  <c r="U64" i="12"/>
  <c r="T64" i="12"/>
  <c r="S64" i="12"/>
  <c r="R64" i="12"/>
  <c r="AA63" i="12"/>
  <c r="Z63" i="12"/>
  <c r="Y63" i="12"/>
  <c r="X63" i="12"/>
  <c r="W63" i="12"/>
  <c r="V63" i="12"/>
  <c r="U63" i="12"/>
  <c r="T63" i="12"/>
  <c r="S63" i="12"/>
  <c r="R63" i="12"/>
  <c r="AA62" i="12"/>
  <c r="Z62" i="12"/>
  <c r="Y62" i="12"/>
  <c r="X62" i="12"/>
  <c r="W62" i="12"/>
  <c r="V62" i="12"/>
  <c r="U62" i="12"/>
  <c r="T62" i="12"/>
  <c r="S62" i="12"/>
  <c r="R62" i="12"/>
  <c r="AA61" i="12"/>
  <c r="Z61" i="12"/>
  <c r="Y61" i="12"/>
  <c r="X61" i="12"/>
  <c r="W61" i="12"/>
  <c r="V61" i="12"/>
  <c r="U61" i="12"/>
  <c r="T61" i="12"/>
  <c r="S61" i="12"/>
  <c r="R61" i="12"/>
  <c r="AA60" i="12"/>
  <c r="Z60" i="12"/>
  <c r="Y60" i="12"/>
  <c r="X60" i="12"/>
  <c r="W60" i="12"/>
  <c r="V60" i="12"/>
  <c r="U60" i="12"/>
  <c r="T60" i="12"/>
  <c r="S60" i="12"/>
  <c r="R60" i="12"/>
  <c r="AA59" i="12"/>
  <c r="Z59" i="12"/>
  <c r="Y59" i="12"/>
  <c r="X59" i="12"/>
  <c r="W59" i="12"/>
  <c r="V59" i="12"/>
  <c r="U59" i="12"/>
  <c r="T59" i="12"/>
  <c r="S59" i="12"/>
  <c r="R59" i="12"/>
  <c r="AA58" i="12"/>
  <c r="Z58" i="12"/>
  <c r="Y58" i="12"/>
  <c r="X58" i="12"/>
  <c r="W58" i="12"/>
  <c r="V58" i="12"/>
  <c r="U58" i="12"/>
  <c r="T58" i="12"/>
  <c r="S58" i="12"/>
  <c r="R58" i="12"/>
  <c r="AA57" i="12"/>
  <c r="Z57" i="12"/>
  <c r="Y57" i="12"/>
  <c r="X57" i="12"/>
  <c r="W57" i="12"/>
  <c r="V57" i="12"/>
  <c r="U57" i="12"/>
  <c r="T57" i="12"/>
  <c r="S57" i="12"/>
  <c r="R57" i="12"/>
  <c r="AA56" i="12"/>
  <c r="Z56" i="12"/>
  <c r="Y56" i="12"/>
  <c r="X56" i="12"/>
  <c r="W56" i="12"/>
  <c r="V56" i="12"/>
  <c r="U56" i="12"/>
  <c r="T56" i="12"/>
  <c r="S56" i="12"/>
  <c r="R56" i="12"/>
  <c r="AA55" i="12"/>
  <c r="Z55" i="12"/>
  <c r="Y55" i="12"/>
  <c r="X55" i="12"/>
  <c r="W55" i="12"/>
  <c r="V55" i="12"/>
  <c r="U55" i="12"/>
  <c r="T55" i="12"/>
  <c r="S55" i="12"/>
  <c r="R55" i="12"/>
  <c r="AA54" i="12"/>
  <c r="Z54" i="12"/>
  <c r="Y54" i="12"/>
  <c r="X54" i="12"/>
  <c r="W54" i="12"/>
  <c r="V54" i="12"/>
  <c r="U54" i="12"/>
  <c r="T54" i="12"/>
  <c r="S54" i="12"/>
  <c r="R54" i="12"/>
  <c r="AA53" i="12"/>
  <c r="Z53" i="12"/>
  <c r="Y53" i="12"/>
  <c r="X53" i="12"/>
  <c r="W53" i="12"/>
  <c r="V53" i="12"/>
  <c r="U53" i="12"/>
  <c r="T53" i="12"/>
  <c r="S53" i="12"/>
  <c r="R53" i="12"/>
  <c r="AA52" i="12"/>
  <c r="Z52" i="12"/>
  <c r="Y52" i="12"/>
  <c r="X52" i="12"/>
  <c r="W52" i="12"/>
  <c r="V52" i="12"/>
  <c r="U52" i="12"/>
  <c r="T52" i="12"/>
  <c r="S52" i="12"/>
  <c r="R52" i="12"/>
  <c r="AA51" i="12"/>
  <c r="Z51" i="12"/>
  <c r="Y51" i="12"/>
  <c r="X51" i="12"/>
  <c r="W51" i="12"/>
  <c r="V51" i="12"/>
  <c r="U51" i="12"/>
  <c r="T51" i="12"/>
  <c r="S51" i="12"/>
  <c r="R51" i="12"/>
  <c r="AA50" i="12"/>
  <c r="Z50" i="12"/>
  <c r="Y50" i="12"/>
  <c r="X50" i="12"/>
  <c r="W50" i="12"/>
  <c r="V50" i="12"/>
  <c r="U50" i="12"/>
  <c r="T50" i="12"/>
  <c r="S50" i="12"/>
  <c r="R50" i="12"/>
  <c r="AA49" i="12"/>
  <c r="Z49" i="12"/>
  <c r="Y49" i="12"/>
  <c r="X49" i="12"/>
  <c r="W49" i="12"/>
  <c r="V49" i="12"/>
  <c r="U49" i="12"/>
  <c r="T49" i="12"/>
  <c r="S49" i="12"/>
  <c r="R49" i="12"/>
  <c r="AA48" i="12"/>
  <c r="Z48" i="12"/>
  <c r="Y48" i="12"/>
  <c r="X48" i="12"/>
  <c r="W48" i="12"/>
  <c r="V48" i="12"/>
  <c r="U48" i="12"/>
  <c r="T48" i="12"/>
  <c r="S48" i="12"/>
  <c r="R48" i="12"/>
  <c r="AA47" i="12"/>
  <c r="Z47" i="12"/>
  <c r="Y47" i="12"/>
  <c r="X47" i="12"/>
  <c r="W47" i="12"/>
  <c r="V47" i="12"/>
  <c r="U47" i="12"/>
  <c r="T47" i="12"/>
  <c r="S47" i="12"/>
  <c r="R47" i="12"/>
  <c r="AA46" i="12"/>
  <c r="Z46" i="12"/>
  <c r="Y46" i="12"/>
  <c r="X46" i="12"/>
  <c r="W46" i="12"/>
  <c r="V46" i="12"/>
  <c r="U46" i="12"/>
  <c r="T46" i="12"/>
  <c r="S46" i="12"/>
  <c r="R46" i="12"/>
  <c r="AA45" i="12"/>
  <c r="Z45" i="12"/>
  <c r="Y45" i="12"/>
  <c r="X45" i="12"/>
  <c r="W45" i="12"/>
  <c r="V45" i="12"/>
  <c r="U45" i="12"/>
  <c r="T45" i="12"/>
  <c r="S45" i="12"/>
  <c r="R45" i="12"/>
  <c r="AA44" i="12"/>
  <c r="Z44" i="12"/>
  <c r="Y44" i="12"/>
  <c r="X44" i="12"/>
  <c r="W44" i="12"/>
  <c r="V44" i="12"/>
  <c r="U44" i="12"/>
  <c r="T44" i="12"/>
  <c r="S44" i="12"/>
  <c r="R44" i="12"/>
  <c r="AA43" i="12"/>
  <c r="Z43" i="12"/>
  <c r="Y43" i="12"/>
  <c r="X43" i="12"/>
  <c r="W43" i="12"/>
  <c r="V43" i="12"/>
  <c r="U43" i="12"/>
  <c r="T43" i="12"/>
  <c r="S43" i="12"/>
  <c r="R43" i="12"/>
  <c r="AA42" i="12"/>
  <c r="Z42" i="12"/>
  <c r="Y42" i="12"/>
  <c r="X42" i="12"/>
  <c r="W42" i="12"/>
  <c r="V42" i="12"/>
  <c r="U42" i="12"/>
  <c r="T42" i="12"/>
  <c r="S42" i="12"/>
  <c r="R42" i="12"/>
  <c r="AA41" i="12"/>
  <c r="Z41" i="12"/>
  <c r="Y41" i="12"/>
  <c r="X41" i="12"/>
  <c r="W41" i="12"/>
  <c r="V41" i="12"/>
  <c r="U41" i="12"/>
  <c r="T41" i="12"/>
  <c r="S41" i="12"/>
  <c r="R41" i="12"/>
  <c r="AA40" i="12"/>
  <c r="Z40" i="12"/>
  <c r="Y40" i="12"/>
  <c r="X40" i="12"/>
  <c r="W40" i="12"/>
  <c r="V40" i="12"/>
  <c r="U40" i="12"/>
  <c r="T40" i="12"/>
  <c r="S40" i="12"/>
  <c r="R40" i="12"/>
  <c r="AA39" i="12"/>
  <c r="Z39" i="12"/>
  <c r="Y39" i="12"/>
  <c r="X39" i="12"/>
  <c r="W39" i="12"/>
  <c r="V39" i="12"/>
  <c r="U39" i="12"/>
  <c r="T39" i="12"/>
  <c r="S39" i="12"/>
  <c r="R39" i="12"/>
  <c r="AA38" i="12"/>
  <c r="Z38" i="12"/>
  <c r="Y38" i="12"/>
  <c r="X38" i="12"/>
  <c r="W38" i="12"/>
  <c r="V38" i="12"/>
  <c r="U38" i="12"/>
  <c r="T38" i="12"/>
  <c r="S38" i="12"/>
  <c r="R38" i="12"/>
  <c r="AA37" i="12"/>
  <c r="Z37" i="12"/>
  <c r="Y37" i="12"/>
  <c r="X37" i="12"/>
  <c r="W37" i="12"/>
  <c r="V37" i="12"/>
  <c r="U37" i="12"/>
  <c r="T37" i="12"/>
  <c r="S37" i="12"/>
  <c r="R37" i="12"/>
  <c r="AA36" i="12"/>
  <c r="Z36" i="12"/>
  <c r="Y36" i="12"/>
  <c r="X36" i="12"/>
  <c r="W36" i="12"/>
  <c r="V36" i="12"/>
  <c r="U36" i="12"/>
  <c r="T36" i="12"/>
  <c r="S36" i="12"/>
  <c r="R36" i="12"/>
  <c r="AA35" i="12"/>
  <c r="Z35" i="12"/>
  <c r="Y35" i="12"/>
  <c r="X35" i="12"/>
  <c r="W35" i="12"/>
  <c r="V35" i="12"/>
  <c r="U35" i="12"/>
  <c r="T35" i="12"/>
  <c r="S35" i="12"/>
  <c r="R35" i="12"/>
  <c r="AA34" i="12"/>
  <c r="Z34" i="12"/>
  <c r="Y34" i="12"/>
  <c r="X34" i="12"/>
  <c r="W34" i="12"/>
  <c r="V34" i="12"/>
  <c r="U34" i="12"/>
  <c r="T34" i="12"/>
  <c r="S34" i="12"/>
  <c r="R34" i="12"/>
  <c r="AA33" i="12"/>
  <c r="Z33" i="12"/>
  <c r="Y33" i="12"/>
  <c r="X33" i="12"/>
  <c r="W33" i="12"/>
  <c r="V33" i="12"/>
  <c r="U33" i="12"/>
  <c r="T33" i="12"/>
  <c r="S33" i="12"/>
  <c r="R33" i="12"/>
  <c r="AA32" i="12"/>
  <c r="Z32" i="12"/>
  <c r="Y32" i="12"/>
  <c r="X32" i="12"/>
  <c r="W32" i="12"/>
  <c r="V32" i="12"/>
  <c r="U32" i="12"/>
  <c r="T32" i="12"/>
  <c r="S32" i="12"/>
  <c r="R32" i="12"/>
  <c r="AA31" i="12"/>
  <c r="Z31" i="12"/>
  <c r="Y31" i="12"/>
  <c r="X31" i="12"/>
  <c r="W31" i="12"/>
  <c r="V31" i="12"/>
  <c r="U31" i="12"/>
  <c r="T31" i="12"/>
  <c r="S31" i="12"/>
  <c r="R31" i="12"/>
  <c r="AA30" i="12"/>
  <c r="Z30" i="12"/>
  <c r="Y30" i="12"/>
  <c r="X30" i="12"/>
  <c r="W30" i="12"/>
  <c r="V30" i="12"/>
  <c r="U30" i="12"/>
  <c r="T30" i="12"/>
  <c r="S30" i="12"/>
  <c r="R30" i="12"/>
  <c r="AA29" i="12"/>
  <c r="Z29" i="12"/>
  <c r="Y29" i="12"/>
  <c r="X29" i="12"/>
  <c r="W29" i="12"/>
  <c r="V29" i="12"/>
  <c r="U29" i="12"/>
  <c r="T29" i="12"/>
  <c r="S29" i="12"/>
  <c r="R29" i="12"/>
  <c r="AA28" i="12"/>
  <c r="Z28" i="12"/>
  <c r="Y28" i="12"/>
  <c r="X28" i="12"/>
  <c r="W28" i="12"/>
  <c r="V28" i="12"/>
  <c r="U28" i="12"/>
  <c r="T28" i="12"/>
  <c r="S28" i="12"/>
  <c r="R28" i="12"/>
  <c r="AA27" i="12"/>
  <c r="Z27" i="12"/>
  <c r="Y27" i="12"/>
  <c r="X27" i="12"/>
  <c r="W27" i="12"/>
  <c r="V27" i="12"/>
  <c r="U27" i="12"/>
  <c r="T27" i="12"/>
  <c r="S27" i="12"/>
  <c r="R27" i="12"/>
  <c r="AA26" i="12"/>
  <c r="Z26" i="12"/>
  <c r="Y26" i="12"/>
  <c r="X26" i="12"/>
  <c r="W26" i="12"/>
  <c r="V26" i="12"/>
  <c r="U26" i="12"/>
  <c r="T26" i="12"/>
  <c r="S26" i="12"/>
  <c r="R26" i="12"/>
  <c r="AA25" i="12"/>
  <c r="Z25" i="12"/>
  <c r="Y25" i="12"/>
  <c r="X25" i="12"/>
  <c r="W25" i="12"/>
  <c r="V25" i="12"/>
  <c r="U25" i="12"/>
  <c r="T25" i="12"/>
  <c r="S25" i="12"/>
  <c r="R25" i="12"/>
  <c r="AA24" i="12"/>
  <c r="Z24" i="12"/>
  <c r="Y24" i="12"/>
  <c r="X24" i="12"/>
  <c r="W24" i="12"/>
  <c r="V24" i="12"/>
  <c r="U24" i="12"/>
  <c r="T24" i="12"/>
  <c r="S24" i="12"/>
  <c r="R24" i="12"/>
  <c r="AA23" i="12"/>
  <c r="Z23" i="12"/>
  <c r="Y23" i="12"/>
  <c r="X23" i="12"/>
  <c r="W23" i="12"/>
  <c r="V23" i="12"/>
  <c r="U23" i="12"/>
  <c r="T23" i="12"/>
  <c r="S23" i="12"/>
  <c r="R23" i="12"/>
  <c r="AA22" i="12"/>
  <c r="Z22" i="12"/>
  <c r="Y22" i="12"/>
  <c r="X22" i="12"/>
  <c r="W22" i="12"/>
  <c r="V22" i="12"/>
  <c r="U22" i="12"/>
  <c r="T22" i="12"/>
  <c r="S22" i="12"/>
  <c r="R22" i="12"/>
  <c r="AA21" i="12"/>
  <c r="Z21" i="12"/>
  <c r="Y21" i="12"/>
  <c r="X21" i="12"/>
  <c r="W21" i="12"/>
  <c r="V21" i="12"/>
  <c r="U21" i="12"/>
  <c r="T21" i="12"/>
  <c r="S21" i="12"/>
  <c r="R21" i="12"/>
  <c r="AA20" i="12"/>
  <c r="Z20" i="12"/>
  <c r="Y20" i="12"/>
  <c r="X20" i="12"/>
  <c r="W20" i="12"/>
  <c r="V20" i="12"/>
  <c r="U20" i="12"/>
  <c r="T20" i="12"/>
  <c r="S20" i="12"/>
  <c r="R20" i="12"/>
  <c r="AA19" i="12"/>
  <c r="Z19" i="12"/>
  <c r="Y19" i="12"/>
  <c r="X19" i="12"/>
  <c r="W19" i="12"/>
  <c r="V19" i="12"/>
  <c r="U19" i="12"/>
  <c r="T19" i="12"/>
  <c r="S19" i="12"/>
  <c r="R19" i="12"/>
  <c r="AA18" i="12"/>
  <c r="Z18" i="12"/>
  <c r="Y18" i="12"/>
  <c r="X18" i="12"/>
  <c r="W18" i="12"/>
  <c r="V18" i="12"/>
  <c r="U18" i="12"/>
  <c r="T18" i="12"/>
  <c r="S18" i="12"/>
  <c r="R18" i="12"/>
  <c r="AA17" i="12"/>
  <c r="Z17" i="12"/>
  <c r="Y17" i="12"/>
  <c r="X17" i="12"/>
  <c r="W17" i="12"/>
  <c r="V17" i="12"/>
  <c r="U17" i="12"/>
  <c r="T17" i="12"/>
  <c r="S17" i="12"/>
  <c r="R17" i="12"/>
  <c r="AA16" i="12"/>
  <c r="Z16" i="12"/>
  <c r="Y16" i="12"/>
  <c r="X16" i="12"/>
  <c r="W16" i="12"/>
  <c r="V16" i="12"/>
  <c r="U16" i="12"/>
  <c r="T16" i="12"/>
  <c r="S16" i="12"/>
  <c r="R16" i="12"/>
  <c r="AA15" i="12"/>
  <c r="Z15" i="12"/>
  <c r="Y15" i="12"/>
  <c r="X15" i="12"/>
  <c r="W15" i="12"/>
  <c r="V15" i="12"/>
  <c r="U15" i="12"/>
  <c r="T15" i="12"/>
  <c r="S15" i="12"/>
  <c r="R15" i="12"/>
  <c r="AA14" i="12"/>
  <c r="Z14" i="12"/>
  <c r="Y14" i="12"/>
  <c r="X14" i="12"/>
  <c r="W14" i="12"/>
  <c r="V14" i="12"/>
  <c r="U14" i="12"/>
  <c r="T14" i="12"/>
  <c r="S14" i="12"/>
  <c r="R14" i="12"/>
  <c r="AA13" i="12"/>
  <c r="Z13" i="12"/>
  <c r="Y13" i="12"/>
  <c r="X13" i="12"/>
  <c r="W13" i="12"/>
  <c r="V13" i="12"/>
  <c r="U13" i="12"/>
  <c r="T13" i="12"/>
  <c r="S13" i="12"/>
  <c r="R13" i="12"/>
  <c r="AA12" i="12"/>
  <c r="Z12" i="12"/>
  <c r="Y12" i="12"/>
  <c r="X12" i="12"/>
  <c r="W12" i="12"/>
  <c r="V12" i="12"/>
  <c r="U12" i="12"/>
  <c r="T12" i="12"/>
  <c r="S12" i="12"/>
  <c r="R12" i="12"/>
  <c r="AA11" i="12"/>
  <c r="Z11" i="12"/>
  <c r="Y11" i="12"/>
  <c r="X11" i="12"/>
  <c r="W11" i="12"/>
  <c r="V11" i="12"/>
  <c r="U11" i="12"/>
  <c r="T11" i="12"/>
  <c r="S11" i="12"/>
  <c r="R11" i="12"/>
  <c r="AA10" i="12"/>
  <c r="Z10" i="12"/>
  <c r="Y10" i="12"/>
  <c r="X10" i="12"/>
  <c r="W10" i="12"/>
  <c r="V10" i="12"/>
  <c r="U10" i="12"/>
  <c r="T10" i="12"/>
  <c r="S10" i="12"/>
  <c r="R10" i="12"/>
  <c r="AA9" i="12"/>
  <c r="Z9" i="12"/>
  <c r="Y9" i="12"/>
  <c r="X9" i="12"/>
  <c r="W9" i="12"/>
  <c r="V9" i="12"/>
  <c r="U9" i="12"/>
  <c r="T9" i="12"/>
  <c r="S9" i="12"/>
  <c r="R9" i="12"/>
  <c r="AA8" i="12"/>
  <c r="Z8" i="12"/>
  <c r="Y8" i="12"/>
  <c r="X8" i="12"/>
  <c r="W8" i="12"/>
  <c r="V8" i="12"/>
  <c r="U8" i="12"/>
  <c r="T8" i="12"/>
  <c r="S8" i="12"/>
  <c r="R8" i="12"/>
  <c r="AA7" i="12"/>
  <c r="Z7" i="12"/>
  <c r="Y7" i="12"/>
  <c r="X7" i="12"/>
  <c r="W7" i="12"/>
  <c r="V7" i="12"/>
  <c r="U7" i="12"/>
  <c r="T7" i="12"/>
  <c r="S7" i="12"/>
  <c r="R7" i="12"/>
  <c r="AA6" i="12"/>
  <c r="Z6" i="12"/>
  <c r="Y6" i="12"/>
  <c r="X6" i="12"/>
  <c r="W6" i="12"/>
  <c r="V6" i="12"/>
  <c r="U6" i="12"/>
  <c r="T6" i="12"/>
  <c r="S6" i="12"/>
  <c r="R6" i="12"/>
  <c r="AA105" i="11"/>
  <c r="Z105" i="11"/>
  <c r="Y105" i="11"/>
  <c r="X105" i="11"/>
  <c r="W105" i="11"/>
  <c r="V105" i="11"/>
  <c r="U105" i="11"/>
  <c r="T105" i="11"/>
  <c r="S105" i="11"/>
  <c r="R105" i="11"/>
  <c r="K105" i="11"/>
  <c r="J105" i="11"/>
  <c r="I105" i="11"/>
  <c r="H105" i="11"/>
  <c r="G105" i="11"/>
  <c r="F105" i="11"/>
  <c r="E105" i="11"/>
  <c r="D105" i="11"/>
  <c r="C105" i="11"/>
  <c r="B105" i="11"/>
  <c r="AA104" i="11"/>
  <c r="Z104" i="11"/>
  <c r="Y104" i="11"/>
  <c r="X104" i="11"/>
  <c r="W104" i="11"/>
  <c r="V104" i="11"/>
  <c r="U104" i="11"/>
  <c r="T104" i="11"/>
  <c r="S104" i="11"/>
  <c r="R104" i="11"/>
  <c r="N104" i="11"/>
  <c r="O104" i="11" s="1"/>
  <c r="AA103" i="11"/>
  <c r="Z103" i="11"/>
  <c r="Y103" i="11"/>
  <c r="X103" i="11"/>
  <c r="W103" i="11"/>
  <c r="V103" i="11"/>
  <c r="U103" i="11"/>
  <c r="T103" i="11"/>
  <c r="S103" i="11"/>
  <c r="R103" i="11"/>
  <c r="N103" i="11"/>
  <c r="O103" i="11" s="1"/>
  <c r="AA102" i="11"/>
  <c r="Z102" i="11"/>
  <c r="Y102" i="11"/>
  <c r="X102" i="11"/>
  <c r="W102" i="11"/>
  <c r="V102" i="11"/>
  <c r="U102" i="11"/>
  <c r="T102" i="11"/>
  <c r="S102" i="11"/>
  <c r="R102" i="11"/>
  <c r="N102" i="11"/>
  <c r="O102" i="11" s="1"/>
  <c r="AA101" i="11"/>
  <c r="Z101" i="11"/>
  <c r="Y101" i="11"/>
  <c r="X101" i="11"/>
  <c r="W101" i="11"/>
  <c r="V101" i="11"/>
  <c r="U101" i="11"/>
  <c r="T101" i="11"/>
  <c r="S101" i="11"/>
  <c r="R101" i="11"/>
  <c r="N101" i="11"/>
  <c r="O101" i="11" s="1"/>
  <c r="AA100" i="11"/>
  <c r="Z100" i="11"/>
  <c r="Y100" i="11"/>
  <c r="X100" i="11"/>
  <c r="W100" i="11"/>
  <c r="V100" i="11"/>
  <c r="U100" i="11"/>
  <c r="T100" i="11"/>
  <c r="S100" i="11"/>
  <c r="R100" i="11"/>
  <c r="N100" i="11"/>
  <c r="O100" i="11" s="1"/>
  <c r="AA99" i="11"/>
  <c r="Z99" i="11"/>
  <c r="Y99" i="11"/>
  <c r="X99" i="11"/>
  <c r="W99" i="11"/>
  <c r="V99" i="11"/>
  <c r="U99" i="11"/>
  <c r="T99" i="11"/>
  <c r="S99" i="11"/>
  <c r="R99" i="11"/>
  <c r="N99" i="11"/>
  <c r="O99" i="11" s="1"/>
  <c r="AA98" i="11"/>
  <c r="Z98" i="11"/>
  <c r="Y98" i="11"/>
  <c r="X98" i="11"/>
  <c r="W98" i="11"/>
  <c r="V98" i="11"/>
  <c r="U98" i="11"/>
  <c r="T98" i="11"/>
  <c r="S98" i="11"/>
  <c r="R98" i="11"/>
  <c r="N98" i="11"/>
  <c r="O98" i="11" s="1"/>
  <c r="AA97" i="11"/>
  <c r="Z97" i="11"/>
  <c r="Y97" i="11"/>
  <c r="X97" i="11"/>
  <c r="W97" i="11"/>
  <c r="V97" i="11"/>
  <c r="U97" i="11"/>
  <c r="T97" i="11"/>
  <c r="S97" i="11"/>
  <c r="R97" i="11"/>
  <c r="N97" i="11"/>
  <c r="O97" i="11" s="1"/>
  <c r="AA96" i="11"/>
  <c r="Z96" i="11"/>
  <c r="Y96" i="11"/>
  <c r="X96" i="11"/>
  <c r="W96" i="11"/>
  <c r="V96" i="11"/>
  <c r="U96" i="11"/>
  <c r="T96" i="11"/>
  <c r="S96" i="11"/>
  <c r="R96" i="11"/>
  <c r="N96" i="11"/>
  <c r="O96" i="11" s="1"/>
  <c r="AA95" i="11"/>
  <c r="Z95" i="11"/>
  <c r="Y95" i="11"/>
  <c r="X95" i="11"/>
  <c r="W95" i="11"/>
  <c r="V95" i="11"/>
  <c r="U95" i="11"/>
  <c r="T95" i="11"/>
  <c r="S95" i="11"/>
  <c r="R95" i="11"/>
  <c r="N95" i="11"/>
  <c r="O95" i="11" s="1"/>
  <c r="AA94" i="11"/>
  <c r="Z94" i="11"/>
  <c r="Y94" i="11"/>
  <c r="X94" i="11"/>
  <c r="W94" i="11"/>
  <c r="V94" i="11"/>
  <c r="U94" i="11"/>
  <c r="T94" i="11"/>
  <c r="S94" i="11"/>
  <c r="R94" i="11"/>
  <c r="N94" i="11"/>
  <c r="O94" i="11" s="1"/>
  <c r="AA93" i="11"/>
  <c r="Z93" i="11"/>
  <c r="Y93" i="11"/>
  <c r="X93" i="11"/>
  <c r="W93" i="11"/>
  <c r="V93" i="11"/>
  <c r="U93" i="11"/>
  <c r="T93" i="11"/>
  <c r="S93" i="11"/>
  <c r="R93" i="11"/>
  <c r="N93" i="11"/>
  <c r="O93" i="11" s="1"/>
  <c r="AA92" i="11"/>
  <c r="Z92" i="11"/>
  <c r="Y92" i="11"/>
  <c r="X92" i="11"/>
  <c r="W92" i="11"/>
  <c r="V92" i="11"/>
  <c r="U92" i="11"/>
  <c r="T92" i="11"/>
  <c r="S92" i="11"/>
  <c r="R92" i="11"/>
  <c r="N92" i="11"/>
  <c r="O92" i="11" s="1"/>
  <c r="AA91" i="11"/>
  <c r="Z91" i="11"/>
  <c r="Y91" i="11"/>
  <c r="X91" i="11"/>
  <c r="W91" i="11"/>
  <c r="V91" i="11"/>
  <c r="U91" i="11"/>
  <c r="T91" i="11"/>
  <c r="S91" i="11"/>
  <c r="R91" i="11"/>
  <c r="N91" i="11"/>
  <c r="O91" i="11" s="1"/>
  <c r="AA90" i="11"/>
  <c r="Z90" i="11"/>
  <c r="Y90" i="11"/>
  <c r="X90" i="11"/>
  <c r="W90" i="11"/>
  <c r="V90" i="11"/>
  <c r="U90" i="11"/>
  <c r="T90" i="11"/>
  <c r="S90" i="11"/>
  <c r="R90" i="11"/>
  <c r="N90" i="11"/>
  <c r="O90" i="11" s="1"/>
  <c r="AA89" i="11"/>
  <c r="Z89" i="11"/>
  <c r="Y89" i="11"/>
  <c r="X89" i="11"/>
  <c r="W89" i="11"/>
  <c r="V89" i="11"/>
  <c r="U89" i="11"/>
  <c r="T89" i="11"/>
  <c r="S89" i="11"/>
  <c r="R89" i="11"/>
  <c r="N89" i="11"/>
  <c r="O89" i="11" s="1"/>
  <c r="AA88" i="11"/>
  <c r="Z88" i="11"/>
  <c r="Y88" i="11"/>
  <c r="X88" i="11"/>
  <c r="W88" i="11"/>
  <c r="V88" i="11"/>
  <c r="U88" i="11"/>
  <c r="T88" i="11"/>
  <c r="S88" i="11"/>
  <c r="R88" i="11"/>
  <c r="N88" i="11"/>
  <c r="O88" i="11" s="1"/>
  <c r="AA87" i="11"/>
  <c r="Z87" i="11"/>
  <c r="Y87" i="11"/>
  <c r="X87" i="11"/>
  <c r="W87" i="11"/>
  <c r="V87" i="11"/>
  <c r="U87" i="11"/>
  <c r="T87" i="11"/>
  <c r="S87" i="11"/>
  <c r="R87" i="11"/>
  <c r="N87" i="11"/>
  <c r="O87" i="11" s="1"/>
  <c r="AA86" i="11"/>
  <c r="Z86" i="11"/>
  <c r="Y86" i="11"/>
  <c r="X86" i="11"/>
  <c r="W86" i="11"/>
  <c r="V86" i="11"/>
  <c r="U86" i="11"/>
  <c r="T86" i="11"/>
  <c r="S86" i="11"/>
  <c r="R86" i="11"/>
  <c r="N86" i="11"/>
  <c r="O86" i="11" s="1"/>
  <c r="AA85" i="11"/>
  <c r="Z85" i="11"/>
  <c r="Y85" i="11"/>
  <c r="X85" i="11"/>
  <c r="W85" i="11"/>
  <c r="V85" i="11"/>
  <c r="U85" i="11"/>
  <c r="T85" i="11"/>
  <c r="S85" i="11"/>
  <c r="R85" i="11"/>
  <c r="N85" i="11"/>
  <c r="O85" i="11" s="1"/>
  <c r="AA84" i="11"/>
  <c r="Z84" i="11"/>
  <c r="Y84" i="11"/>
  <c r="X84" i="11"/>
  <c r="W84" i="11"/>
  <c r="V84" i="11"/>
  <c r="U84" i="11"/>
  <c r="T84" i="11"/>
  <c r="S84" i="11"/>
  <c r="R84" i="11"/>
  <c r="N84" i="11"/>
  <c r="O84" i="11" s="1"/>
  <c r="AA83" i="11"/>
  <c r="Z83" i="11"/>
  <c r="Y83" i="11"/>
  <c r="X83" i="11"/>
  <c r="W83" i="11"/>
  <c r="V83" i="11"/>
  <c r="U83" i="11"/>
  <c r="T83" i="11"/>
  <c r="S83" i="11"/>
  <c r="R83" i="11"/>
  <c r="N83" i="11"/>
  <c r="O83" i="11" s="1"/>
  <c r="AA82" i="11"/>
  <c r="Z82" i="11"/>
  <c r="Y82" i="11"/>
  <c r="X82" i="11"/>
  <c r="W82" i="11"/>
  <c r="V82" i="11"/>
  <c r="U82" i="11"/>
  <c r="T82" i="11"/>
  <c r="S82" i="11"/>
  <c r="R82" i="11"/>
  <c r="N82" i="11"/>
  <c r="O82" i="11" s="1"/>
  <c r="AA81" i="11"/>
  <c r="Z81" i="11"/>
  <c r="Y81" i="11"/>
  <c r="X81" i="11"/>
  <c r="W81" i="11"/>
  <c r="V81" i="11"/>
  <c r="U81" i="11"/>
  <c r="T81" i="11"/>
  <c r="S81" i="11"/>
  <c r="R81" i="11"/>
  <c r="N81" i="11"/>
  <c r="O81" i="11" s="1"/>
  <c r="AA80" i="11"/>
  <c r="Z80" i="11"/>
  <c r="Y80" i="11"/>
  <c r="X80" i="11"/>
  <c r="W80" i="11"/>
  <c r="V80" i="11"/>
  <c r="U80" i="11"/>
  <c r="T80" i="11"/>
  <c r="S80" i="11"/>
  <c r="R80" i="11"/>
  <c r="N80" i="11"/>
  <c r="O80" i="11" s="1"/>
  <c r="AA79" i="11"/>
  <c r="Z79" i="11"/>
  <c r="Y79" i="11"/>
  <c r="X79" i="11"/>
  <c r="W79" i="11"/>
  <c r="V79" i="11"/>
  <c r="U79" i="11"/>
  <c r="T79" i="11"/>
  <c r="S79" i="11"/>
  <c r="R79" i="11"/>
  <c r="N79" i="11"/>
  <c r="O79" i="11" s="1"/>
  <c r="AA78" i="11"/>
  <c r="Z78" i="11"/>
  <c r="Y78" i="11"/>
  <c r="X78" i="11"/>
  <c r="W78" i="11"/>
  <c r="V78" i="11"/>
  <c r="U78" i="11"/>
  <c r="T78" i="11"/>
  <c r="S78" i="11"/>
  <c r="R78" i="11"/>
  <c r="N78" i="11"/>
  <c r="O78" i="11" s="1"/>
  <c r="AA77" i="11"/>
  <c r="Z77" i="11"/>
  <c r="Y77" i="11"/>
  <c r="X77" i="11"/>
  <c r="W77" i="11"/>
  <c r="V77" i="11"/>
  <c r="U77" i="11"/>
  <c r="T77" i="11"/>
  <c r="S77" i="11"/>
  <c r="R77" i="11"/>
  <c r="N77" i="11"/>
  <c r="O77" i="11" s="1"/>
  <c r="AA76" i="11"/>
  <c r="Z76" i="11"/>
  <c r="Y76" i="11"/>
  <c r="X76" i="11"/>
  <c r="W76" i="11"/>
  <c r="V76" i="11"/>
  <c r="U76" i="11"/>
  <c r="T76" i="11"/>
  <c r="S76" i="11"/>
  <c r="R76" i="11"/>
  <c r="N76" i="11"/>
  <c r="O76" i="11" s="1"/>
  <c r="AA75" i="11"/>
  <c r="Z75" i="11"/>
  <c r="Y75" i="11"/>
  <c r="X75" i="11"/>
  <c r="W75" i="11"/>
  <c r="V75" i="11"/>
  <c r="U75" i="11"/>
  <c r="T75" i="11"/>
  <c r="S75" i="11"/>
  <c r="R75" i="11"/>
  <c r="N75" i="11"/>
  <c r="O75" i="11" s="1"/>
  <c r="AA74" i="11"/>
  <c r="Z74" i="11"/>
  <c r="Y74" i="11"/>
  <c r="X74" i="11"/>
  <c r="W74" i="11"/>
  <c r="V74" i="11"/>
  <c r="U74" i="11"/>
  <c r="T74" i="11"/>
  <c r="S74" i="11"/>
  <c r="R74" i="11"/>
  <c r="N74" i="11"/>
  <c r="O74" i="11" s="1"/>
  <c r="AA73" i="11"/>
  <c r="Z73" i="11"/>
  <c r="Y73" i="11"/>
  <c r="X73" i="11"/>
  <c r="W73" i="11"/>
  <c r="V73" i="11"/>
  <c r="U73" i="11"/>
  <c r="T73" i="11"/>
  <c r="S73" i="11"/>
  <c r="R73" i="11"/>
  <c r="N73" i="11"/>
  <c r="O73" i="11" s="1"/>
  <c r="AA72" i="11"/>
  <c r="Z72" i="11"/>
  <c r="Y72" i="11"/>
  <c r="X72" i="11"/>
  <c r="W72" i="11"/>
  <c r="V72" i="11"/>
  <c r="U72" i="11"/>
  <c r="T72" i="11"/>
  <c r="S72" i="11"/>
  <c r="R72" i="11"/>
  <c r="N72" i="11"/>
  <c r="O72" i="11" s="1"/>
  <c r="AA71" i="11"/>
  <c r="Z71" i="11"/>
  <c r="Y71" i="11"/>
  <c r="X71" i="11"/>
  <c r="W71" i="11"/>
  <c r="V71" i="11"/>
  <c r="U71" i="11"/>
  <c r="T71" i="11"/>
  <c r="S71" i="11"/>
  <c r="R71" i="11"/>
  <c r="N71" i="11"/>
  <c r="O71" i="11" s="1"/>
  <c r="AA70" i="11"/>
  <c r="Z70" i="11"/>
  <c r="Y70" i="11"/>
  <c r="X70" i="11"/>
  <c r="W70" i="11"/>
  <c r="V70" i="11"/>
  <c r="U70" i="11"/>
  <c r="T70" i="11"/>
  <c r="S70" i="11"/>
  <c r="R70" i="11"/>
  <c r="N70" i="11"/>
  <c r="O70" i="11" s="1"/>
  <c r="AA69" i="11"/>
  <c r="Z69" i="11"/>
  <c r="Y69" i="11"/>
  <c r="X69" i="11"/>
  <c r="W69" i="11"/>
  <c r="V69" i="11"/>
  <c r="U69" i="11"/>
  <c r="T69" i="11"/>
  <c r="S69" i="11"/>
  <c r="R69" i="11"/>
  <c r="N69" i="11"/>
  <c r="O69" i="11" s="1"/>
  <c r="AA68" i="11"/>
  <c r="Z68" i="11"/>
  <c r="Y68" i="11"/>
  <c r="X68" i="11"/>
  <c r="W68" i="11"/>
  <c r="V68" i="11"/>
  <c r="U68" i="11"/>
  <c r="T68" i="11"/>
  <c r="S68" i="11"/>
  <c r="R68" i="11"/>
  <c r="N68" i="11"/>
  <c r="O68" i="11" s="1"/>
  <c r="AA67" i="11"/>
  <c r="Z67" i="11"/>
  <c r="Y67" i="11"/>
  <c r="X67" i="11"/>
  <c r="W67" i="11"/>
  <c r="V67" i="11"/>
  <c r="U67" i="11"/>
  <c r="T67" i="11"/>
  <c r="S67" i="11"/>
  <c r="R67" i="11"/>
  <c r="N67" i="11"/>
  <c r="O67" i="11" s="1"/>
  <c r="AA66" i="11"/>
  <c r="Z66" i="11"/>
  <c r="Y66" i="11"/>
  <c r="X66" i="11"/>
  <c r="W66" i="11"/>
  <c r="V66" i="11"/>
  <c r="U66" i="11"/>
  <c r="T66" i="11"/>
  <c r="S66" i="11"/>
  <c r="R66" i="11"/>
  <c r="N66" i="11"/>
  <c r="O66" i="11" s="1"/>
  <c r="AA65" i="11"/>
  <c r="Z65" i="11"/>
  <c r="Y65" i="11"/>
  <c r="X65" i="11"/>
  <c r="W65" i="11"/>
  <c r="V65" i="11"/>
  <c r="U65" i="11"/>
  <c r="T65" i="11"/>
  <c r="S65" i="11"/>
  <c r="R65" i="11"/>
  <c r="N65" i="11"/>
  <c r="O65" i="11" s="1"/>
  <c r="AA64" i="11"/>
  <c r="Z64" i="11"/>
  <c r="Y64" i="11"/>
  <c r="X64" i="11"/>
  <c r="W64" i="11"/>
  <c r="V64" i="11"/>
  <c r="U64" i="11"/>
  <c r="T64" i="11"/>
  <c r="S64" i="11"/>
  <c r="R64" i="11"/>
  <c r="N64" i="11"/>
  <c r="O64" i="11" s="1"/>
  <c r="AA63" i="11"/>
  <c r="Z63" i="11"/>
  <c r="Y63" i="11"/>
  <c r="X63" i="11"/>
  <c r="W63" i="11"/>
  <c r="V63" i="11"/>
  <c r="U63" i="11"/>
  <c r="T63" i="11"/>
  <c r="S63" i="11"/>
  <c r="R63" i="11"/>
  <c r="N63" i="11"/>
  <c r="O63" i="11" s="1"/>
  <c r="AA62" i="11"/>
  <c r="Z62" i="11"/>
  <c r="Y62" i="11"/>
  <c r="X62" i="11"/>
  <c r="W62" i="11"/>
  <c r="V62" i="11"/>
  <c r="U62" i="11"/>
  <c r="T62" i="11"/>
  <c r="S62" i="11"/>
  <c r="R62" i="11"/>
  <c r="N62" i="11"/>
  <c r="O62" i="11" s="1"/>
  <c r="AA61" i="11"/>
  <c r="Z61" i="11"/>
  <c r="Y61" i="11"/>
  <c r="X61" i="11"/>
  <c r="W61" i="11"/>
  <c r="V61" i="11"/>
  <c r="U61" i="11"/>
  <c r="T61" i="11"/>
  <c r="S61" i="11"/>
  <c r="R61" i="11"/>
  <c r="N61" i="11"/>
  <c r="O61" i="11" s="1"/>
  <c r="AA60" i="11"/>
  <c r="Z60" i="11"/>
  <c r="Y60" i="11"/>
  <c r="X60" i="11"/>
  <c r="W60" i="11"/>
  <c r="V60" i="11"/>
  <c r="U60" i="11"/>
  <c r="T60" i="11"/>
  <c r="S60" i="11"/>
  <c r="R60" i="11"/>
  <c r="N60" i="11"/>
  <c r="O60" i="11" s="1"/>
  <c r="AA59" i="11"/>
  <c r="Z59" i="11"/>
  <c r="Y59" i="11"/>
  <c r="X59" i="11"/>
  <c r="W59" i="11"/>
  <c r="V59" i="11"/>
  <c r="U59" i="11"/>
  <c r="T59" i="11"/>
  <c r="S59" i="11"/>
  <c r="R59" i="11"/>
  <c r="N59" i="11"/>
  <c r="O59" i="11" s="1"/>
  <c r="AA58" i="11"/>
  <c r="Z58" i="11"/>
  <c r="Y58" i="11"/>
  <c r="X58" i="11"/>
  <c r="W58" i="11"/>
  <c r="V58" i="11"/>
  <c r="U58" i="11"/>
  <c r="T58" i="11"/>
  <c r="S58" i="11"/>
  <c r="R58" i="11"/>
  <c r="N58" i="11"/>
  <c r="O58" i="11" s="1"/>
  <c r="AA57" i="11"/>
  <c r="Z57" i="11"/>
  <c r="Y57" i="11"/>
  <c r="X57" i="11"/>
  <c r="W57" i="11"/>
  <c r="V57" i="11"/>
  <c r="U57" i="11"/>
  <c r="T57" i="11"/>
  <c r="S57" i="11"/>
  <c r="R57" i="11"/>
  <c r="N57" i="11"/>
  <c r="O57" i="11" s="1"/>
  <c r="AA56" i="11"/>
  <c r="Z56" i="11"/>
  <c r="Y56" i="11"/>
  <c r="X56" i="11"/>
  <c r="W56" i="11"/>
  <c r="V56" i="11"/>
  <c r="U56" i="11"/>
  <c r="T56" i="11"/>
  <c r="S56" i="11"/>
  <c r="R56" i="11"/>
  <c r="N56" i="11"/>
  <c r="O56" i="11" s="1"/>
  <c r="AA55" i="11"/>
  <c r="Z55" i="11"/>
  <c r="Y55" i="11"/>
  <c r="X55" i="11"/>
  <c r="W55" i="11"/>
  <c r="V55" i="11"/>
  <c r="U55" i="11"/>
  <c r="T55" i="11"/>
  <c r="S55" i="11"/>
  <c r="R55" i="11"/>
  <c r="N55" i="11"/>
  <c r="O55" i="11" s="1"/>
  <c r="AA54" i="11"/>
  <c r="Z54" i="11"/>
  <c r="Y54" i="11"/>
  <c r="X54" i="11"/>
  <c r="W54" i="11"/>
  <c r="V54" i="11"/>
  <c r="U54" i="11"/>
  <c r="T54" i="11"/>
  <c r="S54" i="11"/>
  <c r="R54" i="11"/>
  <c r="N54" i="11"/>
  <c r="O54" i="11" s="1"/>
  <c r="AA53" i="11"/>
  <c r="Z53" i="11"/>
  <c r="Y53" i="11"/>
  <c r="X53" i="11"/>
  <c r="W53" i="11"/>
  <c r="V53" i="11"/>
  <c r="U53" i="11"/>
  <c r="T53" i="11"/>
  <c r="S53" i="11"/>
  <c r="R53" i="11"/>
  <c r="N53" i="11"/>
  <c r="O53" i="11" s="1"/>
  <c r="AA52" i="11"/>
  <c r="Z52" i="11"/>
  <c r="Y52" i="11"/>
  <c r="X52" i="11"/>
  <c r="W52" i="11"/>
  <c r="V52" i="11"/>
  <c r="U52" i="11"/>
  <c r="T52" i="11"/>
  <c r="S52" i="11"/>
  <c r="R52" i="11"/>
  <c r="N52" i="11"/>
  <c r="O52" i="11" s="1"/>
  <c r="AA51" i="11"/>
  <c r="Z51" i="11"/>
  <c r="Y51" i="11"/>
  <c r="X51" i="11"/>
  <c r="W51" i="11"/>
  <c r="V51" i="11"/>
  <c r="U51" i="11"/>
  <c r="T51" i="11"/>
  <c r="S51" i="11"/>
  <c r="R51" i="11"/>
  <c r="N51" i="11"/>
  <c r="O51" i="11" s="1"/>
  <c r="AA50" i="11"/>
  <c r="Z50" i="11"/>
  <c r="Y50" i="11"/>
  <c r="X50" i="11"/>
  <c r="W50" i="11"/>
  <c r="V50" i="11"/>
  <c r="U50" i="11"/>
  <c r="T50" i="11"/>
  <c r="S50" i="11"/>
  <c r="R50" i="11"/>
  <c r="N50" i="11"/>
  <c r="O50" i="11" s="1"/>
  <c r="AA49" i="11"/>
  <c r="Z49" i="11"/>
  <c r="Y49" i="11"/>
  <c r="X49" i="11"/>
  <c r="W49" i="11"/>
  <c r="V49" i="11"/>
  <c r="U49" i="11"/>
  <c r="T49" i="11"/>
  <c r="S49" i="11"/>
  <c r="R49" i="11"/>
  <c r="N49" i="11"/>
  <c r="O49" i="11" s="1"/>
  <c r="AA48" i="11"/>
  <c r="Z48" i="11"/>
  <c r="Y48" i="11"/>
  <c r="X48" i="11"/>
  <c r="W48" i="11"/>
  <c r="V48" i="11"/>
  <c r="U48" i="11"/>
  <c r="T48" i="11"/>
  <c r="S48" i="11"/>
  <c r="R48" i="11"/>
  <c r="N48" i="11"/>
  <c r="O48" i="11" s="1"/>
  <c r="AA47" i="11"/>
  <c r="Z47" i="11"/>
  <c r="Y47" i="11"/>
  <c r="X47" i="11"/>
  <c r="W47" i="11"/>
  <c r="V47" i="11"/>
  <c r="U47" i="11"/>
  <c r="T47" i="11"/>
  <c r="S47" i="11"/>
  <c r="R47" i="11"/>
  <c r="N47" i="11"/>
  <c r="O47" i="11" s="1"/>
  <c r="AA46" i="11"/>
  <c r="Z46" i="11"/>
  <c r="Y46" i="11"/>
  <c r="X46" i="11"/>
  <c r="W46" i="11"/>
  <c r="V46" i="11"/>
  <c r="U46" i="11"/>
  <c r="T46" i="11"/>
  <c r="S46" i="11"/>
  <c r="R46" i="11"/>
  <c r="N46" i="11"/>
  <c r="O46" i="11" s="1"/>
  <c r="AA45" i="11"/>
  <c r="Z45" i="11"/>
  <c r="Y45" i="11"/>
  <c r="X45" i="11"/>
  <c r="W45" i="11"/>
  <c r="V45" i="11"/>
  <c r="U45" i="11"/>
  <c r="T45" i="11"/>
  <c r="S45" i="11"/>
  <c r="R45" i="11"/>
  <c r="N45" i="11"/>
  <c r="O45" i="11" s="1"/>
  <c r="AA44" i="11"/>
  <c r="Z44" i="11"/>
  <c r="Y44" i="11"/>
  <c r="X44" i="11"/>
  <c r="W44" i="11"/>
  <c r="V44" i="11"/>
  <c r="U44" i="11"/>
  <c r="T44" i="11"/>
  <c r="S44" i="11"/>
  <c r="R44" i="11"/>
  <c r="N44" i="11"/>
  <c r="O44" i="11" s="1"/>
  <c r="AA43" i="11"/>
  <c r="Z43" i="11"/>
  <c r="Y43" i="11"/>
  <c r="X43" i="11"/>
  <c r="W43" i="11"/>
  <c r="V43" i="11"/>
  <c r="U43" i="11"/>
  <c r="T43" i="11"/>
  <c r="S43" i="11"/>
  <c r="R43" i="11"/>
  <c r="N43" i="11"/>
  <c r="O43" i="11" s="1"/>
  <c r="AA42" i="11"/>
  <c r="Z42" i="11"/>
  <c r="Y42" i="11"/>
  <c r="X42" i="11"/>
  <c r="W42" i="11"/>
  <c r="V42" i="11"/>
  <c r="U42" i="11"/>
  <c r="T42" i="11"/>
  <c r="S42" i="11"/>
  <c r="R42" i="11"/>
  <c r="N42" i="11"/>
  <c r="O42" i="11" s="1"/>
  <c r="AA41" i="11"/>
  <c r="Z41" i="11"/>
  <c r="Y41" i="11"/>
  <c r="X41" i="11"/>
  <c r="W41" i="11"/>
  <c r="V41" i="11"/>
  <c r="U41" i="11"/>
  <c r="T41" i="11"/>
  <c r="S41" i="11"/>
  <c r="R41" i="11"/>
  <c r="N41" i="11"/>
  <c r="O41" i="11" s="1"/>
  <c r="AA40" i="11"/>
  <c r="Z40" i="11"/>
  <c r="Y40" i="11"/>
  <c r="X40" i="11"/>
  <c r="W40" i="11"/>
  <c r="V40" i="11"/>
  <c r="U40" i="11"/>
  <c r="T40" i="11"/>
  <c r="S40" i="11"/>
  <c r="R40" i="11"/>
  <c r="N40" i="11"/>
  <c r="O40" i="11" s="1"/>
  <c r="AA39" i="11"/>
  <c r="Z39" i="11"/>
  <c r="Y39" i="11"/>
  <c r="X39" i="11"/>
  <c r="W39" i="11"/>
  <c r="V39" i="11"/>
  <c r="U39" i="11"/>
  <c r="T39" i="11"/>
  <c r="S39" i="11"/>
  <c r="R39" i="11"/>
  <c r="N39" i="11"/>
  <c r="O39" i="11" s="1"/>
  <c r="AA38" i="11"/>
  <c r="Z38" i="11"/>
  <c r="Y38" i="11"/>
  <c r="X38" i="11"/>
  <c r="W38" i="11"/>
  <c r="V38" i="11"/>
  <c r="U38" i="11"/>
  <c r="T38" i="11"/>
  <c r="S38" i="11"/>
  <c r="R38" i="11"/>
  <c r="N38" i="11"/>
  <c r="O38" i="11" s="1"/>
  <c r="AA37" i="11"/>
  <c r="Z37" i="11"/>
  <c r="Y37" i="11"/>
  <c r="X37" i="11"/>
  <c r="W37" i="11"/>
  <c r="V37" i="11"/>
  <c r="U37" i="11"/>
  <c r="T37" i="11"/>
  <c r="S37" i="11"/>
  <c r="R37" i="11"/>
  <c r="N37" i="11"/>
  <c r="O37" i="11" s="1"/>
  <c r="AA36" i="11"/>
  <c r="Z36" i="11"/>
  <c r="Y36" i="11"/>
  <c r="X36" i="11"/>
  <c r="W36" i="11"/>
  <c r="V36" i="11"/>
  <c r="U36" i="11"/>
  <c r="T36" i="11"/>
  <c r="S36" i="11"/>
  <c r="R36" i="11"/>
  <c r="N36" i="11"/>
  <c r="O36" i="11" s="1"/>
  <c r="AA35" i="11"/>
  <c r="Z35" i="11"/>
  <c r="Y35" i="11"/>
  <c r="X35" i="11"/>
  <c r="W35" i="11"/>
  <c r="V35" i="11"/>
  <c r="U35" i="11"/>
  <c r="T35" i="11"/>
  <c r="S35" i="11"/>
  <c r="R35" i="11"/>
  <c r="N35" i="11"/>
  <c r="O35" i="11" s="1"/>
  <c r="AA34" i="11"/>
  <c r="Z34" i="11"/>
  <c r="Y34" i="11"/>
  <c r="X34" i="11"/>
  <c r="W34" i="11"/>
  <c r="V34" i="11"/>
  <c r="U34" i="11"/>
  <c r="T34" i="11"/>
  <c r="S34" i="11"/>
  <c r="R34" i="11"/>
  <c r="N34" i="11"/>
  <c r="O34" i="11" s="1"/>
  <c r="AA33" i="11"/>
  <c r="Z33" i="11"/>
  <c r="Y33" i="11"/>
  <c r="X33" i="11"/>
  <c r="W33" i="11"/>
  <c r="V33" i="11"/>
  <c r="U33" i="11"/>
  <c r="T33" i="11"/>
  <c r="S33" i="11"/>
  <c r="R33" i="11"/>
  <c r="N33" i="11"/>
  <c r="O33" i="11" s="1"/>
  <c r="AA32" i="11"/>
  <c r="Z32" i="11"/>
  <c r="Y32" i="11"/>
  <c r="X32" i="11"/>
  <c r="W32" i="11"/>
  <c r="V32" i="11"/>
  <c r="U32" i="11"/>
  <c r="T32" i="11"/>
  <c r="S32" i="11"/>
  <c r="R32" i="11"/>
  <c r="N32" i="11"/>
  <c r="O32" i="11" s="1"/>
  <c r="AA31" i="11"/>
  <c r="Z31" i="11"/>
  <c r="Y31" i="11"/>
  <c r="X31" i="11"/>
  <c r="W31" i="11"/>
  <c r="V31" i="11"/>
  <c r="U31" i="11"/>
  <c r="T31" i="11"/>
  <c r="S31" i="11"/>
  <c r="R31" i="11"/>
  <c r="N31" i="11"/>
  <c r="O31" i="11" s="1"/>
  <c r="AA30" i="11"/>
  <c r="Z30" i="11"/>
  <c r="Y30" i="11"/>
  <c r="X30" i="11"/>
  <c r="W30" i="11"/>
  <c r="V30" i="11"/>
  <c r="U30" i="11"/>
  <c r="T30" i="11"/>
  <c r="S30" i="11"/>
  <c r="R30" i="11"/>
  <c r="N30" i="11"/>
  <c r="O30" i="11" s="1"/>
  <c r="AA29" i="11"/>
  <c r="Z29" i="11"/>
  <c r="Y29" i="11"/>
  <c r="X29" i="11"/>
  <c r="W29" i="11"/>
  <c r="V29" i="11"/>
  <c r="U29" i="11"/>
  <c r="T29" i="11"/>
  <c r="S29" i="11"/>
  <c r="R29" i="11"/>
  <c r="N29" i="11"/>
  <c r="O29" i="11" s="1"/>
  <c r="AA28" i="11"/>
  <c r="Z28" i="11"/>
  <c r="Y28" i="11"/>
  <c r="X28" i="11"/>
  <c r="W28" i="11"/>
  <c r="V28" i="11"/>
  <c r="U28" i="11"/>
  <c r="T28" i="11"/>
  <c r="S28" i="11"/>
  <c r="R28" i="11"/>
  <c r="N28" i="11"/>
  <c r="O28" i="11" s="1"/>
  <c r="AA27" i="11"/>
  <c r="Z27" i="11"/>
  <c r="Y27" i="11"/>
  <c r="X27" i="11"/>
  <c r="W27" i="11"/>
  <c r="V27" i="11"/>
  <c r="U27" i="11"/>
  <c r="T27" i="11"/>
  <c r="S27" i="11"/>
  <c r="R27" i="11"/>
  <c r="N27" i="11"/>
  <c r="O27" i="11" s="1"/>
  <c r="AA26" i="11"/>
  <c r="Z26" i="11"/>
  <c r="Y26" i="11"/>
  <c r="X26" i="11"/>
  <c r="W26" i="11"/>
  <c r="V26" i="11"/>
  <c r="U26" i="11"/>
  <c r="T26" i="11"/>
  <c r="S26" i="11"/>
  <c r="R26" i="11"/>
  <c r="N26" i="11"/>
  <c r="O26" i="11" s="1"/>
  <c r="AA25" i="11"/>
  <c r="Z25" i="11"/>
  <c r="Y25" i="11"/>
  <c r="X25" i="11"/>
  <c r="W25" i="11"/>
  <c r="V25" i="11"/>
  <c r="U25" i="11"/>
  <c r="T25" i="11"/>
  <c r="S25" i="11"/>
  <c r="R25" i="11"/>
  <c r="N25" i="11"/>
  <c r="O25" i="11" s="1"/>
  <c r="AA24" i="11"/>
  <c r="Z24" i="11"/>
  <c r="Y24" i="11"/>
  <c r="X24" i="11"/>
  <c r="W24" i="11"/>
  <c r="V24" i="11"/>
  <c r="U24" i="11"/>
  <c r="T24" i="11"/>
  <c r="S24" i="11"/>
  <c r="R24" i="11"/>
  <c r="N24" i="11"/>
  <c r="O24" i="11" s="1"/>
  <c r="AA23" i="11"/>
  <c r="Z23" i="11"/>
  <c r="Y23" i="11"/>
  <c r="X23" i="11"/>
  <c r="W23" i="11"/>
  <c r="V23" i="11"/>
  <c r="U23" i="11"/>
  <c r="T23" i="11"/>
  <c r="S23" i="11"/>
  <c r="R23" i="11"/>
  <c r="N23" i="11"/>
  <c r="O23" i="11" s="1"/>
  <c r="AA22" i="11"/>
  <c r="Z22" i="11"/>
  <c r="Y22" i="11"/>
  <c r="X22" i="11"/>
  <c r="W22" i="11"/>
  <c r="V22" i="11"/>
  <c r="U22" i="11"/>
  <c r="T22" i="11"/>
  <c r="S22" i="11"/>
  <c r="R22" i="11"/>
  <c r="N22" i="11"/>
  <c r="O22" i="11" s="1"/>
  <c r="AA21" i="11"/>
  <c r="Z21" i="11"/>
  <c r="Y21" i="11"/>
  <c r="X21" i="11"/>
  <c r="W21" i="11"/>
  <c r="V21" i="11"/>
  <c r="U21" i="11"/>
  <c r="T21" i="11"/>
  <c r="S21" i="11"/>
  <c r="R21" i="11"/>
  <c r="N21" i="11"/>
  <c r="O21" i="11" s="1"/>
  <c r="AA20" i="11"/>
  <c r="Z20" i="11"/>
  <c r="Y20" i="11"/>
  <c r="X20" i="11"/>
  <c r="W20" i="11"/>
  <c r="V20" i="11"/>
  <c r="U20" i="11"/>
  <c r="T20" i="11"/>
  <c r="S20" i="11"/>
  <c r="R20" i="11"/>
  <c r="N20" i="11"/>
  <c r="O20" i="11" s="1"/>
  <c r="AA19" i="11"/>
  <c r="Z19" i="11"/>
  <c r="Y19" i="11"/>
  <c r="X19" i="11"/>
  <c r="W19" i="11"/>
  <c r="V19" i="11"/>
  <c r="U19" i="11"/>
  <c r="T19" i="11"/>
  <c r="S19" i="11"/>
  <c r="R19" i="11"/>
  <c r="N19" i="11"/>
  <c r="O19" i="11" s="1"/>
  <c r="AA18" i="11"/>
  <c r="Z18" i="11"/>
  <c r="Y18" i="11"/>
  <c r="X18" i="11"/>
  <c r="W18" i="11"/>
  <c r="V18" i="11"/>
  <c r="U18" i="11"/>
  <c r="T18" i="11"/>
  <c r="S18" i="11"/>
  <c r="R18" i="11"/>
  <c r="N18" i="11"/>
  <c r="O18" i="11" s="1"/>
  <c r="AA17" i="11"/>
  <c r="Z17" i="11"/>
  <c r="Y17" i="11"/>
  <c r="X17" i="11"/>
  <c r="W17" i="11"/>
  <c r="V17" i="11"/>
  <c r="U17" i="11"/>
  <c r="T17" i="11"/>
  <c r="S17" i="11"/>
  <c r="R17" i="11"/>
  <c r="N17" i="11"/>
  <c r="O17" i="11" s="1"/>
  <c r="AA16" i="11"/>
  <c r="Z16" i="11"/>
  <c r="Y16" i="11"/>
  <c r="X16" i="11"/>
  <c r="W16" i="11"/>
  <c r="V16" i="11"/>
  <c r="U16" i="11"/>
  <c r="T16" i="11"/>
  <c r="S16" i="11"/>
  <c r="R16" i="11"/>
  <c r="N16" i="11"/>
  <c r="O16" i="11" s="1"/>
  <c r="AA15" i="11"/>
  <c r="Z15" i="11"/>
  <c r="Y15" i="11"/>
  <c r="X15" i="11"/>
  <c r="W15" i="11"/>
  <c r="V15" i="11"/>
  <c r="U15" i="11"/>
  <c r="T15" i="11"/>
  <c r="S15" i="11"/>
  <c r="R15" i="11"/>
  <c r="N15" i="11"/>
  <c r="O15" i="11" s="1"/>
  <c r="AA14" i="11"/>
  <c r="Z14" i="11"/>
  <c r="Y14" i="11"/>
  <c r="X14" i="11"/>
  <c r="W14" i="11"/>
  <c r="V14" i="11"/>
  <c r="U14" i="11"/>
  <c r="T14" i="11"/>
  <c r="S14" i="11"/>
  <c r="R14" i="11"/>
  <c r="N14" i="11"/>
  <c r="O14" i="11" s="1"/>
  <c r="AA13" i="11"/>
  <c r="Z13" i="11"/>
  <c r="Y13" i="11"/>
  <c r="X13" i="11"/>
  <c r="W13" i="11"/>
  <c r="V13" i="11"/>
  <c r="U13" i="11"/>
  <c r="T13" i="11"/>
  <c r="S13" i="11"/>
  <c r="R13" i="11"/>
  <c r="N13" i="11"/>
  <c r="O13" i="11" s="1"/>
  <c r="AA12" i="11"/>
  <c r="Z12" i="11"/>
  <c r="Y12" i="11"/>
  <c r="X12" i="11"/>
  <c r="W12" i="11"/>
  <c r="V12" i="11"/>
  <c r="U12" i="11"/>
  <c r="T12" i="11"/>
  <c r="S12" i="11"/>
  <c r="R12" i="11"/>
  <c r="N12" i="11"/>
  <c r="O12" i="11" s="1"/>
  <c r="AA11" i="11"/>
  <c r="Z11" i="11"/>
  <c r="Y11" i="11"/>
  <c r="X11" i="11"/>
  <c r="W11" i="11"/>
  <c r="V11" i="11"/>
  <c r="U11" i="11"/>
  <c r="T11" i="11"/>
  <c r="S11" i="11"/>
  <c r="R11" i="11"/>
  <c r="N11" i="11"/>
  <c r="O11" i="11" s="1"/>
  <c r="AA10" i="11"/>
  <c r="Z10" i="11"/>
  <c r="Y10" i="11"/>
  <c r="X10" i="11"/>
  <c r="W10" i="11"/>
  <c r="V10" i="11"/>
  <c r="U10" i="11"/>
  <c r="T10" i="11"/>
  <c r="S10" i="11"/>
  <c r="R10" i="11"/>
  <c r="N10" i="11"/>
  <c r="O10" i="11" s="1"/>
  <c r="AA9" i="11"/>
  <c r="Z9" i="11"/>
  <c r="Y9" i="11"/>
  <c r="X9" i="11"/>
  <c r="W9" i="11"/>
  <c r="V9" i="11"/>
  <c r="U9" i="11"/>
  <c r="T9" i="11"/>
  <c r="S9" i="11"/>
  <c r="R9" i="11"/>
  <c r="N9" i="11"/>
  <c r="O9" i="11" s="1"/>
  <c r="AA8" i="11"/>
  <c r="Z8" i="11"/>
  <c r="Y8" i="11"/>
  <c r="X8" i="11"/>
  <c r="W8" i="11"/>
  <c r="V8" i="11"/>
  <c r="U8" i="11"/>
  <c r="T8" i="11"/>
  <c r="S8" i="11"/>
  <c r="R8" i="11"/>
  <c r="N8" i="11"/>
  <c r="O8" i="11" s="1"/>
  <c r="AA7" i="11"/>
  <c r="Z7" i="11"/>
  <c r="Y7" i="11"/>
  <c r="X7" i="11"/>
  <c r="W7" i="11"/>
  <c r="V7" i="11"/>
  <c r="U7" i="11"/>
  <c r="T7" i="11"/>
  <c r="S7" i="11"/>
  <c r="R7" i="11"/>
  <c r="N7" i="11"/>
  <c r="O7" i="11" s="1"/>
  <c r="AA6" i="11"/>
  <c r="Z6" i="11"/>
  <c r="Y6" i="11"/>
  <c r="X6" i="11"/>
  <c r="W6" i="11"/>
  <c r="V6" i="11"/>
  <c r="U6" i="11"/>
  <c r="T6" i="11"/>
  <c r="S6" i="11"/>
  <c r="R6" i="11"/>
  <c r="N6" i="11"/>
  <c r="O6" i="11" s="1"/>
  <c r="N6" i="7"/>
  <c r="O6" i="7" s="1"/>
  <c r="N7" i="7"/>
  <c r="O7" i="7" s="1"/>
  <c r="N8" i="7"/>
  <c r="O8" i="7" s="1"/>
  <c r="N9" i="7"/>
  <c r="O9" i="7" s="1"/>
  <c r="N10" i="7"/>
  <c r="O10" i="7" s="1"/>
  <c r="N11" i="7"/>
  <c r="O11" i="7" s="1"/>
  <c r="N12" i="7"/>
  <c r="O12" i="7" s="1"/>
  <c r="N13" i="7"/>
  <c r="O13" i="7" s="1"/>
  <c r="N14" i="7"/>
  <c r="O14" i="7" s="1"/>
  <c r="N15" i="7"/>
  <c r="O15" i="7" s="1"/>
  <c r="N16" i="7"/>
  <c r="O16" i="7" s="1"/>
  <c r="N17" i="7"/>
  <c r="O17" i="7" s="1"/>
  <c r="N18" i="7"/>
  <c r="O18" i="7" s="1"/>
  <c r="N19" i="7"/>
  <c r="O19" i="7" s="1"/>
  <c r="N20" i="7"/>
  <c r="O20" i="7" s="1"/>
  <c r="N21" i="7"/>
  <c r="O21" i="7" s="1"/>
  <c r="N22" i="7"/>
  <c r="O22" i="7" s="1"/>
  <c r="N23" i="7"/>
  <c r="O23" i="7" s="1"/>
  <c r="N24" i="7"/>
  <c r="O24" i="7" s="1"/>
  <c r="N25" i="7"/>
  <c r="O25" i="7" s="1"/>
  <c r="N26" i="7"/>
  <c r="O26" i="7" s="1"/>
  <c r="N27" i="7"/>
  <c r="O27" i="7" s="1"/>
  <c r="N28" i="7"/>
  <c r="O28" i="7" s="1"/>
  <c r="N29" i="7"/>
  <c r="O29" i="7" s="1"/>
  <c r="N30" i="7"/>
  <c r="O30" i="7" s="1"/>
  <c r="N31" i="7"/>
  <c r="O31" i="7" s="1"/>
  <c r="N32" i="7"/>
  <c r="O32" i="7" s="1"/>
  <c r="N33" i="7"/>
  <c r="O33" i="7" s="1"/>
  <c r="N34" i="7"/>
  <c r="O34" i="7" s="1"/>
  <c r="N35" i="7"/>
  <c r="O35" i="7" s="1"/>
  <c r="N36" i="7"/>
  <c r="O36" i="7" s="1"/>
  <c r="N37" i="7"/>
  <c r="O37" i="7" s="1"/>
  <c r="N38" i="7"/>
  <c r="O38" i="7" s="1"/>
  <c r="N39" i="7"/>
  <c r="O39" i="7" s="1"/>
  <c r="N40" i="7"/>
  <c r="O40" i="7" s="1"/>
  <c r="N41" i="7"/>
  <c r="O41" i="7" s="1"/>
  <c r="N42" i="7"/>
  <c r="O42" i="7" s="1"/>
  <c r="N43" i="7"/>
  <c r="O43" i="7" s="1"/>
  <c r="N44" i="7"/>
  <c r="O44" i="7" s="1"/>
  <c r="N45" i="7"/>
  <c r="O45" i="7" s="1"/>
  <c r="N46" i="7"/>
  <c r="O46" i="7" s="1"/>
  <c r="N47" i="7"/>
  <c r="O47" i="7" s="1"/>
  <c r="N48" i="7"/>
  <c r="O48" i="7" s="1"/>
  <c r="N49" i="7"/>
  <c r="O49" i="7" s="1"/>
  <c r="N50" i="7"/>
  <c r="O50" i="7" s="1"/>
  <c r="N51" i="7"/>
  <c r="O51" i="7" s="1"/>
  <c r="N52" i="7"/>
  <c r="O52" i="7" s="1"/>
  <c r="N53" i="7"/>
  <c r="O53" i="7" s="1"/>
  <c r="N54" i="7"/>
  <c r="O54" i="7" s="1"/>
  <c r="N55" i="7"/>
  <c r="O55" i="7" s="1"/>
  <c r="N56" i="7"/>
  <c r="O56" i="7" s="1"/>
  <c r="N57" i="7"/>
  <c r="O57" i="7" s="1"/>
  <c r="N58" i="7"/>
  <c r="O58" i="7" s="1"/>
  <c r="N59" i="7"/>
  <c r="O59" i="7" s="1"/>
  <c r="N60" i="7"/>
  <c r="O60" i="7" s="1"/>
  <c r="N61" i="7"/>
  <c r="O61" i="7" s="1"/>
  <c r="N62" i="7"/>
  <c r="O62" i="7" s="1"/>
  <c r="N63" i="7"/>
  <c r="O63" i="7" s="1"/>
  <c r="N64" i="7"/>
  <c r="O64" i="7" s="1"/>
  <c r="N65" i="7"/>
  <c r="O65" i="7" s="1"/>
  <c r="N66" i="7"/>
  <c r="O66" i="7" s="1"/>
  <c r="N67" i="7"/>
  <c r="O67" i="7" s="1"/>
  <c r="N68" i="7"/>
  <c r="O68" i="7" s="1"/>
  <c r="N69" i="7"/>
  <c r="O69" i="7" s="1"/>
  <c r="N70" i="7"/>
  <c r="O70" i="7" s="1"/>
  <c r="N71" i="7"/>
  <c r="O71" i="7" s="1"/>
  <c r="N72" i="7"/>
  <c r="O72" i="7" s="1"/>
  <c r="N73" i="7"/>
  <c r="O73" i="7" s="1"/>
  <c r="N74" i="7"/>
  <c r="O74" i="7" s="1"/>
  <c r="N75" i="7"/>
  <c r="O75" i="7" s="1"/>
  <c r="N76" i="7"/>
  <c r="O76" i="7" s="1"/>
  <c r="N77" i="7"/>
  <c r="O77" i="7" s="1"/>
  <c r="N78" i="7"/>
  <c r="O78" i="7" s="1"/>
  <c r="N79" i="7"/>
  <c r="O79" i="7" s="1"/>
  <c r="N80" i="7"/>
  <c r="O80" i="7" s="1"/>
  <c r="N81" i="7"/>
  <c r="O81" i="7" s="1"/>
  <c r="N82" i="7"/>
  <c r="O82" i="7" s="1"/>
  <c r="N83" i="7"/>
  <c r="O83" i="7" s="1"/>
  <c r="N84" i="7"/>
  <c r="O84" i="7" s="1"/>
  <c r="N85" i="7"/>
  <c r="O85" i="7" s="1"/>
  <c r="N86" i="7"/>
  <c r="O86" i="7" s="1"/>
  <c r="N87" i="7"/>
  <c r="O87" i="7" s="1"/>
  <c r="N88" i="7"/>
  <c r="O88" i="7" s="1"/>
  <c r="N89" i="7"/>
  <c r="O89" i="7" s="1"/>
  <c r="N90" i="7"/>
  <c r="O90" i="7" s="1"/>
  <c r="N91" i="7"/>
  <c r="O91" i="7" s="1"/>
  <c r="N92" i="7"/>
  <c r="O92" i="7" s="1"/>
  <c r="N93" i="7"/>
  <c r="O93" i="7" s="1"/>
  <c r="N94" i="7"/>
  <c r="O94" i="7" s="1"/>
  <c r="N95" i="7"/>
  <c r="O95" i="7" s="1"/>
  <c r="N96" i="7"/>
  <c r="O96" i="7" s="1"/>
  <c r="N97" i="7"/>
  <c r="O97" i="7" s="1"/>
  <c r="N98" i="7"/>
  <c r="O98" i="7" s="1"/>
  <c r="N99" i="7"/>
  <c r="O99" i="7" s="1"/>
  <c r="N100" i="7"/>
  <c r="O100" i="7" s="1"/>
  <c r="N101" i="7"/>
  <c r="O101" i="7" s="1"/>
  <c r="N102" i="7"/>
  <c r="O102" i="7" s="1"/>
  <c r="N103" i="7"/>
  <c r="O103" i="7" s="1"/>
  <c r="N104" i="7"/>
  <c r="O104" i="7" s="1"/>
  <c r="N5" i="7"/>
  <c r="O5" i="7" s="1"/>
  <c r="R7" i="7"/>
  <c r="S7" i="7"/>
  <c r="T7" i="7"/>
  <c r="U7" i="7"/>
  <c r="V7" i="7"/>
  <c r="W7" i="7"/>
  <c r="X7" i="7"/>
  <c r="Y7" i="7"/>
  <c r="Z7" i="7"/>
  <c r="AA7" i="7"/>
  <c r="R8" i="7"/>
  <c r="S8" i="7"/>
  <c r="T8" i="7"/>
  <c r="U8" i="7"/>
  <c r="V8" i="7"/>
  <c r="W8" i="7"/>
  <c r="X8" i="7"/>
  <c r="Y8" i="7"/>
  <c r="Z8" i="7"/>
  <c r="AA8" i="7"/>
  <c r="R9" i="7"/>
  <c r="S9" i="7"/>
  <c r="T9" i="7"/>
  <c r="U9" i="7"/>
  <c r="V9" i="7"/>
  <c r="W9" i="7"/>
  <c r="X9" i="7"/>
  <c r="Y9" i="7"/>
  <c r="Z9" i="7"/>
  <c r="AA9" i="7"/>
  <c r="R10" i="7"/>
  <c r="S10" i="7"/>
  <c r="T10" i="7"/>
  <c r="U10" i="7"/>
  <c r="V10" i="7"/>
  <c r="W10" i="7"/>
  <c r="X10" i="7"/>
  <c r="Y10" i="7"/>
  <c r="Z10" i="7"/>
  <c r="AA10" i="7"/>
  <c r="R11" i="7"/>
  <c r="S11" i="7"/>
  <c r="T11" i="7"/>
  <c r="U11" i="7"/>
  <c r="V11" i="7"/>
  <c r="W11" i="7"/>
  <c r="X11" i="7"/>
  <c r="Y11" i="7"/>
  <c r="Z11" i="7"/>
  <c r="AA11" i="7"/>
  <c r="R12" i="7"/>
  <c r="S12" i="7"/>
  <c r="T12" i="7"/>
  <c r="U12" i="7"/>
  <c r="V12" i="7"/>
  <c r="W12" i="7"/>
  <c r="X12" i="7"/>
  <c r="Y12" i="7"/>
  <c r="Z12" i="7"/>
  <c r="AA12" i="7"/>
  <c r="R13" i="7"/>
  <c r="S13" i="7"/>
  <c r="T13" i="7"/>
  <c r="U13" i="7"/>
  <c r="V13" i="7"/>
  <c r="W13" i="7"/>
  <c r="X13" i="7"/>
  <c r="Y13" i="7"/>
  <c r="Z13" i="7"/>
  <c r="AA13" i="7"/>
  <c r="R14" i="7"/>
  <c r="S14" i="7"/>
  <c r="T14" i="7"/>
  <c r="U14" i="7"/>
  <c r="V14" i="7"/>
  <c r="W14" i="7"/>
  <c r="X14" i="7"/>
  <c r="Y14" i="7"/>
  <c r="Z14" i="7"/>
  <c r="AA14" i="7"/>
  <c r="R15" i="7"/>
  <c r="S15" i="7"/>
  <c r="T15" i="7"/>
  <c r="U15" i="7"/>
  <c r="V15" i="7"/>
  <c r="W15" i="7"/>
  <c r="X15" i="7"/>
  <c r="Y15" i="7"/>
  <c r="Z15" i="7"/>
  <c r="AA15" i="7"/>
  <c r="R16" i="7"/>
  <c r="S16" i="7"/>
  <c r="T16" i="7"/>
  <c r="U16" i="7"/>
  <c r="V16" i="7"/>
  <c r="W16" i="7"/>
  <c r="X16" i="7"/>
  <c r="Y16" i="7"/>
  <c r="Z16" i="7"/>
  <c r="AA16" i="7"/>
  <c r="R17" i="7"/>
  <c r="S17" i="7"/>
  <c r="T17" i="7"/>
  <c r="U17" i="7"/>
  <c r="V17" i="7"/>
  <c r="W17" i="7"/>
  <c r="X17" i="7"/>
  <c r="Y17" i="7"/>
  <c r="Z17" i="7"/>
  <c r="AA17" i="7"/>
  <c r="R18" i="7"/>
  <c r="S18" i="7"/>
  <c r="T18" i="7"/>
  <c r="U18" i="7"/>
  <c r="V18" i="7"/>
  <c r="W18" i="7"/>
  <c r="X18" i="7"/>
  <c r="Y18" i="7"/>
  <c r="Z18" i="7"/>
  <c r="AA18" i="7"/>
  <c r="R19" i="7"/>
  <c r="S19" i="7"/>
  <c r="T19" i="7"/>
  <c r="U19" i="7"/>
  <c r="V19" i="7"/>
  <c r="W19" i="7"/>
  <c r="X19" i="7"/>
  <c r="Y19" i="7"/>
  <c r="Z19" i="7"/>
  <c r="AA19" i="7"/>
  <c r="R20" i="7"/>
  <c r="S20" i="7"/>
  <c r="T20" i="7"/>
  <c r="U20" i="7"/>
  <c r="V20" i="7"/>
  <c r="W20" i="7"/>
  <c r="X20" i="7"/>
  <c r="Y20" i="7"/>
  <c r="Z20" i="7"/>
  <c r="AA20" i="7"/>
  <c r="R21" i="7"/>
  <c r="S21" i="7"/>
  <c r="T21" i="7"/>
  <c r="U21" i="7"/>
  <c r="V21" i="7"/>
  <c r="W21" i="7"/>
  <c r="X21" i="7"/>
  <c r="Y21" i="7"/>
  <c r="Z21" i="7"/>
  <c r="AA21" i="7"/>
  <c r="R22" i="7"/>
  <c r="S22" i="7"/>
  <c r="T22" i="7"/>
  <c r="U22" i="7"/>
  <c r="V22" i="7"/>
  <c r="W22" i="7"/>
  <c r="X22" i="7"/>
  <c r="Y22" i="7"/>
  <c r="Z22" i="7"/>
  <c r="AA22" i="7"/>
  <c r="R23" i="7"/>
  <c r="S23" i="7"/>
  <c r="T23" i="7"/>
  <c r="U23" i="7"/>
  <c r="V23" i="7"/>
  <c r="W23" i="7"/>
  <c r="X23" i="7"/>
  <c r="Y23" i="7"/>
  <c r="Z23" i="7"/>
  <c r="AA23" i="7"/>
  <c r="R24" i="7"/>
  <c r="S24" i="7"/>
  <c r="T24" i="7"/>
  <c r="U24" i="7"/>
  <c r="V24" i="7"/>
  <c r="W24" i="7"/>
  <c r="X24" i="7"/>
  <c r="Y24" i="7"/>
  <c r="Z24" i="7"/>
  <c r="AA24" i="7"/>
  <c r="R25" i="7"/>
  <c r="S25" i="7"/>
  <c r="T25" i="7"/>
  <c r="U25" i="7"/>
  <c r="V25" i="7"/>
  <c r="W25" i="7"/>
  <c r="X25" i="7"/>
  <c r="Y25" i="7"/>
  <c r="Z25" i="7"/>
  <c r="AA25" i="7"/>
  <c r="R26" i="7"/>
  <c r="S26" i="7"/>
  <c r="T26" i="7"/>
  <c r="U26" i="7"/>
  <c r="V26" i="7"/>
  <c r="W26" i="7"/>
  <c r="X26" i="7"/>
  <c r="Y26" i="7"/>
  <c r="Z26" i="7"/>
  <c r="AA26" i="7"/>
  <c r="R27" i="7"/>
  <c r="S27" i="7"/>
  <c r="T27" i="7"/>
  <c r="U27" i="7"/>
  <c r="V27" i="7"/>
  <c r="W27" i="7"/>
  <c r="X27" i="7"/>
  <c r="Y27" i="7"/>
  <c r="Z27" i="7"/>
  <c r="AA27" i="7"/>
  <c r="R28" i="7"/>
  <c r="S28" i="7"/>
  <c r="T28" i="7"/>
  <c r="U28" i="7"/>
  <c r="V28" i="7"/>
  <c r="W28" i="7"/>
  <c r="X28" i="7"/>
  <c r="Y28" i="7"/>
  <c r="Z28" i="7"/>
  <c r="AA28" i="7"/>
  <c r="R29" i="7"/>
  <c r="S29" i="7"/>
  <c r="T29" i="7"/>
  <c r="U29" i="7"/>
  <c r="V29" i="7"/>
  <c r="W29" i="7"/>
  <c r="X29" i="7"/>
  <c r="Y29" i="7"/>
  <c r="Z29" i="7"/>
  <c r="AA29" i="7"/>
  <c r="R30" i="7"/>
  <c r="S30" i="7"/>
  <c r="T30" i="7"/>
  <c r="U30" i="7"/>
  <c r="V30" i="7"/>
  <c r="W30" i="7"/>
  <c r="X30" i="7"/>
  <c r="Y30" i="7"/>
  <c r="Z30" i="7"/>
  <c r="AA30" i="7"/>
  <c r="R31" i="7"/>
  <c r="S31" i="7"/>
  <c r="T31" i="7"/>
  <c r="U31" i="7"/>
  <c r="V31" i="7"/>
  <c r="W31" i="7"/>
  <c r="X31" i="7"/>
  <c r="Y31" i="7"/>
  <c r="Z31" i="7"/>
  <c r="AA31" i="7"/>
  <c r="R32" i="7"/>
  <c r="S32" i="7"/>
  <c r="T32" i="7"/>
  <c r="U32" i="7"/>
  <c r="V32" i="7"/>
  <c r="W32" i="7"/>
  <c r="X32" i="7"/>
  <c r="Y32" i="7"/>
  <c r="Z32" i="7"/>
  <c r="AA32" i="7"/>
  <c r="R33" i="7"/>
  <c r="S33" i="7"/>
  <c r="T33" i="7"/>
  <c r="U33" i="7"/>
  <c r="V33" i="7"/>
  <c r="W33" i="7"/>
  <c r="X33" i="7"/>
  <c r="Y33" i="7"/>
  <c r="Z33" i="7"/>
  <c r="AA33" i="7"/>
  <c r="R34" i="7"/>
  <c r="S34" i="7"/>
  <c r="T34" i="7"/>
  <c r="U34" i="7"/>
  <c r="V34" i="7"/>
  <c r="W34" i="7"/>
  <c r="X34" i="7"/>
  <c r="Y34" i="7"/>
  <c r="Z34" i="7"/>
  <c r="AA34" i="7"/>
  <c r="R35" i="7"/>
  <c r="S35" i="7"/>
  <c r="T35" i="7"/>
  <c r="U35" i="7"/>
  <c r="V35" i="7"/>
  <c r="W35" i="7"/>
  <c r="X35" i="7"/>
  <c r="Y35" i="7"/>
  <c r="Z35" i="7"/>
  <c r="AA35" i="7"/>
  <c r="R36" i="7"/>
  <c r="S36" i="7"/>
  <c r="T36" i="7"/>
  <c r="U36" i="7"/>
  <c r="V36" i="7"/>
  <c r="W36" i="7"/>
  <c r="X36" i="7"/>
  <c r="Y36" i="7"/>
  <c r="Z36" i="7"/>
  <c r="AA36" i="7"/>
  <c r="R37" i="7"/>
  <c r="S37" i="7"/>
  <c r="T37" i="7"/>
  <c r="U37" i="7"/>
  <c r="V37" i="7"/>
  <c r="W37" i="7"/>
  <c r="X37" i="7"/>
  <c r="Y37" i="7"/>
  <c r="Z37" i="7"/>
  <c r="AA37" i="7"/>
  <c r="R38" i="7"/>
  <c r="S38" i="7"/>
  <c r="T38" i="7"/>
  <c r="U38" i="7"/>
  <c r="V38" i="7"/>
  <c r="W38" i="7"/>
  <c r="X38" i="7"/>
  <c r="Y38" i="7"/>
  <c r="Z38" i="7"/>
  <c r="AA38" i="7"/>
  <c r="R39" i="7"/>
  <c r="S39" i="7"/>
  <c r="T39" i="7"/>
  <c r="U39" i="7"/>
  <c r="V39" i="7"/>
  <c r="W39" i="7"/>
  <c r="X39" i="7"/>
  <c r="Y39" i="7"/>
  <c r="Z39" i="7"/>
  <c r="AA39" i="7"/>
  <c r="R40" i="7"/>
  <c r="S40" i="7"/>
  <c r="T40" i="7"/>
  <c r="U40" i="7"/>
  <c r="V40" i="7"/>
  <c r="W40" i="7"/>
  <c r="X40" i="7"/>
  <c r="Y40" i="7"/>
  <c r="Z40" i="7"/>
  <c r="AA40" i="7"/>
  <c r="R41" i="7"/>
  <c r="S41" i="7"/>
  <c r="T41" i="7"/>
  <c r="U41" i="7"/>
  <c r="V41" i="7"/>
  <c r="W41" i="7"/>
  <c r="X41" i="7"/>
  <c r="Y41" i="7"/>
  <c r="Z41" i="7"/>
  <c r="AA41" i="7"/>
  <c r="R42" i="7"/>
  <c r="S42" i="7"/>
  <c r="T42" i="7"/>
  <c r="U42" i="7"/>
  <c r="V42" i="7"/>
  <c r="W42" i="7"/>
  <c r="X42" i="7"/>
  <c r="Y42" i="7"/>
  <c r="Z42" i="7"/>
  <c r="AA42" i="7"/>
  <c r="R43" i="7"/>
  <c r="S43" i="7"/>
  <c r="T43" i="7"/>
  <c r="U43" i="7"/>
  <c r="V43" i="7"/>
  <c r="W43" i="7"/>
  <c r="X43" i="7"/>
  <c r="Y43" i="7"/>
  <c r="Z43" i="7"/>
  <c r="AA43" i="7"/>
  <c r="R44" i="7"/>
  <c r="S44" i="7"/>
  <c r="T44" i="7"/>
  <c r="U44" i="7"/>
  <c r="V44" i="7"/>
  <c r="W44" i="7"/>
  <c r="X44" i="7"/>
  <c r="Y44" i="7"/>
  <c r="Z44" i="7"/>
  <c r="AA44" i="7"/>
  <c r="R45" i="7"/>
  <c r="S45" i="7"/>
  <c r="T45" i="7"/>
  <c r="U45" i="7"/>
  <c r="V45" i="7"/>
  <c r="W45" i="7"/>
  <c r="X45" i="7"/>
  <c r="Y45" i="7"/>
  <c r="Z45" i="7"/>
  <c r="AA45" i="7"/>
  <c r="R46" i="7"/>
  <c r="S46" i="7"/>
  <c r="T46" i="7"/>
  <c r="U46" i="7"/>
  <c r="V46" i="7"/>
  <c r="W46" i="7"/>
  <c r="X46" i="7"/>
  <c r="Y46" i="7"/>
  <c r="Z46" i="7"/>
  <c r="AA46" i="7"/>
  <c r="R47" i="7"/>
  <c r="S47" i="7"/>
  <c r="T47" i="7"/>
  <c r="U47" i="7"/>
  <c r="V47" i="7"/>
  <c r="W47" i="7"/>
  <c r="X47" i="7"/>
  <c r="Y47" i="7"/>
  <c r="Z47" i="7"/>
  <c r="AA47" i="7"/>
  <c r="R48" i="7"/>
  <c r="S48" i="7"/>
  <c r="T48" i="7"/>
  <c r="U48" i="7"/>
  <c r="V48" i="7"/>
  <c r="W48" i="7"/>
  <c r="X48" i="7"/>
  <c r="Y48" i="7"/>
  <c r="Z48" i="7"/>
  <c r="AA48" i="7"/>
  <c r="R49" i="7"/>
  <c r="S49" i="7"/>
  <c r="T49" i="7"/>
  <c r="U49" i="7"/>
  <c r="V49" i="7"/>
  <c r="W49" i="7"/>
  <c r="X49" i="7"/>
  <c r="Y49" i="7"/>
  <c r="Z49" i="7"/>
  <c r="AA49" i="7"/>
  <c r="R50" i="7"/>
  <c r="S50" i="7"/>
  <c r="T50" i="7"/>
  <c r="U50" i="7"/>
  <c r="V50" i="7"/>
  <c r="W50" i="7"/>
  <c r="X50" i="7"/>
  <c r="Y50" i="7"/>
  <c r="Z50" i="7"/>
  <c r="AA50" i="7"/>
  <c r="R51" i="7"/>
  <c r="S51" i="7"/>
  <c r="T51" i="7"/>
  <c r="U51" i="7"/>
  <c r="V51" i="7"/>
  <c r="W51" i="7"/>
  <c r="X51" i="7"/>
  <c r="Y51" i="7"/>
  <c r="Z51" i="7"/>
  <c r="AA51" i="7"/>
  <c r="R52" i="7"/>
  <c r="S52" i="7"/>
  <c r="T52" i="7"/>
  <c r="U52" i="7"/>
  <c r="V52" i="7"/>
  <c r="W52" i="7"/>
  <c r="X52" i="7"/>
  <c r="Y52" i="7"/>
  <c r="Z52" i="7"/>
  <c r="AA52" i="7"/>
  <c r="R53" i="7"/>
  <c r="S53" i="7"/>
  <c r="T53" i="7"/>
  <c r="U53" i="7"/>
  <c r="V53" i="7"/>
  <c r="W53" i="7"/>
  <c r="X53" i="7"/>
  <c r="Y53" i="7"/>
  <c r="Z53" i="7"/>
  <c r="AA53" i="7"/>
  <c r="R54" i="7"/>
  <c r="S54" i="7"/>
  <c r="T54" i="7"/>
  <c r="U54" i="7"/>
  <c r="V54" i="7"/>
  <c r="W54" i="7"/>
  <c r="X54" i="7"/>
  <c r="Y54" i="7"/>
  <c r="Z54" i="7"/>
  <c r="AA54" i="7"/>
  <c r="R55" i="7"/>
  <c r="S55" i="7"/>
  <c r="T55" i="7"/>
  <c r="U55" i="7"/>
  <c r="V55" i="7"/>
  <c r="W55" i="7"/>
  <c r="X55" i="7"/>
  <c r="Y55" i="7"/>
  <c r="Z55" i="7"/>
  <c r="AA55" i="7"/>
  <c r="R56" i="7"/>
  <c r="S56" i="7"/>
  <c r="T56" i="7"/>
  <c r="U56" i="7"/>
  <c r="V56" i="7"/>
  <c r="W56" i="7"/>
  <c r="X56" i="7"/>
  <c r="Y56" i="7"/>
  <c r="Z56" i="7"/>
  <c r="AA56" i="7"/>
  <c r="R57" i="7"/>
  <c r="S57" i="7"/>
  <c r="T57" i="7"/>
  <c r="U57" i="7"/>
  <c r="V57" i="7"/>
  <c r="W57" i="7"/>
  <c r="X57" i="7"/>
  <c r="Y57" i="7"/>
  <c r="Z57" i="7"/>
  <c r="AA57" i="7"/>
  <c r="R58" i="7"/>
  <c r="S58" i="7"/>
  <c r="T58" i="7"/>
  <c r="U58" i="7"/>
  <c r="V58" i="7"/>
  <c r="W58" i="7"/>
  <c r="X58" i="7"/>
  <c r="Y58" i="7"/>
  <c r="Z58" i="7"/>
  <c r="AA58" i="7"/>
  <c r="R59" i="7"/>
  <c r="S59" i="7"/>
  <c r="T59" i="7"/>
  <c r="U59" i="7"/>
  <c r="V59" i="7"/>
  <c r="W59" i="7"/>
  <c r="X59" i="7"/>
  <c r="Y59" i="7"/>
  <c r="Z59" i="7"/>
  <c r="AA59" i="7"/>
  <c r="R60" i="7"/>
  <c r="S60" i="7"/>
  <c r="T60" i="7"/>
  <c r="U60" i="7"/>
  <c r="V60" i="7"/>
  <c r="W60" i="7"/>
  <c r="X60" i="7"/>
  <c r="Y60" i="7"/>
  <c r="Z60" i="7"/>
  <c r="AA60" i="7"/>
  <c r="R61" i="7"/>
  <c r="S61" i="7"/>
  <c r="T61" i="7"/>
  <c r="U61" i="7"/>
  <c r="V61" i="7"/>
  <c r="W61" i="7"/>
  <c r="X61" i="7"/>
  <c r="Y61" i="7"/>
  <c r="Z61" i="7"/>
  <c r="AA61" i="7"/>
  <c r="R62" i="7"/>
  <c r="S62" i="7"/>
  <c r="T62" i="7"/>
  <c r="U62" i="7"/>
  <c r="V62" i="7"/>
  <c r="W62" i="7"/>
  <c r="X62" i="7"/>
  <c r="Y62" i="7"/>
  <c r="Z62" i="7"/>
  <c r="AA62" i="7"/>
  <c r="R63" i="7"/>
  <c r="S63" i="7"/>
  <c r="T63" i="7"/>
  <c r="U63" i="7"/>
  <c r="V63" i="7"/>
  <c r="W63" i="7"/>
  <c r="X63" i="7"/>
  <c r="Y63" i="7"/>
  <c r="Z63" i="7"/>
  <c r="AA63" i="7"/>
  <c r="R64" i="7"/>
  <c r="S64" i="7"/>
  <c r="T64" i="7"/>
  <c r="U64" i="7"/>
  <c r="V64" i="7"/>
  <c r="W64" i="7"/>
  <c r="X64" i="7"/>
  <c r="Y64" i="7"/>
  <c r="Z64" i="7"/>
  <c r="AA64" i="7"/>
  <c r="R65" i="7"/>
  <c r="S65" i="7"/>
  <c r="T65" i="7"/>
  <c r="U65" i="7"/>
  <c r="V65" i="7"/>
  <c r="W65" i="7"/>
  <c r="X65" i="7"/>
  <c r="Y65" i="7"/>
  <c r="Z65" i="7"/>
  <c r="AA65" i="7"/>
  <c r="R66" i="7"/>
  <c r="S66" i="7"/>
  <c r="T66" i="7"/>
  <c r="U66" i="7"/>
  <c r="V66" i="7"/>
  <c r="W66" i="7"/>
  <c r="X66" i="7"/>
  <c r="Y66" i="7"/>
  <c r="Z66" i="7"/>
  <c r="AA66" i="7"/>
  <c r="R67" i="7"/>
  <c r="S67" i="7"/>
  <c r="T67" i="7"/>
  <c r="U67" i="7"/>
  <c r="V67" i="7"/>
  <c r="W67" i="7"/>
  <c r="X67" i="7"/>
  <c r="Y67" i="7"/>
  <c r="Z67" i="7"/>
  <c r="AA67" i="7"/>
  <c r="R68" i="7"/>
  <c r="S68" i="7"/>
  <c r="T68" i="7"/>
  <c r="U68" i="7"/>
  <c r="V68" i="7"/>
  <c r="W68" i="7"/>
  <c r="X68" i="7"/>
  <c r="Y68" i="7"/>
  <c r="Z68" i="7"/>
  <c r="AA68" i="7"/>
  <c r="R69" i="7"/>
  <c r="S69" i="7"/>
  <c r="T69" i="7"/>
  <c r="U69" i="7"/>
  <c r="V69" i="7"/>
  <c r="W69" i="7"/>
  <c r="X69" i="7"/>
  <c r="Y69" i="7"/>
  <c r="Z69" i="7"/>
  <c r="AA69" i="7"/>
  <c r="R70" i="7"/>
  <c r="S70" i="7"/>
  <c r="T70" i="7"/>
  <c r="U70" i="7"/>
  <c r="V70" i="7"/>
  <c r="W70" i="7"/>
  <c r="X70" i="7"/>
  <c r="Y70" i="7"/>
  <c r="Z70" i="7"/>
  <c r="AA70" i="7"/>
  <c r="R71" i="7"/>
  <c r="S71" i="7"/>
  <c r="T71" i="7"/>
  <c r="U71" i="7"/>
  <c r="V71" i="7"/>
  <c r="W71" i="7"/>
  <c r="X71" i="7"/>
  <c r="Y71" i="7"/>
  <c r="Z71" i="7"/>
  <c r="AA71" i="7"/>
  <c r="R72" i="7"/>
  <c r="S72" i="7"/>
  <c r="T72" i="7"/>
  <c r="U72" i="7"/>
  <c r="V72" i="7"/>
  <c r="W72" i="7"/>
  <c r="X72" i="7"/>
  <c r="Y72" i="7"/>
  <c r="Z72" i="7"/>
  <c r="AA72" i="7"/>
  <c r="R73" i="7"/>
  <c r="S73" i="7"/>
  <c r="T73" i="7"/>
  <c r="U73" i="7"/>
  <c r="V73" i="7"/>
  <c r="W73" i="7"/>
  <c r="X73" i="7"/>
  <c r="Y73" i="7"/>
  <c r="Z73" i="7"/>
  <c r="AA73" i="7"/>
  <c r="R74" i="7"/>
  <c r="S74" i="7"/>
  <c r="T74" i="7"/>
  <c r="U74" i="7"/>
  <c r="V74" i="7"/>
  <c r="W74" i="7"/>
  <c r="X74" i="7"/>
  <c r="Y74" i="7"/>
  <c r="Z74" i="7"/>
  <c r="AA74" i="7"/>
  <c r="R75" i="7"/>
  <c r="S75" i="7"/>
  <c r="T75" i="7"/>
  <c r="U75" i="7"/>
  <c r="V75" i="7"/>
  <c r="W75" i="7"/>
  <c r="X75" i="7"/>
  <c r="Y75" i="7"/>
  <c r="Z75" i="7"/>
  <c r="AA75" i="7"/>
  <c r="R76" i="7"/>
  <c r="S76" i="7"/>
  <c r="T76" i="7"/>
  <c r="U76" i="7"/>
  <c r="V76" i="7"/>
  <c r="W76" i="7"/>
  <c r="X76" i="7"/>
  <c r="Y76" i="7"/>
  <c r="Z76" i="7"/>
  <c r="AA76" i="7"/>
  <c r="R77" i="7"/>
  <c r="S77" i="7"/>
  <c r="T77" i="7"/>
  <c r="U77" i="7"/>
  <c r="V77" i="7"/>
  <c r="W77" i="7"/>
  <c r="X77" i="7"/>
  <c r="Y77" i="7"/>
  <c r="Z77" i="7"/>
  <c r="AA77" i="7"/>
  <c r="R78" i="7"/>
  <c r="S78" i="7"/>
  <c r="T78" i="7"/>
  <c r="U78" i="7"/>
  <c r="V78" i="7"/>
  <c r="W78" i="7"/>
  <c r="X78" i="7"/>
  <c r="Y78" i="7"/>
  <c r="Z78" i="7"/>
  <c r="AA78" i="7"/>
  <c r="R79" i="7"/>
  <c r="S79" i="7"/>
  <c r="T79" i="7"/>
  <c r="U79" i="7"/>
  <c r="V79" i="7"/>
  <c r="W79" i="7"/>
  <c r="X79" i="7"/>
  <c r="Y79" i="7"/>
  <c r="Z79" i="7"/>
  <c r="AA79" i="7"/>
  <c r="R80" i="7"/>
  <c r="S80" i="7"/>
  <c r="T80" i="7"/>
  <c r="U80" i="7"/>
  <c r="V80" i="7"/>
  <c r="W80" i="7"/>
  <c r="X80" i="7"/>
  <c r="Y80" i="7"/>
  <c r="Z80" i="7"/>
  <c r="AA80" i="7"/>
  <c r="R81" i="7"/>
  <c r="S81" i="7"/>
  <c r="T81" i="7"/>
  <c r="U81" i="7"/>
  <c r="V81" i="7"/>
  <c r="W81" i="7"/>
  <c r="X81" i="7"/>
  <c r="Y81" i="7"/>
  <c r="Z81" i="7"/>
  <c r="AA81" i="7"/>
  <c r="R82" i="7"/>
  <c r="S82" i="7"/>
  <c r="T82" i="7"/>
  <c r="U82" i="7"/>
  <c r="V82" i="7"/>
  <c r="W82" i="7"/>
  <c r="X82" i="7"/>
  <c r="Y82" i="7"/>
  <c r="Z82" i="7"/>
  <c r="AA82" i="7"/>
  <c r="R83" i="7"/>
  <c r="S83" i="7"/>
  <c r="T83" i="7"/>
  <c r="U83" i="7"/>
  <c r="V83" i="7"/>
  <c r="W83" i="7"/>
  <c r="X83" i="7"/>
  <c r="Y83" i="7"/>
  <c r="Z83" i="7"/>
  <c r="AA83" i="7"/>
  <c r="R84" i="7"/>
  <c r="S84" i="7"/>
  <c r="T84" i="7"/>
  <c r="U84" i="7"/>
  <c r="V84" i="7"/>
  <c r="W84" i="7"/>
  <c r="X84" i="7"/>
  <c r="Y84" i="7"/>
  <c r="Z84" i="7"/>
  <c r="AA84" i="7"/>
  <c r="R85" i="7"/>
  <c r="S85" i="7"/>
  <c r="T85" i="7"/>
  <c r="U85" i="7"/>
  <c r="V85" i="7"/>
  <c r="W85" i="7"/>
  <c r="X85" i="7"/>
  <c r="Y85" i="7"/>
  <c r="Z85" i="7"/>
  <c r="AA85" i="7"/>
  <c r="R86" i="7"/>
  <c r="S86" i="7"/>
  <c r="T86" i="7"/>
  <c r="U86" i="7"/>
  <c r="V86" i="7"/>
  <c r="W86" i="7"/>
  <c r="X86" i="7"/>
  <c r="Y86" i="7"/>
  <c r="Z86" i="7"/>
  <c r="AA86" i="7"/>
  <c r="R87" i="7"/>
  <c r="S87" i="7"/>
  <c r="T87" i="7"/>
  <c r="U87" i="7"/>
  <c r="V87" i="7"/>
  <c r="W87" i="7"/>
  <c r="X87" i="7"/>
  <c r="Y87" i="7"/>
  <c r="Z87" i="7"/>
  <c r="AA87" i="7"/>
  <c r="R88" i="7"/>
  <c r="S88" i="7"/>
  <c r="T88" i="7"/>
  <c r="U88" i="7"/>
  <c r="V88" i="7"/>
  <c r="W88" i="7"/>
  <c r="X88" i="7"/>
  <c r="Y88" i="7"/>
  <c r="Z88" i="7"/>
  <c r="AA88" i="7"/>
  <c r="R89" i="7"/>
  <c r="S89" i="7"/>
  <c r="T89" i="7"/>
  <c r="U89" i="7"/>
  <c r="V89" i="7"/>
  <c r="W89" i="7"/>
  <c r="X89" i="7"/>
  <c r="Y89" i="7"/>
  <c r="Z89" i="7"/>
  <c r="AA89" i="7"/>
  <c r="R90" i="7"/>
  <c r="S90" i="7"/>
  <c r="T90" i="7"/>
  <c r="U90" i="7"/>
  <c r="V90" i="7"/>
  <c r="W90" i="7"/>
  <c r="X90" i="7"/>
  <c r="Y90" i="7"/>
  <c r="Z90" i="7"/>
  <c r="AA90" i="7"/>
  <c r="R91" i="7"/>
  <c r="S91" i="7"/>
  <c r="T91" i="7"/>
  <c r="U91" i="7"/>
  <c r="V91" i="7"/>
  <c r="W91" i="7"/>
  <c r="X91" i="7"/>
  <c r="Y91" i="7"/>
  <c r="Z91" i="7"/>
  <c r="AA91" i="7"/>
  <c r="R92" i="7"/>
  <c r="S92" i="7"/>
  <c r="T92" i="7"/>
  <c r="U92" i="7"/>
  <c r="V92" i="7"/>
  <c r="W92" i="7"/>
  <c r="X92" i="7"/>
  <c r="Y92" i="7"/>
  <c r="Z92" i="7"/>
  <c r="AA92" i="7"/>
  <c r="R93" i="7"/>
  <c r="S93" i="7"/>
  <c r="T93" i="7"/>
  <c r="U93" i="7"/>
  <c r="V93" i="7"/>
  <c r="W93" i="7"/>
  <c r="X93" i="7"/>
  <c r="Y93" i="7"/>
  <c r="Z93" i="7"/>
  <c r="AA93" i="7"/>
  <c r="R94" i="7"/>
  <c r="S94" i="7"/>
  <c r="T94" i="7"/>
  <c r="U94" i="7"/>
  <c r="V94" i="7"/>
  <c r="W94" i="7"/>
  <c r="X94" i="7"/>
  <c r="Y94" i="7"/>
  <c r="Z94" i="7"/>
  <c r="AA94" i="7"/>
  <c r="R95" i="7"/>
  <c r="S95" i="7"/>
  <c r="T95" i="7"/>
  <c r="U95" i="7"/>
  <c r="V95" i="7"/>
  <c r="W95" i="7"/>
  <c r="X95" i="7"/>
  <c r="Y95" i="7"/>
  <c r="Z95" i="7"/>
  <c r="AA95" i="7"/>
  <c r="R96" i="7"/>
  <c r="S96" i="7"/>
  <c r="T96" i="7"/>
  <c r="U96" i="7"/>
  <c r="V96" i="7"/>
  <c r="W96" i="7"/>
  <c r="X96" i="7"/>
  <c r="Y96" i="7"/>
  <c r="Z96" i="7"/>
  <c r="AA96" i="7"/>
  <c r="R97" i="7"/>
  <c r="S97" i="7"/>
  <c r="T97" i="7"/>
  <c r="U97" i="7"/>
  <c r="V97" i="7"/>
  <c r="W97" i="7"/>
  <c r="X97" i="7"/>
  <c r="Y97" i="7"/>
  <c r="Z97" i="7"/>
  <c r="AA97" i="7"/>
  <c r="R98" i="7"/>
  <c r="S98" i="7"/>
  <c r="T98" i="7"/>
  <c r="U98" i="7"/>
  <c r="V98" i="7"/>
  <c r="W98" i="7"/>
  <c r="X98" i="7"/>
  <c r="Y98" i="7"/>
  <c r="Z98" i="7"/>
  <c r="AA98" i="7"/>
  <c r="R99" i="7"/>
  <c r="S99" i="7"/>
  <c r="T99" i="7"/>
  <c r="U99" i="7"/>
  <c r="V99" i="7"/>
  <c r="W99" i="7"/>
  <c r="X99" i="7"/>
  <c r="Y99" i="7"/>
  <c r="Z99" i="7"/>
  <c r="AA99" i="7"/>
  <c r="R100" i="7"/>
  <c r="S100" i="7"/>
  <c r="T100" i="7"/>
  <c r="U100" i="7"/>
  <c r="V100" i="7"/>
  <c r="W100" i="7"/>
  <c r="X100" i="7"/>
  <c r="Y100" i="7"/>
  <c r="Z100" i="7"/>
  <c r="AA100" i="7"/>
  <c r="R101" i="7"/>
  <c r="S101" i="7"/>
  <c r="T101" i="7"/>
  <c r="U101" i="7"/>
  <c r="V101" i="7"/>
  <c r="W101" i="7"/>
  <c r="X101" i="7"/>
  <c r="Y101" i="7"/>
  <c r="Z101" i="7"/>
  <c r="AA101" i="7"/>
  <c r="R102" i="7"/>
  <c r="S102" i="7"/>
  <c r="T102" i="7"/>
  <c r="U102" i="7"/>
  <c r="V102" i="7"/>
  <c r="W102" i="7"/>
  <c r="X102" i="7"/>
  <c r="Y102" i="7"/>
  <c r="Z102" i="7"/>
  <c r="AA102" i="7"/>
  <c r="R103" i="7"/>
  <c r="S103" i="7"/>
  <c r="T103" i="7"/>
  <c r="U103" i="7"/>
  <c r="V103" i="7"/>
  <c r="W103" i="7"/>
  <c r="X103" i="7"/>
  <c r="Y103" i="7"/>
  <c r="Z103" i="7"/>
  <c r="AA103" i="7"/>
  <c r="R104" i="7"/>
  <c r="S104" i="7"/>
  <c r="T104" i="7"/>
  <c r="U104" i="7"/>
  <c r="V104" i="7"/>
  <c r="W104" i="7"/>
  <c r="X104" i="7"/>
  <c r="Y104" i="7"/>
  <c r="Z104" i="7"/>
  <c r="AA104" i="7"/>
  <c r="R105" i="7"/>
  <c r="S105" i="7"/>
  <c r="T105" i="7"/>
  <c r="U105" i="7"/>
  <c r="V105" i="7"/>
  <c r="W105" i="7"/>
  <c r="X105" i="7"/>
  <c r="Y105" i="7"/>
  <c r="Z105" i="7"/>
  <c r="AA105" i="7"/>
  <c r="S6" i="7"/>
  <c r="T6" i="7"/>
  <c r="U6" i="7"/>
  <c r="V6" i="7"/>
  <c r="W6" i="7"/>
  <c r="X6" i="7"/>
  <c r="Y6" i="7"/>
  <c r="Z6" i="7"/>
  <c r="AA6" i="7"/>
  <c r="R6" i="7"/>
  <c r="B105" i="7"/>
  <c r="C105" i="7"/>
  <c r="D105" i="7"/>
  <c r="E105" i="7"/>
  <c r="F105" i="7"/>
  <c r="G105" i="7"/>
  <c r="H105" i="7"/>
  <c r="I105" i="7"/>
  <c r="J105" i="7"/>
  <c r="K105" i="7"/>
  <c r="AA105" i="9"/>
  <c r="Z105" i="9"/>
  <c r="Y105" i="9"/>
  <c r="X105" i="9"/>
  <c r="W105" i="9"/>
  <c r="V105" i="9"/>
  <c r="U105" i="9"/>
  <c r="T105" i="9"/>
  <c r="S105" i="9"/>
  <c r="R105" i="9"/>
  <c r="K105" i="9"/>
  <c r="J105" i="9"/>
  <c r="I105" i="9"/>
  <c r="H105" i="9"/>
  <c r="G105" i="9"/>
  <c r="F105" i="9"/>
  <c r="E105" i="9"/>
  <c r="D105" i="9"/>
  <c r="C105" i="9"/>
  <c r="B105" i="9"/>
  <c r="AA104" i="9"/>
  <c r="Z104" i="9"/>
  <c r="Y104" i="9"/>
  <c r="X104" i="9"/>
  <c r="W104" i="9"/>
  <c r="V104" i="9"/>
  <c r="U104" i="9"/>
  <c r="T104" i="9"/>
  <c r="S104" i="9"/>
  <c r="R104" i="9"/>
  <c r="N104" i="9"/>
  <c r="O104" i="9" s="1"/>
  <c r="AA103" i="9"/>
  <c r="Z103" i="9"/>
  <c r="Y103" i="9"/>
  <c r="X103" i="9"/>
  <c r="W103" i="9"/>
  <c r="V103" i="9"/>
  <c r="U103" i="9"/>
  <c r="T103" i="9"/>
  <c r="S103" i="9"/>
  <c r="R103" i="9"/>
  <c r="N103" i="9"/>
  <c r="O103" i="9" s="1"/>
  <c r="AA102" i="9"/>
  <c r="Z102" i="9"/>
  <c r="Y102" i="9"/>
  <c r="X102" i="9"/>
  <c r="W102" i="9"/>
  <c r="V102" i="9"/>
  <c r="U102" i="9"/>
  <c r="T102" i="9"/>
  <c r="S102" i="9"/>
  <c r="R102" i="9"/>
  <c r="N102" i="9"/>
  <c r="O102" i="9" s="1"/>
  <c r="AA101" i="9"/>
  <c r="Z101" i="9"/>
  <c r="Y101" i="9"/>
  <c r="X101" i="9"/>
  <c r="W101" i="9"/>
  <c r="V101" i="9"/>
  <c r="U101" i="9"/>
  <c r="T101" i="9"/>
  <c r="S101" i="9"/>
  <c r="R101" i="9"/>
  <c r="N101" i="9"/>
  <c r="O101" i="9" s="1"/>
  <c r="AA100" i="9"/>
  <c r="Z100" i="9"/>
  <c r="Y100" i="9"/>
  <c r="X100" i="9"/>
  <c r="W100" i="9"/>
  <c r="V100" i="9"/>
  <c r="U100" i="9"/>
  <c r="T100" i="9"/>
  <c r="S100" i="9"/>
  <c r="R100" i="9"/>
  <c r="N100" i="9"/>
  <c r="O100" i="9" s="1"/>
  <c r="AA99" i="9"/>
  <c r="Z99" i="9"/>
  <c r="Y99" i="9"/>
  <c r="X99" i="9"/>
  <c r="W99" i="9"/>
  <c r="V99" i="9"/>
  <c r="U99" i="9"/>
  <c r="T99" i="9"/>
  <c r="S99" i="9"/>
  <c r="R99" i="9"/>
  <c r="N99" i="9"/>
  <c r="O99" i="9" s="1"/>
  <c r="AA98" i="9"/>
  <c r="Z98" i="9"/>
  <c r="Y98" i="9"/>
  <c r="X98" i="9"/>
  <c r="W98" i="9"/>
  <c r="V98" i="9"/>
  <c r="U98" i="9"/>
  <c r="T98" i="9"/>
  <c r="S98" i="9"/>
  <c r="R98" i="9"/>
  <c r="N98" i="9"/>
  <c r="O98" i="9" s="1"/>
  <c r="AA97" i="9"/>
  <c r="Z97" i="9"/>
  <c r="Y97" i="9"/>
  <c r="X97" i="9"/>
  <c r="W97" i="9"/>
  <c r="V97" i="9"/>
  <c r="U97" i="9"/>
  <c r="T97" i="9"/>
  <c r="S97" i="9"/>
  <c r="R97" i="9"/>
  <c r="N97" i="9"/>
  <c r="O97" i="9" s="1"/>
  <c r="AA96" i="9"/>
  <c r="Z96" i="9"/>
  <c r="Y96" i="9"/>
  <c r="X96" i="9"/>
  <c r="W96" i="9"/>
  <c r="V96" i="9"/>
  <c r="U96" i="9"/>
  <c r="T96" i="9"/>
  <c r="S96" i="9"/>
  <c r="R96" i="9"/>
  <c r="N96" i="9"/>
  <c r="O96" i="9" s="1"/>
  <c r="AA95" i="9"/>
  <c r="Z95" i="9"/>
  <c r="Y95" i="9"/>
  <c r="X95" i="9"/>
  <c r="W95" i="9"/>
  <c r="V95" i="9"/>
  <c r="U95" i="9"/>
  <c r="T95" i="9"/>
  <c r="S95" i="9"/>
  <c r="R95" i="9"/>
  <c r="N95" i="9"/>
  <c r="O95" i="9" s="1"/>
  <c r="AA94" i="9"/>
  <c r="Z94" i="9"/>
  <c r="Y94" i="9"/>
  <c r="X94" i="9"/>
  <c r="W94" i="9"/>
  <c r="V94" i="9"/>
  <c r="U94" i="9"/>
  <c r="T94" i="9"/>
  <c r="S94" i="9"/>
  <c r="R94" i="9"/>
  <c r="N94" i="9"/>
  <c r="O94" i="9" s="1"/>
  <c r="AA93" i="9"/>
  <c r="Z93" i="9"/>
  <c r="Y93" i="9"/>
  <c r="X93" i="9"/>
  <c r="W93" i="9"/>
  <c r="V93" i="9"/>
  <c r="U93" i="9"/>
  <c r="T93" i="9"/>
  <c r="S93" i="9"/>
  <c r="R93" i="9"/>
  <c r="N93" i="9"/>
  <c r="O93" i="9" s="1"/>
  <c r="AA92" i="9"/>
  <c r="Z92" i="9"/>
  <c r="Y92" i="9"/>
  <c r="X92" i="9"/>
  <c r="W92" i="9"/>
  <c r="V92" i="9"/>
  <c r="U92" i="9"/>
  <c r="T92" i="9"/>
  <c r="S92" i="9"/>
  <c r="R92" i="9"/>
  <c r="N92" i="9"/>
  <c r="O92" i="9" s="1"/>
  <c r="AA91" i="9"/>
  <c r="Z91" i="9"/>
  <c r="Y91" i="9"/>
  <c r="X91" i="9"/>
  <c r="W91" i="9"/>
  <c r="V91" i="9"/>
  <c r="U91" i="9"/>
  <c r="T91" i="9"/>
  <c r="S91" i="9"/>
  <c r="R91" i="9"/>
  <c r="N91" i="9"/>
  <c r="O91" i="9" s="1"/>
  <c r="AA90" i="9"/>
  <c r="Z90" i="9"/>
  <c r="Y90" i="9"/>
  <c r="X90" i="9"/>
  <c r="W90" i="9"/>
  <c r="V90" i="9"/>
  <c r="U90" i="9"/>
  <c r="T90" i="9"/>
  <c r="S90" i="9"/>
  <c r="R90" i="9"/>
  <c r="N90" i="9"/>
  <c r="O90" i="9" s="1"/>
  <c r="AA89" i="9"/>
  <c r="Z89" i="9"/>
  <c r="Y89" i="9"/>
  <c r="X89" i="9"/>
  <c r="W89" i="9"/>
  <c r="V89" i="9"/>
  <c r="U89" i="9"/>
  <c r="T89" i="9"/>
  <c r="S89" i="9"/>
  <c r="R89" i="9"/>
  <c r="N89" i="9"/>
  <c r="O89" i="9" s="1"/>
  <c r="AA88" i="9"/>
  <c r="Z88" i="9"/>
  <c r="Y88" i="9"/>
  <c r="X88" i="9"/>
  <c r="W88" i="9"/>
  <c r="V88" i="9"/>
  <c r="U88" i="9"/>
  <c r="T88" i="9"/>
  <c r="S88" i="9"/>
  <c r="R88" i="9"/>
  <c r="N88" i="9"/>
  <c r="O88" i="9" s="1"/>
  <c r="AA87" i="9"/>
  <c r="Z87" i="9"/>
  <c r="Y87" i="9"/>
  <c r="X87" i="9"/>
  <c r="W87" i="9"/>
  <c r="V87" i="9"/>
  <c r="U87" i="9"/>
  <c r="T87" i="9"/>
  <c r="S87" i="9"/>
  <c r="R87" i="9"/>
  <c r="N87" i="9"/>
  <c r="O87" i="9" s="1"/>
  <c r="AA86" i="9"/>
  <c r="Z86" i="9"/>
  <c r="Y86" i="9"/>
  <c r="X86" i="9"/>
  <c r="W86" i="9"/>
  <c r="V86" i="9"/>
  <c r="U86" i="9"/>
  <c r="T86" i="9"/>
  <c r="S86" i="9"/>
  <c r="R86" i="9"/>
  <c r="N86" i="9"/>
  <c r="O86" i="9" s="1"/>
  <c r="AA85" i="9"/>
  <c r="Z85" i="9"/>
  <c r="Y85" i="9"/>
  <c r="X85" i="9"/>
  <c r="W85" i="9"/>
  <c r="V85" i="9"/>
  <c r="U85" i="9"/>
  <c r="T85" i="9"/>
  <c r="S85" i="9"/>
  <c r="R85" i="9"/>
  <c r="N85" i="9"/>
  <c r="O85" i="9" s="1"/>
  <c r="AA84" i="9"/>
  <c r="Z84" i="9"/>
  <c r="Y84" i="9"/>
  <c r="X84" i="9"/>
  <c r="W84" i="9"/>
  <c r="V84" i="9"/>
  <c r="U84" i="9"/>
  <c r="T84" i="9"/>
  <c r="S84" i="9"/>
  <c r="R84" i="9"/>
  <c r="N84" i="9"/>
  <c r="O84" i="9" s="1"/>
  <c r="AA83" i="9"/>
  <c r="Z83" i="9"/>
  <c r="Y83" i="9"/>
  <c r="X83" i="9"/>
  <c r="W83" i="9"/>
  <c r="V83" i="9"/>
  <c r="U83" i="9"/>
  <c r="T83" i="9"/>
  <c r="S83" i="9"/>
  <c r="R83" i="9"/>
  <c r="N83" i="9"/>
  <c r="O83" i="9" s="1"/>
  <c r="AA82" i="9"/>
  <c r="Z82" i="9"/>
  <c r="Y82" i="9"/>
  <c r="X82" i="9"/>
  <c r="W82" i="9"/>
  <c r="V82" i="9"/>
  <c r="U82" i="9"/>
  <c r="T82" i="9"/>
  <c r="S82" i="9"/>
  <c r="R82" i="9"/>
  <c r="N82" i="9"/>
  <c r="O82" i="9" s="1"/>
  <c r="AA81" i="9"/>
  <c r="Z81" i="9"/>
  <c r="Y81" i="9"/>
  <c r="X81" i="9"/>
  <c r="W81" i="9"/>
  <c r="V81" i="9"/>
  <c r="U81" i="9"/>
  <c r="T81" i="9"/>
  <c r="S81" i="9"/>
  <c r="R81" i="9"/>
  <c r="N81" i="9"/>
  <c r="O81" i="9" s="1"/>
  <c r="AA80" i="9"/>
  <c r="Z80" i="9"/>
  <c r="Y80" i="9"/>
  <c r="X80" i="9"/>
  <c r="W80" i="9"/>
  <c r="V80" i="9"/>
  <c r="U80" i="9"/>
  <c r="T80" i="9"/>
  <c r="S80" i="9"/>
  <c r="R80" i="9"/>
  <c r="N80" i="9"/>
  <c r="O80" i="9" s="1"/>
  <c r="AA79" i="9"/>
  <c r="Z79" i="9"/>
  <c r="Y79" i="9"/>
  <c r="X79" i="9"/>
  <c r="W79" i="9"/>
  <c r="V79" i="9"/>
  <c r="U79" i="9"/>
  <c r="T79" i="9"/>
  <c r="S79" i="9"/>
  <c r="R79" i="9"/>
  <c r="N79" i="9"/>
  <c r="O79" i="9" s="1"/>
  <c r="AA78" i="9"/>
  <c r="Z78" i="9"/>
  <c r="Y78" i="9"/>
  <c r="X78" i="9"/>
  <c r="W78" i="9"/>
  <c r="V78" i="9"/>
  <c r="U78" i="9"/>
  <c r="T78" i="9"/>
  <c r="S78" i="9"/>
  <c r="R78" i="9"/>
  <c r="N78" i="9"/>
  <c r="O78" i="9" s="1"/>
  <c r="AA77" i="9"/>
  <c r="Z77" i="9"/>
  <c r="Y77" i="9"/>
  <c r="X77" i="9"/>
  <c r="W77" i="9"/>
  <c r="V77" i="9"/>
  <c r="U77" i="9"/>
  <c r="T77" i="9"/>
  <c r="S77" i="9"/>
  <c r="R77" i="9"/>
  <c r="N77" i="9"/>
  <c r="O77" i="9" s="1"/>
  <c r="AA76" i="9"/>
  <c r="Z76" i="9"/>
  <c r="Y76" i="9"/>
  <c r="X76" i="9"/>
  <c r="W76" i="9"/>
  <c r="V76" i="9"/>
  <c r="U76" i="9"/>
  <c r="T76" i="9"/>
  <c r="S76" i="9"/>
  <c r="R76" i="9"/>
  <c r="N76" i="9"/>
  <c r="O76" i="9" s="1"/>
  <c r="AA75" i="9"/>
  <c r="Z75" i="9"/>
  <c r="Y75" i="9"/>
  <c r="X75" i="9"/>
  <c r="W75" i="9"/>
  <c r="V75" i="9"/>
  <c r="U75" i="9"/>
  <c r="T75" i="9"/>
  <c r="S75" i="9"/>
  <c r="R75" i="9"/>
  <c r="N75" i="9"/>
  <c r="O75" i="9" s="1"/>
  <c r="AA74" i="9"/>
  <c r="Z74" i="9"/>
  <c r="Y74" i="9"/>
  <c r="X74" i="9"/>
  <c r="W74" i="9"/>
  <c r="V74" i="9"/>
  <c r="U74" i="9"/>
  <c r="T74" i="9"/>
  <c r="S74" i="9"/>
  <c r="R74" i="9"/>
  <c r="N74" i="9"/>
  <c r="O74" i="9" s="1"/>
  <c r="AA73" i="9"/>
  <c r="Z73" i="9"/>
  <c r="Y73" i="9"/>
  <c r="X73" i="9"/>
  <c r="W73" i="9"/>
  <c r="V73" i="9"/>
  <c r="U73" i="9"/>
  <c r="T73" i="9"/>
  <c r="S73" i="9"/>
  <c r="R73" i="9"/>
  <c r="N73" i="9"/>
  <c r="O73" i="9" s="1"/>
  <c r="AA72" i="9"/>
  <c r="Z72" i="9"/>
  <c r="Y72" i="9"/>
  <c r="X72" i="9"/>
  <c r="W72" i="9"/>
  <c r="V72" i="9"/>
  <c r="U72" i="9"/>
  <c r="T72" i="9"/>
  <c r="S72" i="9"/>
  <c r="R72" i="9"/>
  <c r="N72" i="9"/>
  <c r="O72" i="9" s="1"/>
  <c r="AA71" i="9"/>
  <c r="Z71" i="9"/>
  <c r="Y71" i="9"/>
  <c r="X71" i="9"/>
  <c r="W71" i="9"/>
  <c r="V71" i="9"/>
  <c r="U71" i="9"/>
  <c r="T71" i="9"/>
  <c r="S71" i="9"/>
  <c r="R71" i="9"/>
  <c r="N71" i="9"/>
  <c r="O71" i="9" s="1"/>
  <c r="AA70" i="9"/>
  <c r="Z70" i="9"/>
  <c r="Y70" i="9"/>
  <c r="X70" i="9"/>
  <c r="W70" i="9"/>
  <c r="V70" i="9"/>
  <c r="U70" i="9"/>
  <c r="T70" i="9"/>
  <c r="S70" i="9"/>
  <c r="R70" i="9"/>
  <c r="N70" i="9"/>
  <c r="O70" i="9" s="1"/>
  <c r="AA69" i="9"/>
  <c r="Z69" i="9"/>
  <c r="Y69" i="9"/>
  <c r="X69" i="9"/>
  <c r="W69" i="9"/>
  <c r="V69" i="9"/>
  <c r="U69" i="9"/>
  <c r="T69" i="9"/>
  <c r="S69" i="9"/>
  <c r="R69" i="9"/>
  <c r="N69" i="9"/>
  <c r="O69" i="9" s="1"/>
  <c r="AA68" i="9"/>
  <c r="Z68" i="9"/>
  <c r="Y68" i="9"/>
  <c r="X68" i="9"/>
  <c r="W68" i="9"/>
  <c r="V68" i="9"/>
  <c r="U68" i="9"/>
  <c r="T68" i="9"/>
  <c r="S68" i="9"/>
  <c r="R68" i="9"/>
  <c r="N68" i="9"/>
  <c r="O68" i="9" s="1"/>
  <c r="AA67" i="9"/>
  <c r="Z67" i="9"/>
  <c r="Y67" i="9"/>
  <c r="X67" i="9"/>
  <c r="W67" i="9"/>
  <c r="V67" i="9"/>
  <c r="U67" i="9"/>
  <c r="T67" i="9"/>
  <c r="S67" i="9"/>
  <c r="R67" i="9"/>
  <c r="N67" i="9"/>
  <c r="O67" i="9" s="1"/>
  <c r="AA66" i="9"/>
  <c r="Z66" i="9"/>
  <c r="Y66" i="9"/>
  <c r="X66" i="9"/>
  <c r="W66" i="9"/>
  <c r="V66" i="9"/>
  <c r="U66" i="9"/>
  <c r="T66" i="9"/>
  <c r="S66" i="9"/>
  <c r="R66" i="9"/>
  <c r="N66" i="9"/>
  <c r="O66" i="9" s="1"/>
  <c r="AA65" i="9"/>
  <c r="Z65" i="9"/>
  <c r="Y65" i="9"/>
  <c r="X65" i="9"/>
  <c r="W65" i="9"/>
  <c r="V65" i="9"/>
  <c r="U65" i="9"/>
  <c r="T65" i="9"/>
  <c r="S65" i="9"/>
  <c r="R65" i="9"/>
  <c r="N65" i="9"/>
  <c r="O65" i="9" s="1"/>
  <c r="AA64" i="9"/>
  <c r="Z64" i="9"/>
  <c r="Y64" i="9"/>
  <c r="X64" i="9"/>
  <c r="W64" i="9"/>
  <c r="V64" i="9"/>
  <c r="U64" i="9"/>
  <c r="T64" i="9"/>
  <c r="S64" i="9"/>
  <c r="R64" i="9"/>
  <c r="N64" i="9"/>
  <c r="O64" i="9" s="1"/>
  <c r="AA63" i="9"/>
  <c r="Z63" i="9"/>
  <c r="Y63" i="9"/>
  <c r="X63" i="9"/>
  <c r="W63" i="9"/>
  <c r="V63" i="9"/>
  <c r="U63" i="9"/>
  <c r="T63" i="9"/>
  <c r="S63" i="9"/>
  <c r="R63" i="9"/>
  <c r="N63" i="9"/>
  <c r="O63" i="9" s="1"/>
  <c r="AA62" i="9"/>
  <c r="Z62" i="9"/>
  <c r="Y62" i="9"/>
  <c r="X62" i="9"/>
  <c r="W62" i="9"/>
  <c r="V62" i="9"/>
  <c r="U62" i="9"/>
  <c r="T62" i="9"/>
  <c r="S62" i="9"/>
  <c r="R62" i="9"/>
  <c r="N62" i="9"/>
  <c r="O62" i="9" s="1"/>
  <c r="AA61" i="9"/>
  <c r="Z61" i="9"/>
  <c r="Y61" i="9"/>
  <c r="X61" i="9"/>
  <c r="W61" i="9"/>
  <c r="V61" i="9"/>
  <c r="U61" i="9"/>
  <c r="T61" i="9"/>
  <c r="S61" i="9"/>
  <c r="R61" i="9"/>
  <c r="N61" i="9"/>
  <c r="O61" i="9" s="1"/>
  <c r="AA60" i="9"/>
  <c r="Z60" i="9"/>
  <c r="Y60" i="9"/>
  <c r="X60" i="9"/>
  <c r="W60" i="9"/>
  <c r="V60" i="9"/>
  <c r="U60" i="9"/>
  <c r="T60" i="9"/>
  <c r="S60" i="9"/>
  <c r="R60" i="9"/>
  <c r="N60" i="9"/>
  <c r="O60" i="9" s="1"/>
  <c r="AA59" i="9"/>
  <c r="Z59" i="9"/>
  <c r="Y59" i="9"/>
  <c r="X59" i="9"/>
  <c r="W59" i="9"/>
  <c r="V59" i="9"/>
  <c r="U59" i="9"/>
  <c r="T59" i="9"/>
  <c r="S59" i="9"/>
  <c r="R59" i="9"/>
  <c r="N59" i="9"/>
  <c r="O59" i="9" s="1"/>
  <c r="AA58" i="9"/>
  <c r="Z58" i="9"/>
  <c r="Y58" i="9"/>
  <c r="X58" i="9"/>
  <c r="W58" i="9"/>
  <c r="V58" i="9"/>
  <c r="U58" i="9"/>
  <c r="T58" i="9"/>
  <c r="S58" i="9"/>
  <c r="R58" i="9"/>
  <c r="N58" i="9"/>
  <c r="O58" i="9" s="1"/>
  <c r="AA57" i="9"/>
  <c r="Z57" i="9"/>
  <c r="Y57" i="9"/>
  <c r="X57" i="9"/>
  <c r="W57" i="9"/>
  <c r="V57" i="9"/>
  <c r="U57" i="9"/>
  <c r="T57" i="9"/>
  <c r="S57" i="9"/>
  <c r="R57" i="9"/>
  <c r="N57" i="9"/>
  <c r="O57" i="9" s="1"/>
  <c r="AA56" i="9"/>
  <c r="Z56" i="9"/>
  <c r="Y56" i="9"/>
  <c r="X56" i="9"/>
  <c r="W56" i="9"/>
  <c r="V56" i="9"/>
  <c r="U56" i="9"/>
  <c r="T56" i="9"/>
  <c r="S56" i="9"/>
  <c r="R56" i="9"/>
  <c r="N56" i="9"/>
  <c r="O56" i="9" s="1"/>
  <c r="AA55" i="9"/>
  <c r="Z55" i="9"/>
  <c r="Y55" i="9"/>
  <c r="X55" i="9"/>
  <c r="W55" i="9"/>
  <c r="V55" i="9"/>
  <c r="U55" i="9"/>
  <c r="T55" i="9"/>
  <c r="S55" i="9"/>
  <c r="R55" i="9"/>
  <c r="N55" i="9"/>
  <c r="O55" i="9" s="1"/>
  <c r="AA54" i="9"/>
  <c r="Z54" i="9"/>
  <c r="Y54" i="9"/>
  <c r="X54" i="9"/>
  <c r="W54" i="9"/>
  <c r="V54" i="9"/>
  <c r="U54" i="9"/>
  <c r="T54" i="9"/>
  <c r="S54" i="9"/>
  <c r="R54" i="9"/>
  <c r="N54" i="9"/>
  <c r="O54" i="9" s="1"/>
  <c r="AA53" i="9"/>
  <c r="Z53" i="9"/>
  <c r="Y53" i="9"/>
  <c r="X53" i="9"/>
  <c r="W53" i="9"/>
  <c r="V53" i="9"/>
  <c r="U53" i="9"/>
  <c r="T53" i="9"/>
  <c r="S53" i="9"/>
  <c r="R53" i="9"/>
  <c r="N53" i="9"/>
  <c r="O53" i="9" s="1"/>
  <c r="AA52" i="9"/>
  <c r="Z52" i="9"/>
  <c r="Y52" i="9"/>
  <c r="X52" i="9"/>
  <c r="W52" i="9"/>
  <c r="V52" i="9"/>
  <c r="U52" i="9"/>
  <c r="T52" i="9"/>
  <c r="S52" i="9"/>
  <c r="R52" i="9"/>
  <c r="N52" i="9"/>
  <c r="O52" i="9" s="1"/>
  <c r="AA51" i="9"/>
  <c r="Z51" i="9"/>
  <c r="Y51" i="9"/>
  <c r="X51" i="9"/>
  <c r="W51" i="9"/>
  <c r="V51" i="9"/>
  <c r="U51" i="9"/>
  <c r="T51" i="9"/>
  <c r="S51" i="9"/>
  <c r="R51" i="9"/>
  <c r="N51" i="9"/>
  <c r="O51" i="9" s="1"/>
  <c r="AA50" i="9"/>
  <c r="Z50" i="9"/>
  <c r="Y50" i="9"/>
  <c r="X50" i="9"/>
  <c r="W50" i="9"/>
  <c r="V50" i="9"/>
  <c r="U50" i="9"/>
  <c r="T50" i="9"/>
  <c r="S50" i="9"/>
  <c r="R50" i="9"/>
  <c r="N50" i="9"/>
  <c r="O50" i="9" s="1"/>
  <c r="AA49" i="9"/>
  <c r="Z49" i="9"/>
  <c r="Y49" i="9"/>
  <c r="X49" i="9"/>
  <c r="W49" i="9"/>
  <c r="V49" i="9"/>
  <c r="U49" i="9"/>
  <c r="T49" i="9"/>
  <c r="S49" i="9"/>
  <c r="R49" i="9"/>
  <c r="N49" i="9"/>
  <c r="O49" i="9" s="1"/>
  <c r="AA48" i="9"/>
  <c r="Z48" i="9"/>
  <c r="Y48" i="9"/>
  <c r="X48" i="9"/>
  <c r="W48" i="9"/>
  <c r="V48" i="9"/>
  <c r="U48" i="9"/>
  <c r="T48" i="9"/>
  <c r="S48" i="9"/>
  <c r="R48" i="9"/>
  <c r="N48" i="9"/>
  <c r="O48" i="9" s="1"/>
  <c r="AA47" i="9"/>
  <c r="Z47" i="9"/>
  <c r="Y47" i="9"/>
  <c r="X47" i="9"/>
  <c r="W47" i="9"/>
  <c r="V47" i="9"/>
  <c r="U47" i="9"/>
  <c r="T47" i="9"/>
  <c r="S47" i="9"/>
  <c r="R47" i="9"/>
  <c r="N47" i="9"/>
  <c r="O47" i="9" s="1"/>
  <c r="AA46" i="9"/>
  <c r="Z46" i="9"/>
  <c r="Y46" i="9"/>
  <c r="X46" i="9"/>
  <c r="W46" i="9"/>
  <c r="V46" i="9"/>
  <c r="U46" i="9"/>
  <c r="T46" i="9"/>
  <c r="S46" i="9"/>
  <c r="R46" i="9"/>
  <c r="N46" i="9"/>
  <c r="O46" i="9" s="1"/>
  <c r="AA45" i="9"/>
  <c r="Z45" i="9"/>
  <c r="Y45" i="9"/>
  <c r="X45" i="9"/>
  <c r="W45" i="9"/>
  <c r="V45" i="9"/>
  <c r="U45" i="9"/>
  <c r="T45" i="9"/>
  <c r="S45" i="9"/>
  <c r="R45" i="9"/>
  <c r="N45" i="9"/>
  <c r="O45" i="9" s="1"/>
  <c r="AA44" i="9"/>
  <c r="Z44" i="9"/>
  <c r="Y44" i="9"/>
  <c r="X44" i="9"/>
  <c r="W44" i="9"/>
  <c r="V44" i="9"/>
  <c r="U44" i="9"/>
  <c r="T44" i="9"/>
  <c r="S44" i="9"/>
  <c r="R44" i="9"/>
  <c r="N44" i="9"/>
  <c r="O44" i="9" s="1"/>
  <c r="AA43" i="9"/>
  <c r="Z43" i="9"/>
  <c r="Y43" i="9"/>
  <c r="X43" i="9"/>
  <c r="W43" i="9"/>
  <c r="V43" i="9"/>
  <c r="U43" i="9"/>
  <c r="T43" i="9"/>
  <c r="S43" i="9"/>
  <c r="R43" i="9"/>
  <c r="N43" i="9"/>
  <c r="O43" i="9" s="1"/>
  <c r="AA42" i="9"/>
  <c r="Z42" i="9"/>
  <c r="Y42" i="9"/>
  <c r="X42" i="9"/>
  <c r="W42" i="9"/>
  <c r="V42" i="9"/>
  <c r="U42" i="9"/>
  <c r="T42" i="9"/>
  <c r="S42" i="9"/>
  <c r="R42" i="9"/>
  <c r="N42" i="9"/>
  <c r="O42" i="9" s="1"/>
  <c r="AA41" i="9"/>
  <c r="Z41" i="9"/>
  <c r="Y41" i="9"/>
  <c r="X41" i="9"/>
  <c r="W41" i="9"/>
  <c r="V41" i="9"/>
  <c r="U41" i="9"/>
  <c r="T41" i="9"/>
  <c r="S41" i="9"/>
  <c r="R41" i="9"/>
  <c r="N41" i="9"/>
  <c r="O41" i="9" s="1"/>
  <c r="AA40" i="9"/>
  <c r="Z40" i="9"/>
  <c r="Y40" i="9"/>
  <c r="X40" i="9"/>
  <c r="W40" i="9"/>
  <c r="V40" i="9"/>
  <c r="U40" i="9"/>
  <c r="T40" i="9"/>
  <c r="S40" i="9"/>
  <c r="R40" i="9"/>
  <c r="N40" i="9"/>
  <c r="O40" i="9" s="1"/>
  <c r="AA39" i="9"/>
  <c r="Z39" i="9"/>
  <c r="Y39" i="9"/>
  <c r="X39" i="9"/>
  <c r="W39" i="9"/>
  <c r="V39" i="9"/>
  <c r="U39" i="9"/>
  <c r="T39" i="9"/>
  <c r="S39" i="9"/>
  <c r="R39" i="9"/>
  <c r="N39" i="9"/>
  <c r="O39" i="9" s="1"/>
  <c r="AA38" i="9"/>
  <c r="Z38" i="9"/>
  <c r="Y38" i="9"/>
  <c r="X38" i="9"/>
  <c r="W38" i="9"/>
  <c r="V38" i="9"/>
  <c r="U38" i="9"/>
  <c r="T38" i="9"/>
  <c r="S38" i="9"/>
  <c r="R38" i="9"/>
  <c r="N38" i="9"/>
  <c r="O38" i="9" s="1"/>
  <c r="AA37" i="9"/>
  <c r="Z37" i="9"/>
  <c r="Y37" i="9"/>
  <c r="X37" i="9"/>
  <c r="W37" i="9"/>
  <c r="V37" i="9"/>
  <c r="U37" i="9"/>
  <c r="T37" i="9"/>
  <c r="S37" i="9"/>
  <c r="R37" i="9"/>
  <c r="N37" i="9"/>
  <c r="O37" i="9" s="1"/>
  <c r="AA36" i="9"/>
  <c r="Z36" i="9"/>
  <c r="Y36" i="9"/>
  <c r="X36" i="9"/>
  <c r="W36" i="9"/>
  <c r="V36" i="9"/>
  <c r="U36" i="9"/>
  <c r="T36" i="9"/>
  <c r="S36" i="9"/>
  <c r="R36" i="9"/>
  <c r="N36" i="9"/>
  <c r="O36" i="9" s="1"/>
  <c r="AA35" i="9"/>
  <c r="Z35" i="9"/>
  <c r="Y35" i="9"/>
  <c r="X35" i="9"/>
  <c r="W35" i="9"/>
  <c r="V35" i="9"/>
  <c r="U35" i="9"/>
  <c r="T35" i="9"/>
  <c r="S35" i="9"/>
  <c r="R35" i="9"/>
  <c r="N35" i="9"/>
  <c r="O35" i="9" s="1"/>
  <c r="AA34" i="9"/>
  <c r="Z34" i="9"/>
  <c r="Y34" i="9"/>
  <c r="X34" i="9"/>
  <c r="W34" i="9"/>
  <c r="V34" i="9"/>
  <c r="U34" i="9"/>
  <c r="T34" i="9"/>
  <c r="S34" i="9"/>
  <c r="R34" i="9"/>
  <c r="N34" i="9"/>
  <c r="O34" i="9" s="1"/>
  <c r="AA33" i="9"/>
  <c r="Z33" i="9"/>
  <c r="Y33" i="9"/>
  <c r="X33" i="9"/>
  <c r="W33" i="9"/>
  <c r="V33" i="9"/>
  <c r="U33" i="9"/>
  <c r="T33" i="9"/>
  <c r="S33" i="9"/>
  <c r="R33" i="9"/>
  <c r="N33" i="9"/>
  <c r="O33" i="9" s="1"/>
  <c r="AA32" i="9"/>
  <c r="Z32" i="9"/>
  <c r="Y32" i="9"/>
  <c r="X32" i="9"/>
  <c r="W32" i="9"/>
  <c r="V32" i="9"/>
  <c r="U32" i="9"/>
  <c r="T32" i="9"/>
  <c r="S32" i="9"/>
  <c r="R32" i="9"/>
  <c r="N32" i="9"/>
  <c r="O32" i="9" s="1"/>
  <c r="AA31" i="9"/>
  <c r="Z31" i="9"/>
  <c r="Y31" i="9"/>
  <c r="X31" i="9"/>
  <c r="W31" i="9"/>
  <c r="V31" i="9"/>
  <c r="U31" i="9"/>
  <c r="T31" i="9"/>
  <c r="S31" i="9"/>
  <c r="R31" i="9"/>
  <c r="N31" i="9"/>
  <c r="O31" i="9" s="1"/>
  <c r="AA30" i="9"/>
  <c r="Z30" i="9"/>
  <c r="Y30" i="9"/>
  <c r="X30" i="9"/>
  <c r="W30" i="9"/>
  <c r="V30" i="9"/>
  <c r="U30" i="9"/>
  <c r="T30" i="9"/>
  <c r="S30" i="9"/>
  <c r="R30" i="9"/>
  <c r="N30" i="9"/>
  <c r="O30" i="9" s="1"/>
  <c r="AA29" i="9"/>
  <c r="Z29" i="9"/>
  <c r="Y29" i="9"/>
  <c r="X29" i="9"/>
  <c r="W29" i="9"/>
  <c r="V29" i="9"/>
  <c r="U29" i="9"/>
  <c r="T29" i="9"/>
  <c r="S29" i="9"/>
  <c r="R29" i="9"/>
  <c r="N29" i="9"/>
  <c r="O29" i="9" s="1"/>
  <c r="AA28" i="9"/>
  <c r="Z28" i="9"/>
  <c r="Y28" i="9"/>
  <c r="X28" i="9"/>
  <c r="W28" i="9"/>
  <c r="V28" i="9"/>
  <c r="U28" i="9"/>
  <c r="T28" i="9"/>
  <c r="S28" i="9"/>
  <c r="R28" i="9"/>
  <c r="N28" i="9"/>
  <c r="O28" i="9" s="1"/>
  <c r="AA27" i="9"/>
  <c r="Z27" i="9"/>
  <c r="Y27" i="9"/>
  <c r="X27" i="9"/>
  <c r="W27" i="9"/>
  <c r="V27" i="9"/>
  <c r="U27" i="9"/>
  <c r="T27" i="9"/>
  <c r="S27" i="9"/>
  <c r="R27" i="9"/>
  <c r="N27" i="9"/>
  <c r="O27" i="9" s="1"/>
  <c r="AA26" i="9"/>
  <c r="Z26" i="9"/>
  <c r="Y26" i="9"/>
  <c r="X26" i="9"/>
  <c r="W26" i="9"/>
  <c r="V26" i="9"/>
  <c r="U26" i="9"/>
  <c r="T26" i="9"/>
  <c r="S26" i="9"/>
  <c r="R26" i="9"/>
  <c r="N26" i="9"/>
  <c r="O26" i="9" s="1"/>
  <c r="AA25" i="9"/>
  <c r="Z25" i="9"/>
  <c r="Y25" i="9"/>
  <c r="X25" i="9"/>
  <c r="W25" i="9"/>
  <c r="V25" i="9"/>
  <c r="U25" i="9"/>
  <c r="T25" i="9"/>
  <c r="S25" i="9"/>
  <c r="R25" i="9"/>
  <c r="N25" i="9"/>
  <c r="O25" i="9" s="1"/>
  <c r="AA24" i="9"/>
  <c r="Z24" i="9"/>
  <c r="Y24" i="9"/>
  <c r="X24" i="9"/>
  <c r="W24" i="9"/>
  <c r="V24" i="9"/>
  <c r="U24" i="9"/>
  <c r="T24" i="9"/>
  <c r="S24" i="9"/>
  <c r="R24" i="9"/>
  <c r="N24" i="9"/>
  <c r="O24" i="9" s="1"/>
  <c r="AA23" i="9"/>
  <c r="Z23" i="9"/>
  <c r="Y23" i="9"/>
  <c r="X23" i="9"/>
  <c r="W23" i="9"/>
  <c r="V23" i="9"/>
  <c r="U23" i="9"/>
  <c r="T23" i="9"/>
  <c r="S23" i="9"/>
  <c r="R23" i="9"/>
  <c r="N23" i="9"/>
  <c r="O23" i="9" s="1"/>
  <c r="AA22" i="9"/>
  <c r="Z22" i="9"/>
  <c r="Y22" i="9"/>
  <c r="X22" i="9"/>
  <c r="W22" i="9"/>
  <c r="V22" i="9"/>
  <c r="U22" i="9"/>
  <c r="T22" i="9"/>
  <c r="S22" i="9"/>
  <c r="R22" i="9"/>
  <c r="N22" i="9"/>
  <c r="O22" i="9" s="1"/>
  <c r="AA21" i="9"/>
  <c r="Z21" i="9"/>
  <c r="Y21" i="9"/>
  <c r="X21" i="9"/>
  <c r="W21" i="9"/>
  <c r="V21" i="9"/>
  <c r="U21" i="9"/>
  <c r="T21" i="9"/>
  <c r="S21" i="9"/>
  <c r="R21" i="9"/>
  <c r="N21" i="9"/>
  <c r="O21" i="9" s="1"/>
  <c r="AA20" i="9"/>
  <c r="Z20" i="9"/>
  <c r="Y20" i="9"/>
  <c r="X20" i="9"/>
  <c r="W20" i="9"/>
  <c r="V20" i="9"/>
  <c r="U20" i="9"/>
  <c r="T20" i="9"/>
  <c r="S20" i="9"/>
  <c r="R20" i="9"/>
  <c r="N20" i="9"/>
  <c r="O20" i="9" s="1"/>
  <c r="AA19" i="9"/>
  <c r="Z19" i="9"/>
  <c r="Y19" i="9"/>
  <c r="X19" i="9"/>
  <c r="W19" i="9"/>
  <c r="V19" i="9"/>
  <c r="U19" i="9"/>
  <c r="T19" i="9"/>
  <c r="S19" i="9"/>
  <c r="R19" i="9"/>
  <c r="N19" i="9"/>
  <c r="O19" i="9" s="1"/>
  <c r="AA18" i="9"/>
  <c r="Z18" i="9"/>
  <c r="Y18" i="9"/>
  <c r="X18" i="9"/>
  <c r="W18" i="9"/>
  <c r="V18" i="9"/>
  <c r="U18" i="9"/>
  <c r="T18" i="9"/>
  <c r="S18" i="9"/>
  <c r="R18" i="9"/>
  <c r="N18" i="9"/>
  <c r="O18" i="9" s="1"/>
  <c r="AA17" i="9"/>
  <c r="Z17" i="9"/>
  <c r="Y17" i="9"/>
  <c r="X17" i="9"/>
  <c r="W17" i="9"/>
  <c r="V17" i="9"/>
  <c r="U17" i="9"/>
  <c r="T17" i="9"/>
  <c r="S17" i="9"/>
  <c r="R17" i="9"/>
  <c r="N17" i="9"/>
  <c r="O17" i="9" s="1"/>
  <c r="AA16" i="9"/>
  <c r="Z16" i="9"/>
  <c r="Y16" i="9"/>
  <c r="X16" i="9"/>
  <c r="W16" i="9"/>
  <c r="V16" i="9"/>
  <c r="U16" i="9"/>
  <c r="T16" i="9"/>
  <c r="S16" i="9"/>
  <c r="R16" i="9"/>
  <c r="N16" i="9"/>
  <c r="O16" i="9" s="1"/>
  <c r="AA15" i="9"/>
  <c r="Z15" i="9"/>
  <c r="Y15" i="9"/>
  <c r="X15" i="9"/>
  <c r="W15" i="9"/>
  <c r="V15" i="9"/>
  <c r="U15" i="9"/>
  <c r="T15" i="9"/>
  <c r="S15" i="9"/>
  <c r="R15" i="9"/>
  <c r="N15" i="9"/>
  <c r="O15" i="9" s="1"/>
  <c r="AA14" i="9"/>
  <c r="Z14" i="9"/>
  <c r="Y14" i="9"/>
  <c r="X14" i="9"/>
  <c r="W14" i="9"/>
  <c r="V14" i="9"/>
  <c r="U14" i="9"/>
  <c r="T14" i="9"/>
  <c r="S14" i="9"/>
  <c r="R14" i="9"/>
  <c r="N14" i="9"/>
  <c r="O14" i="9" s="1"/>
  <c r="AA13" i="9"/>
  <c r="Z13" i="9"/>
  <c r="Y13" i="9"/>
  <c r="X13" i="9"/>
  <c r="W13" i="9"/>
  <c r="V13" i="9"/>
  <c r="U13" i="9"/>
  <c r="T13" i="9"/>
  <c r="S13" i="9"/>
  <c r="R13" i="9"/>
  <c r="N13" i="9"/>
  <c r="O13" i="9" s="1"/>
  <c r="AA12" i="9"/>
  <c r="Z12" i="9"/>
  <c r="Y12" i="9"/>
  <c r="X12" i="9"/>
  <c r="W12" i="9"/>
  <c r="V12" i="9"/>
  <c r="U12" i="9"/>
  <c r="T12" i="9"/>
  <c r="S12" i="9"/>
  <c r="R12" i="9"/>
  <c r="N12" i="9"/>
  <c r="O12" i="9" s="1"/>
  <c r="AA11" i="9"/>
  <c r="Z11" i="9"/>
  <c r="Y11" i="9"/>
  <c r="X11" i="9"/>
  <c r="W11" i="9"/>
  <c r="V11" i="9"/>
  <c r="U11" i="9"/>
  <c r="T11" i="9"/>
  <c r="S11" i="9"/>
  <c r="R11" i="9"/>
  <c r="N11" i="9"/>
  <c r="O11" i="9" s="1"/>
  <c r="AA10" i="9"/>
  <c r="Z10" i="9"/>
  <c r="Y10" i="9"/>
  <c r="X10" i="9"/>
  <c r="W10" i="9"/>
  <c r="V10" i="9"/>
  <c r="U10" i="9"/>
  <c r="T10" i="9"/>
  <c r="S10" i="9"/>
  <c r="R10" i="9"/>
  <c r="N10" i="9"/>
  <c r="O10" i="9" s="1"/>
  <c r="AA9" i="9"/>
  <c r="Z9" i="9"/>
  <c r="Y9" i="9"/>
  <c r="X9" i="9"/>
  <c r="W9" i="9"/>
  <c r="V9" i="9"/>
  <c r="U9" i="9"/>
  <c r="T9" i="9"/>
  <c r="S9" i="9"/>
  <c r="R9" i="9"/>
  <c r="N9" i="9"/>
  <c r="O9" i="9" s="1"/>
  <c r="AA8" i="9"/>
  <c r="Z8" i="9"/>
  <c r="Y8" i="9"/>
  <c r="X8" i="9"/>
  <c r="W8" i="9"/>
  <c r="V8" i="9"/>
  <c r="U8" i="9"/>
  <c r="T8" i="9"/>
  <c r="S8" i="9"/>
  <c r="R8" i="9"/>
  <c r="N8" i="9"/>
  <c r="O8" i="9" s="1"/>
  <c r="AA7" i="9"/>
  <c r="Z7" i="9"/>
  <c r="Y7" i="9"/>
  <c r="X7" i="9"/>
  <c r="W7" i="9"/>
  <c r="V7" i="9"/>
  <c r="U7" i="9"/>
  <c r="T7" i="9"/>
  <c r="S7" i="9"/>
  <c r="R7" i="9"/>
  <c r="N7" i="9"/>
  <c r="O7" i="9" s="1"/>
  <c r="AA6" i="9"/>
  <c r="Z6" i="9"/>
  <c r="Y6" i="9"/>
  <c r="X6" i="9"/>
  <c r="W6" i="9"/>
  <c r="V6" i="9"/>
  <c r="U6" i="9"/>
  <c r="T6" i="9"/>
  <c r="S6" i="9"/>
  <c r="R6" i="9"/>
  <c r="N6" i="9"/>
  <c r="O6" i="9" s="1"/>
  <c r="N6" i="8"/>
  <c r="O6" i="8" s="1"/>
  <c r="N7" i="8"/>
  <c r="O7" i="8" s="1"/>
  <c r="N8" i="8"/>
  <c r="O8" i="8" s="1"/>
  <c r="N9" i="8"/>
  <c r="O9" i="8" s="1"/>
  <c r="N10" i="8"/>
  <c r="O10" i="8" s="1"/>
  <c r="N11" i="8"/>
  <c r="O11" i="8" s="1"/>
  <c r="N12" i="8"/>
  <c r="O12" i="8" s="1"/>
  <c r="N13" i="8"/>
  <c r="O13" i="8" s="1"/>
  <c r="N14" i="8"/>
  <c r="O14" i="8" s="1"/>
  <c r="N15" i="8"/>
  <c r="O15" i="8" s="1"/>
  <c r="N16" i="8"/>
  <c r="O16" i="8" s="1"/>
  <c r="N17" i="8"/>
  <c r="O17" i="8" s="1"/>
  <c r="N18" i="8"/>
  <c r="O18" i="8" s="1"/>
  <c r="N19" i="8"/>
  <c r="O19" i="8" s="1"/>
  <c r="N20" i="8"/>
  <c r="O20" i="8" s="1"/>
  <c r="N21" i="8"/>
  <c r="O21" i="8" s="1"/>
  <c r="N22" i="8"/>
  <c r="O22" i="8" s="1"/>
  <c r="N23" i="8"/>
  <c r="O23" i="8" s="1"/>
  <c r="N24" i="8"/>
  <c r="O24" i="8" s="1"/>
  <c r="N25" i="8"/>
  <c r="O25" i="8" s="1"/>
  <c r="N26" i="8"/>
  <c r="O26" i="8" s="1"/>
  <c r="N27" i="8"/>
  <c r="O27" i="8" s="1"/>
  <c r="N28" i="8"/>
  <c r="O28" i="8" s="1"/>
  <c r="N29" i="8"/>
  <c r="O29" i="8" s="1"/>
  <c r="N30" i="8"/>
  <c r="O30" i="8" s="1"/>
  <c r="N31" i="8"/>
  <c r="O31" i="8" s="1"/>
  <c r="N32" i="8"/>
  <c r="O32" i="8" s="1"/>
  <c r="N33" i="8"/>
  <c r="O33" i="8" s="1"/>
  <c r="N34" i="8"/>
  <c r="O34" i="8" s="1"/>
  <c r="N35" i="8"/>
  <c r="O35" i="8" s="1"/>
  <c r="N36" i="8"/>
  <c r="O36" i="8" s="1"/>
  <c r="N37" i="8"/>
  <c r="O37" i="8" s="1"/>
  <c r="N38" i="8"/>
  <c r="O38" i="8" s="1"/>
  <c r="N39" i="8"/>
  <c r="O39" i="8" s="1"/>
  <c r="N40" i="8"/>
  <c r="O40" i="8" s="1"/>
  <c r="N41" i="8"/>
  <c r="O41" i="8" s="1"/>
  <c r="N42" i="8"/>
  <c r="O42" i="8" s="1"/>
  <c r="N43" i="8"/>
  <c r="O43" i="8" s="1"/>
  <c r="N44" i="8"/>
  <c r="O44" i="8" s="1"/>
  <c r="N45" i="8"/>
  <c r="O45" i="8" s="1"/>
  <c r="N46" i="8"/>
  <c r="O46" i="8" s="1"/>
  <c r="N47" i="8"/>
  <c r="O47" i="8" s="1"/>
  <c r="N48" i="8"/>
  <c r="O48" i="8" s="1"/>
  <c r="N49" i="8"/>
  <c r="O49" i="8" s="1"/>
  <c r="N50" i="8"/>
  <c r="O50" i="8" s="1"/>
  <c r="N51" i="8"/>
  <c r="O51" i="8" s="1"/>
  <c r="N52" i="8"/>
  <c r="O52" i="8" s="1"/>
  <c r="N53" i="8"/>
  <c r="O53" i="8" s="1"/>
  <c r="N54" i="8"/>
  <c r="O54" i="8" s="1"/>
  <c r="N55" i="8"/>
  <c r="O55" i="8" s="1"/>
  <c r="N56" i="8"/>
  <c r="O56" i="8" s="1"/>
  <c r="N57" i="8"/>
  <c r="O57" i="8" s="1"/>
  <c r="N58" i="8"/>
  <c r="O58" i="8" s="1"/>
  <c r="N59" i="8"/>
  <c r="O59" i="8" s="1"/>
  <c r="N60" i="8"/>
  <c r="O60" i="8" s="1"/>
  <c r="N61" i="8"/>
  <c r="O61" i="8" s="1"/>
  <c r="N62" i="8"/>
  <c r="O62" i="8" s="1"/>
  <c r="N63" i="8"/>
  <c r="O63" i="8" s="1"/>
  <c r="N64" i="8"/>
  <c r="O64" i="8" s="1"/>
  <c r="N65" i="8"/>
  <c r="O65" i="8" s="1"/>
  <c r="N66" i="8"/>
  <c r="O66" i="8" s="1"/>
  <c r="N67" i="8"/>
  <c r="O67" i="8" s="1"/>
  <c r="N68" i="8"/>
  <c r="O68" i="8" s="1"/>
  <c r="N69" i="8"/>
  <c r="O69" i="8" s="1"/>
  <c r="N70" i="8"/>
  <c r="O70" i="8" s="1"/>
  <c r="N71" i="8"/>
  <c r="O71" i="8" s="1"/>
  <c r="N72" i="8"/>
  <c r="O72" i="8" s="1"/>
  <c r="N73" i="8"/>
  <c r="O73" i="8" s="1"/>
  <c r="N74" i="8"/>
  <c r="O74" i="8" s="1"/>
  <c r="N75" i="8"/>
  <c r="O75" i="8" s="1"/>
  <c r="N76" i="8"/>
  <c r="O76" i="8" s="1"/>
  <c r="N77" i="8"/>
  <c r="O77" i="8" s="1"/>
  <c r="N78" i="8"/>
  <c r="O78" i="8" s="1"/>
  <c r="N79" i="8"/>
  <c r="O79" i="8" s="1"/>
  <c r="N80" i="8"/>
  <c r="O80" i="8" s="1"/>
  <c r="N81" i="8"/>
  <c r="O81" i="8" s="1"/>
  <c r="N82" i="8"/>
  <c r="O82" i="8" s="1"/>
  <c r="N83" i="8"/>
  <c r="O83" i="8" s="1"/>
  <c r="N84" i="8"/>
  <c r="O84" i="8" s="1"/>
  <c r="N85" i="8"/>
  <c r="O85" i="8" s="1"/>
  <c r="N86" i="8"/>
  <c r="O86" i="8" s="1"/>
  <c r="N87" i="8"/>
  <c r="O87" i="8" s="1"/>
  <c r="N88" i="8"/>
  <c r="O88" i="8" s="1"/>
  <c r="N89" i="8"/>
  <c r="O89" i="8" s="1"/>
  <c r="N90" i="8"/>
  <c r="O90" i="8" s="1"/>
  <c r="N91" i="8"/>
  <c r="O91" i="8" s="1"/>
  <c r="N92" i="8"/>
  <c r="O92" i="8" s="1"/>
  <c r="N93" i="8"/>
  <c r="O93" i="8" s="1"/>
  <c r="N94" i="8"/>
  <c r="O94" i="8" s="1"/>
  <c r="N95" i="8"/>
  <c r="O95" i="8" s="1"/>
  <c r="N96" i="8"/>
  <c r="O96" i="8" s="1"/>
  <c r="N97" i="8"/>
  <c r="O97" i="8" s="1"/>
  <c r="N98" i="8"/>
  <c r="O98" i="8" s="1"/>
  <c r="N99" i="8"/>
  <c r="O99" i="8" s="1"/>
  <c r="N100" i="8"/>
  <c r="O100" i="8" s="1"/>
  <c r="N101" i="8"/>
  <c r="O101" i="8" s="1"/>
  <c r="N102" i="8"/>
  <c r="O102" i="8" s="1"/>
  <c r="N103" i="8"/>
  <c r="O103" i="8" s="1"/>
  <c r="N104" i="8"/>
  <c r="O104" i="8" s="1"/>
  <c r="N5" i="8"/>
  <c r="O5" i="8" s="1"/>
  <c r="AA105" i="8"/>
  <c r="Z105" i="8"/>
  <c r="Y105" i="8"/>
  <c r="X105" i="8"/>
  <c r="W105" i="8"/>
  <c r="V105" i="8"/>
  <c r="U105" i="8"/>
  <c r="T105" i="8"/>
  <c r="S105" i="8"/>
  <c r="R105" i="8"/>
  <c r="K105" i="8"/>
  <c r="J105" i="8"/>
  <c r="I105" i="8"/>
  <c r="H105" i="8"/>
  <c r="G105" i="8"/>
  <c r="F105" i="8"/>
  <c r="E105" i="8"/>
  <c r="D105" i="8"/>
  <c r="C105" i="8"/>
  <c r="B105" i="8"/>
  <c r="AA104" i="8"/>
  <c r="Z104" i="8"/>
  <c r="Y104" i="8"/>
  <c r="X104" i="8"/>
  <c r="W104" i="8"/>
  <c r="V104" i="8"/>
  <c r="U104" i="8"/>
  <c r="T104" i="8"/>
  <c r="S104" i="8"/>
  <c r="R104" i="8"/>
  <c r="AA103" i="8"/>
  <c r="Z103" i="8"/>
  <c r="Y103" i="8"/>
  <c r="X103" i="8"/>
  <c r="W103" i="8"/>
  <c r="V103" i="8"/>
  <c r="U103" i="8"/>
  <c r="T103" i="8"/>
  <c r="S103" i="8"/>
  <c r="R103" i="8"/>
  <c r="AA102" i="8"/>
  <c r="Z102" i="8"/>
  <c r="Y102" i="8"/>
  <c r="X102" i="8"/>
  <c r="W102" i="8"/>
  <c r="V102" i="8"/>
  <c r="U102" i="8"/>
  <c r="T102" i="8"/>
  <c r="S102" i="8"/>
  <c r="R102" i="8"/>
  <c r="AA101" i="8"/>
  <c r="Z101" i="8"/>
  <c r="Y101" i="8"/>
  <c r="X101" i="8"/>
  <c r="W101" i="8"/>
  <c r="V101" i="8"/>
  <c r="U101" i="8"/>
  <c r="T101" i="8"/>
  <c r="S101" i="8"/>
  <c r="R101" i="8"/>
  <c r="AA100" i="8"/>
  <c r="Z100" i="8"/>
  <c r="Y100" i="8"/>
  <c r="X100" i="8"/>
  <c r="W100" i="8"/>
  <c r="V100" i="8"/>
  <c r="U100" i="8"/>
  <c r="T100" i="8"/>
  <c r="S100" i="8"/>
  <c r="R100" i="8"/>
  <c r="AA99" i="8"/>
  <c r="Z99" i="8"/>
  <c r="Y99" i="8"/>
  <c r="X99" i="8"/>
  <c r="W99" i="8"/>
  <c r="V99" i="8"/>
  <c r="U99" i="8"/>
  <c r="T99" i="8"/>
  <c r="S99" i="8"/>
  <c r="R99" i="8"/>
  <c r="AA98" i="8"/>
  <c r="Z98" i="8"/>
  <c r="Y98" i="8"/>
  <c r="X98" i="8"/>
  <c r="W98" i="8"/>
  <c r="V98" i="8"/>
  <c r="U98" i="8"/>
  <c r="T98" i="8"/>
  <c r="S98" i="8"/>
  <c r="R98" i="8"/>
  <c r="AA97" i="8"/>
  <c r="Z97" i="8"/>
  <c r="Y97" i="8"/>
  <c r="X97" i="8"/>
  <c r="W97" i="8"/>
  <c r="V97" i="8"/>
  <c r="U97" i="8"/>
  <c r="T97" i="8"/>
  <c r="S97" i="8"/>
  <c r="R97" i="8"/>
  <c r="AA96" i="8"/>
  <c r="Z96" i="8"/>
  <c r="Y96" i="8"/>
  <c r="X96" i="8"/>
  <c r="W96" i="8"/>
  <c r="V96" i="8"/>
  <c r="U96" i="8"/>
  <c r="T96" i="8"/>
  <c r="S96" i="8"/>
  <c r="R96" i="8"/>
  <c r="AA95" i="8"/>
  <c r="Z95" i="8"/>
  <c r="Y95" i="8"/>
  <c r="X95" i="8"/>
  <c r="W95" i="8"/>
  <c r="V95" i="8"/>
  <c r="U95" i="8"/>
  <c r="T95" i="8"/>
  <c r="S95" i="8"/>
  <c r="R95" i="8"/>
  <c r="AA94" i="8"/>
  <c r="Z94" i="8"/>
  <c r="Y94" i="8"/>
  <c r="X94" i="8"/>
  <c r="W94" i="8"/>
  <c r="V94" i="8"/>
  <c r="U94" i="8"/>
  <c r="T94" i="8"/>
  <c r="S94" i="8"/>
  <c r="R94" i="8"/>
  <c r="AA93" i="8"/>
  <c r="Z93" i="8"/>
  <c r="Y93" i="8"/>
  <c r="X93" i="8"/>
  <c r="W93" i="8"/>
  <c r="V93" i="8"/>
  <c r="U93" i="8"/>
  <c r="T93" i="8"/>
  <c r="S93" i="8"/>
  <c r="R93" i="8"/>
  <c r="AA92" i="8"/>
  <c r="Z92" i="8"/>
  <c r="Y92" i="8"/>
  <c r="X92" i="8"/>
  <c r="W92" i="8"/>
  <c r="V92" i="8"/>
  <c r="U92" i="8"/>
  <c r="T92" i="8"/>
  <c r="S92" i="8"/>
  <c r="R92" i="8"/>
  <c r="AA91" i="8"/>
  <c r="Z91" i="8"/>
  <c r="Y91" i="8"/>
  <c r="X91" i="8"/>
  <c r="W91" i="8"/>
  <c r="V91" i="8"/>
  <c r="U91" i="8"/>
  <c r="T91" i="8"/>
  <c r="S91" i="8"/>
  <c r="R91" i="8"/>
  <c r="AA90" i="8"/>
  <c r="Z90" i="8"/>
  <c r="Y90" i="8"/>
  <c r="X90" i="8"/>
  <c r="W90" i="8"/>
  <c r="V90" i="8"/>
  <c r="U90" i="8"/>
  <c r="T90" i="8"/>
  <c r="S90" i="8"/>
  <c r="R90" i="8"/>
  <c r="AA89" i="8"/>
  <c r="Z89" i="8"/>
  <c r="Y89" i="8"/>
  <c r="X89" i="8"/>
  <c r="W89" i="8"/>
  <c r="V89" i="8"/>
  <c r="U89" i="8"/>
  <c r="T89" i="8"/>
  <c r="S89" i="8"/>
  <c r="R89" i="8"/>
  <c r="AA88" i="8"/>
  <c r="Z88" i="8"/>
  <c r="Y88" i="8"/>
  <c r="X88" i="8"/>
  <c r="W88" i="8"/>
  <c r="V88" i="8"/>
  <c r="U88" i="8"/>
  <c r="T88" i="8"/>
  <c r="S88" i="8"/>
  <c r="R88" i="8"/>
  <c r="AA87" i="8"/>
  <c r="Z87" i="8"/>
  <c r="Y87" i="8"/>
  <c r="X87" i="8"/>
  <c r="W87" i="8"/>
  <c r="V87" i="8"/>
  <c r="U87" i="8"/>
  <c r="T87" i="8"/>
  <c r="S87" i="8"/>
  <c r="R87" i="8"/>
  <c r="AA86" i="8"/>
  <c r="Z86" i="8"/>
  <c r="Y86" i="8"/>
  <c r="X86" i="8"/>
  <c r="W86" i="8"/>
  <c r="V86" i="8"/>
  <c r="U86" i="8"/>
  <c r="T86" i="8"/>
  <c r="S86" i="8"/>
  <c r="R86" i="8"/>
  <c r="AA85" i="8"/>
  <c r="Z85" i="8"/>
  <c r="Y85" i="8"/>
  <c r="X85" i="8"/>
  <c r="W85" i="8"/>
  <c r="V85" i="8"/>
  <c r="U85" i="8"/>
  <c r="T85" i="8"/>
  <c r="S85" i="8"/>
  <c r="R85" i="8"/>
  <c r="AA84" i="8"/>
  <c r="Z84" i="8"/>
  <c r="Y84" i="8"/>
  <c r="X84" i="8"/>
  <c r="W84" i="8"/>
  <c r="V84" i="8"/>
  <c r="U84" i="8"/>
  <c r="T84" i="8"/>
  <c r="S84" i="8"/>
  <c r="R84" i="8"/>
  <c r="AA83" i="8"/>
  <c r="Z83" i="8"/>
  <c r="Y83" i="8"/>
  <c r="X83" i="8"/>
  <c r="W83" i="8"/>
  <c r="V83" i="8"/>
  <c r="U83" i="8"/>
  <c r="T83" i="8"/>
  <c r="S83" i="8"/>
  <c r="R83" i="8"/>
  <c r="AA82" i="8"/>
  <c r="Z82" i="8"/>
  <c r="Y82" i="8"/>
  <c r="X82" i="8"/>
  <c r="W82" i="8"/>
  <c r="V82" i="8"/>
  <c r="U82" i="8"/>
  <c r="T82" i="8"/>
  <c r="S82" i="8"/>
  <c r="R82" i="8"/>
  <c r="AA81" i="8"/>
  <c r="Z81" i="8"/>
  <c r="Y81" i="8"/>
  <c r="X81" i="8"/>
  <c r="W81" i="8"/>
  <c r="V81" i="8"/>
  <c r="U81" i="8"/>
  <c r="T81" i="8"/>
  <c r="S81" i="8"/>
  <c r="R81" i="8"/>
  <c r="AA80" i="8"/>
  <c r="Z80" i="8"/>
  <c r="Y80" i="8"/>
  <c r="X80" i="8"/>
  <c r="W80" i="8"/>
  <c r="V80" i="8"/>
  <c r="U80" i="8"/>
  <c r="T80" i="8"/>
  <c r="S80" i="8"/>
  <c r="R80" i="8"/>
  <c r="AA79" i="8"/>
  <c r="Z79" i="8"/>
  <c r="Y79" i="8"/>
  <c r="X79" i="8"/>
  <c r="W79" i="8"/>
  <c r="V79" i="8"/>
  <c r="U79" i="8"/>
  <c r="T79" i="8"/>
  <c r="S79" i="8"/>
  <c r="R79" i="8"/>
  <c r="AA78" i="8"/>
  <c r="Z78" i="8"/>
  <c r="Y78" i="8"/>
  <c r="X78" i="8"/>
  <c r="W78" i="8"/>
  <c r="V78" i="8"/>
  <c r="U78" i="8"/>
  <c r="T78" i="8"/>
  <c r="S78" i="8"/>
  <c r="R78" i="8"/>
  <c r="AA77" i="8"/>
  <c r="Z77" i="8"/>
  <c r="Y77" i="8"/>
  <c r="X77" i="8"/>
  <c r="W77" i="8"/>
  <c r="V77" i="8"/>
  <c r="U77" i="8"/>
  <c r="T77" i="8"/>
  <c r="S77" i="8"/>
  <c r="R77" i="8"/>
  <c r="AA76" i="8"/>
  <c r="Z76" i="8"/>
  <c r="Y76" i="8"/>
  <c r="X76" i="8"/>
  <c r="W76" i="8"/>
  <c r="V76" i="8"/>
  <c r="U76" i="8"/>
  <c r="T76" i="8"/>
  <c r="S76" i="8"/>
  <c r="R76" i="8"/>
  <c r="AA75" i="8"/>
  <c r="Z75" i="8"/>
  <c r="Y75" i="8"/>
  <c r="X75" i="8"/>
  <c r="W75" i="8"/>
  <c r="V75" i="8"/>
  <c r="U75" i="8"/>
  <c r="T75" i="8"/>
  <c r="S75" i="8"/>
  <c r="R75" i="8"/>
  <c r="AA74" i="8"/>
  <c r="Z74" i="8"/>
  <c r="Y74" i="8"/>
  <c r="X74" i="8"/>
  <c r="W74" i="8"/>
  <c r="V74" i="8"/>
  <c r="U74" i="8"/>
  <c r="T74" i="8"/>
  <c r="S74" i="8"/>
  <c r="R74" i="8"/>
  <c r="AA73" i="8"/>
  <c r="Z73" i="8"/>
  <c r="Y73" i="8"/>
  <c r="X73" i="8"/>
  <c r="W73" i="8"/>
  <c r="V73" i="8"/>
  <c r="U73" i="8"/>
  <c r="T73" i="8"/>
  <c r="S73" i="8"/>
  <c r="R73" i="8"/>
  <c r="AA72" i="8"/>
  <c r="Z72" i="8"/>
  <c r="Y72" i="8"/>
  <c r="X72" i="8"/>
  <c r="W72" i="8"/>
  <c r="V72" i="8"/>
  <c r="U72" i="8"/>
  <c r="T72" i="8"/>
  <c r="S72" i="8"/>
  <c r="R72" i="8"/>
  <c r="AA71" i="8"/>
  <c r="Z71" i="8"/>
  <c r="Y71" i="8"/>
  <c r="X71" i="8"/>
  <c r="W71" i="8"/>
  <c r="V71" i="8"/>
  <c r="U71" i="8"/>
  <c r="T71" i="8"/>
  <c r="S71" i="8"/>
  <c r="R71" i="8"/>
  <c r="AA70" i="8"/>
  <c r="Z70" i="8"/>
  <c r="Y70" i="8"/>
  <c r="X70" i="8"/>
  <c r="W70" i="8"/>
  <c r="V70" i="8"/>
  <c r="U70" i="8"/>
  <c r="T70" i="8"/>
  <c r="S70" i="8"/>
  <c r="R70" i="8"/>
  <c r="AA69" i="8"/>
  <c r="Z69" i="8"/>
  <c r="Y69" i="8"/>
  <c r="X69" i="8"/>
  <c r="W69" i="8"/>
  <c r="V69" i="8"/>
  <c r="U69" i="8"/>
  <c r="T69" i="8"/>
  <c r="S69" i="8"/>
  <c r="R69" i="8"/>
  <c r="AA68" i="8"/>
  <c r="Z68" i="8"/>
  <c r="Y68" i="8"/>
  <c r="X68" i="8"/>
  <c r="W68" i="8"/>
  <c r="V68" i="8"/>
  <c r="U68" i="8"/>
  <c r="T68" i="8"/>
  <c r="S68" i="8"/>
  <c r="R68" i="8"/>
  <c r="AA67" i="8"/>
  <c r="Z67" i="8"/>
  <c r="Y67" i="8"/>
  <c r="X67" i="8"/>
  <c r="W67" i="8"/>
  <c r="V67" i="8"/>
  <c r="U67" i="8"/>
  <c r="T67" i="8"/>
  <c r="S67" i="8"/>
  <c r="R67" i="8"/>
  <c r="AA66" i="8"/>
  <c r="Z66" i="8"/>
  <c r="Y66" i="8"/>
  <c r="X66" i="8"/>
  <c r="W66" i="8"/>
  <c r="V66" i="8"/>
  <c r="U66" i="8"/>
  <c r="T66" i="8"/>
  <c r="S66" i="8"/>
  <c r="R66" i="8"/>
  <c r="AA65" i="8"/>
  <c r="Z65" i="8"/>
  <c r="Y65" i="8"/>
  <c r="X65" i="8"/>
  <c r="W65" i="8"/>
  <c r="V65" i="8"/>
  <c r="U65" i="8"/>
  <c r="T65" i="8"/>
  <c r="S65" i="8"/>
  <c r="R65" i="8"/>
  <c r="AA64" i="8"/>
  <c r="Z64" i="8"/>
  <c r="Y64" i="8"/>
  <c r="X64" i="8"/>
  <c r="W64" i="8"/>
  <c r="V64" i="8"/>
  <c r="U64" i="8"/>
  <c r="T64" i="8"/>
  <c r="S64" i="8"/>
  <c r="R64" i="8"/>
  <c r="AA63" i="8"/>
  <c r="Z63" i="8"/>
  <c r="Y63" i="8"/>
  <c r="X63" i="8"/>
  <c r="W63" i="8"/>
  <c r="V63" i="8"/>
  <c r="U63" i="8"/>
  <c r="T63" i="8"/>
  <c r="S63" i="8"/>
  <c r="R63" i="8"/>
  <c r="AA62" i="8"/>
  <c r="Z62" i="8"/>
  <c r="Y62" i="8"/>
  <c r="X62" i="8"/>
  <c r="W62" i="8"/>
  <c r="V62" i="8"/>
  <c r="U62" i="8"/>
  <c r="T62" i="8"/>
  <c r="S62" i="8"/>
  <c r="R62" i="8"/>
  <c r="AA61" i="8"/>
  <c r="Z61" i="8"/>
  <c r="Y61" i="8"/>
  <c r="X61" i="8"/>
  <c r="W61" i="8"/>
  <c r="V61" i="8"/>
  <c r="U61" i="8"/>
  <c r="T61" i="8"/>
  <c r="S61" i="8"/>
  <c r="R61" i="8"/>
  <c r="AA60" i="8"/>
  <c r="Z60" i="8"/>
  <c r="Y60" i="8"/>
  <c r="X60" i="8"/>
  <c r="W60" i="8"/>
  <c r="V60" i="8"/>
  <c r="U60" i="8"/>
  <c r="T60" i="8"/>
  <c r="S60" i="8"/>
  <c r="R60" i="8"/>
  <c r="AA59" i="8"/>
  <c r="Z59" i="8"/>
  <c r="Y59" i="8"/>
  <c r="X59" i="8"/>
  <c r="W59" i="8"/>
  <c r="V59" i="8"/>
  <c r="U59" i="8"/>
  <c r="T59" i="8"/>
  <c r="S59" i="8"/>
  <c r="R59" i="8"/>
  <c r="AA58" i="8"/>
  <c r="Z58" i="8"/>
  <c r="Y58" i="8"/>
  <c r="X58" i="8"/>
  <c r="W58" i="8"/>
  <c r="V58" i="8"/>
  <c r="U58" i="8"/>
  <c r="T58" i="8"/>
  <c r="S58" i="8"/>
  <c r="R58" i="8"/>
  <c r="AA57" i="8"/>
  <c r="Z57" i="8"/>
  <c r="Y57" i="8"/>
  <c r="X57" i="8"/>
  <c r="W57" i="8"/>
  <c r="V57" i="8"/>
  <c r="U57" i="8"/>
  <c r="T57" i="8"/>
  <c r="S57" i="8"/>
  <c r="R57" i="8"/>
  <c r="AA56" i="8"/>
  <c r="Z56" i="8"/>
  <c r="Y56" i="8"/>
  <c r="X56" i="8"/>
  <c r="W56" i="8"/>
  <c r="V56" i="8"/>
  <c r="U56" i="8"/>
  <c r="T56" i="8"/>
  <c r="S56" i="8"/>
  <c r="R56" i="8"/>
  <c r="AA55" i="8"/>
  <c r="Z55" i="8"/>
  <c r="Y55" i="8"/>
  <c r="X55" i="8"/>
  <c r="W55" i="8"/>
  <c r="V55" i="8"/>
  <c r="U55" i="8"/>
  <c r="T55" i="8"/>
  <c r="S55" i="8"/>
  <c r="R55" i="8"/>
  <c r="AA54" i="8"/>
  <c r="Z54" i="8"/>
  <c r="Y54" i="8"/>
  <c r="X54" i="8"/>
  <c r="W54" i="8"/>
  <c r="V54" i="8"/>
  <c r="U54" i="8"/>
  <c r="T54" i="8"/>
  <c r="S54" i="8"/>
  <c r="R54" i="8"/>
  <c r="AA53" i="8"/>
  <c r="Z53" i="8"/>
  <c r="Y53" i="8"/>
  <c r="X53" i="8"/>
  <c r="W53" i="8"/>
  <c r="V53" i="8"/>
  <c r="U53" i="8"/>
  <c r="T53" i="8"/>
  <c r="S53" i="8"/>
  <c r="R53" i="8"/>
  <c r="AA52" i="8"/>
  <c r="Z52" i="8"/>
  <c r="Y52" i="8"/>
  <c r="X52" i="8"/>
  <c r="W52" i="8"/>
  <c r="V52" i="8"/>
  <c r="U52" i="8"/>
  <c r="T52" i="8"/>
  <c r="S52" i="8"/>
  <c r="R52" i="8"/>
  <c r="AA51" i="8"/>
  <c r="Z51" i="8"/>
  <c r="Y51" i="8"/>
  <c r="X51" i="8"/>
  <c r="W51" i="8"/>
  <c r="V51" i="8"/>
  <c r="U51" i="8"/>
  <c r="T51" i="8"/>
  <c r="S51" i="8"/>
  <c r="R51" i="8"/>
  <c r="AA50" i="8"/>
  <c r="Z50" i="8"/>
  <c r="Y50" i="8"/>
  <c r="X50" i="8"/>
  <c r="W50" i="8"/>
  <c r="V50" i="8"/>
  <c r="U50" i="8"/>
  <c r="T50" i="8"/>
  <c r="S50" i="8"/>
  <c r="R50" i="8"/>
  <c r="AA49" i="8"/>
  <c r="Z49" i="8"/>
  <c r="Y49" i="8"/>
  <c r="X49" i="8"/>
  <c r="W49" i="8"/>
  <c r="V49" i="8"/>
  <c r="U49" i="8"/>
  <c r="T49" i="8"/>
  <c r="S49" i="8"/>
  <c r="R49" i="8"/>
  <c r="AA48" i="8"/>
  <c r="Z48" i="8"/>
  <c r="Y48" i="8"/>
  <c r="X48" i="8"/>
  <c r="W48" i="8"/>
  <c r="V48" i="8"/>
  <c r="U48" i="8"/>
  <c r="T48" i="8"/>
  <c r="S48" i="8"/>
  <c r="R48" i="8"/>
  <c r="AA47" i="8"/>
  <c r="Z47" i="8"/>
  <c r="Y47" i="8"/>
  <c r="X47" i="8"/>
  <c r="W47" i="8"/>
  <c r="V47" i="8"/>
  <c r="U47" i="8"/>
  <c r="T47" i="8"/>
  <c r="S47" i="8"/>
  <c r="R47" i="8"/>
  <c r="AA46" i="8"/>
  <c r="Z46" i="8"/>
  <c r="Y46" i="8"/>
  <c r="X46" i="8"/>
  <c r="W46" i="8"/>
  <c r="V46" i="8"/>
  <c r="U46" i="8"/>
  <c r="T46" i="8"/>
  <c r="S46" i="8"/>
  <c r="R46" i="8"/>
  <c r="AA45" i="8"/>
  <c r="Z45" i="8"/>
  <c r="Y45" i="8"/>
  <c r="X45" i="8"/>
  <c r="W45" i="8"/>
  <c r="V45" i="8"/>
  <c r="U45" i="8"/>
  <c r="T45" i="8"/>
  <c r="S45" i="8"/>
  <c r="R45" i="8"/>
  <c r="AA44" i="8"/>
  <c r="Z44" i="8"/>
  <c r="Y44" i="8"/>
  <c r="X44" i="8"/>
  <c r="W44" i="8"/>
  <c r="V44" i="8"/>
  <c r="U44" i="8"/>
  <c r="T44" i="8"/>
  <c r="S44" i="8"/>
  <c r="R44" i="8"/>
  <c r="AA43" i="8"/>
  <c r="Z43" i="8"/>
  <c r="Y43" i="8"/>
  <c r="X43" i="8"/>
  <c r="W43" i="8"/>
  <c r="V43" i="8"/>
  <c r="U43" i="8"/>
  <c r="T43" i="8"/>
  <c r="S43" i="8"/>
  <c r="R43" i="8"/>
  <c r="AA42" i="8"/>
  <c r="Z42" i="8"/>
  <c r="Y42" i="8"/>
  <c r="X42" i="8"/>
  <c r="W42" i="8"/>
  <c r="V42" i="8"/>
  <c r="U42" i="8"/>
  <c r="T42" i="8"/>
  <c r="S42" i="8"/>
  <c r="R42" i="8"/>
  <c r="AA41" i="8"/>
  <c r="Z41" i="8"/>
  <c r="Y41" i="8"/>
  <c r="X41" i="8"/>
  <c r="W41" i="8"/>
  <c r="V41" i="8"/>
  <c r="U41" i="8"/>
  <c r="T41" i="8"/>
  <c r="S41" i="8"/>
  <c r="R41" i="8"/>
  <c r="AA40" i="8"/>
  <c r="Z40" i="8"/>
  <c r="Y40" i="8"/>
  <c r="X40" i="8"/>
  <c r="W40" i="8"/>
  <c r="V40" i="8"/>
  <c r="U40" i="8"/>
  <c r="T40" i="8"/>
  <c r="S40" i="8"/>
  <c r="R40" i="8"/>
  <c r="AA39" i="8"/>
  <c r="Z39" i="8"/>
  <c r="Y39" i="8"/>
  <c r="X39" i="8"/>
  <c r="W39" i="8"/>
  <c r="V39" i="8"/>
  <c r="U39" i="8"/>
  <c r="T39" i="8"/>
  <c r="S39" i="8"/>
  <c r="R39" i="8"/>
  <c r="AA38" i="8"/>
  <c r="Z38" i="8"/>
  <c r="Y38" i="8"/>
  <c r="X38" i="8"/>
  <c r="W38" i="8"/>
  <c r="V38" i="8"/>
  <c r="U38" i="8"/>
  <c r="T38" i="8"/>
  <c r="S38" i="8"/>
  <c r="R38" i="8"/>
  <c r="AA37" i="8"/>
  <c r="Z37" i="8"/>
  <c r="Y37" i="8"/>
  <c r="X37" i="8"/>
  <c r="W37" i="8"/>
  <c r="V37" i="8"/>
  <c r="U37" i="8"/>
  <c r="T37" i="8"/>
  <c r="S37" i="8"/>
  <c r="R37" i="8"/>
  <c r="AA36" i="8"/>
  <c r="Z36" i="8"/>
  <c r="Y36" i="8"/>
  <c r="X36" i="8"/>
  <c r="W36" i="8"/>
  <c r="V36" i="8"/>
  <c r="U36" i="8"/>
  <c r="T36" i="8"/>
  <c r="S36" i="8"/>
  <c r="R36" i="8"/>
  <c r="AA35" i="8"/>
  <c r="Z35" i="8"/>
  <c r="Y35" i="8"/>
  <c r="X35" i="8"/>
  <c r="W35" i="8"/>
  <c r="V35" i="8"/>
  <c r="U35" i="8"/>
  <c r="T35" i="8"/>
  <c r="S35" i="8"/>
  <c r="R35" i="8"/>
  <c r="AA34" i="8"/>
  <c r="Z34" i="8"/>
  <c r="Y34" i="8"/>
  <c r="X34" i="8"/>
  <c r="W34" i="8"/>
  <c r="V34" i="8"/>
  <c r="U34" i="8"/>
  <c r="T34" i="8"/>
  <c r="S34" i="8"/>
  <c r="R34" i="8"/>
  <c r="AA33" i="8"/>
  <c r="Z33" i="8"/>
  <c r="Y33" i="8"/>
  <c r="X33" i="8"/>
  <c r="W33" i="8"/>
  <c r="V33" i="8"/>
  <c r="U33" i="8"/>
  <c r="T33" i="8"/>
  <c r="S33" i="8"/>
  <c r="R33" i="8"/>
  <c r="AA32" i="8"/>
  <c r="Z32" i="8"/>
  <c r="Y32" i="8"/>
  <c r="X32" i="8"/>
  <c r="W32" i="8"/>
  <c r="V32" i="8"/>
  <c r="U32" i="8"/>
  <c r="T32" i="8"/>
  <c r="S32" i="8"/>
  <c r="R32" i="8"/>
  <c r="AA31" i="8"/>
  <c r="Z31" i="8"/>
  <c r="Y31" i="8"/>
  <c r="X31" i="8"/>
  <c r="W31" i="8"/>
  <c r="V31" i="8"/>
  <c r="U31" i="8"/>
  <c r="T31" i="8"/>
  <c r="S31" i="8"/>
  <c r="R31" i="8"/>
  <c r="AA30" i="8"/>
  <c r="Z30" i="8"/>
  <c r="Y30" i="8"/>
  <c r="X30" i="8"/>
  <c r="W30" i="8"/>
  <c r="V30" i="8"/>
  <c r="U30" i="8"/>
  <c r="T30" i="8"/>
  <c r="S30" i="8"/>
  <c r="R30" i="8"/>
  <c r="AA29" i="8"/>
  <c r="Z29" i="8"/>
  <c r="Y29" i="8"/>
  <c r="X29" i="8"/>
  <c r="W29" i="8"/>
  <c r="V29" i="8"/>
  <c r="U29" i="8"/>
  <c r="T29" i="8"/>
  <c r="S29" i="8"/>
  <c r="R29" i="8"/>
  <c r="AA28" i="8"/>
  <c r="Z28" i="8"/>
  <c r="Y28" i="8"/>
  <c r="X28" i="8"/>
  <c r="W28" i="8"/>
  <c r="V28" i="8"/>
  <c r="U28" i="8"/>
  <c r="T28" i="8"/>
  <c r="S28" i="8"/>
  <c r="R28" i="8"/>
  <c r="AA27" i="8"/>
  <c r="Z27" i="8"/>
  <c r="Y27" i="8"/>
  <c r="X27" i="8"/>
  <c r="W27" i="8"/>
  <c r="V27" i="8"/>
  <c r="U27" i="8"/>
  <c r="T27" i="8"/>
  <c r="S27" i="8"/>
  <c r="R27" i="8"/>
  <c r="AA26" i="8"/>
  <c r="Z26" i="8"/>
  <c r="Y26" i="8"/>
  <c r="X26" i="8"/>
  <c r="W26" i="8"/>
  <c r="V26" i="8"/>
  <c r="U26" i="8"/>
  <c r="T26" i="8"/>
  <c r="S26" i="8"/>
  <c r="R26" i="8"/>
  <c r="AA25" i="8"/>
  <c r="Z25" i="8"/>
  <c r="Y25" i="8"/>
  <c r="X25" i="8"/>
  <c r="W25" i="8"/>
  <c r="V25" i="8"/>
  <c r="U25" i="8"/>
  <c r="T25" i="8"/>
  <c r="S25" i="8"/>
  <c r="R25" i="8"/>
  <c r="AA24" i="8"/>
  <c r="Z24" i="8"/>
  <c r="Y24" i="8"/>
  <c r="X24" i="8"/>
  <c r="W24" i="8"/>
  <c r="V24" i="8"/>
  <c r="U24" i="8"/>
  <c r="T24" i="8"/>
  <c r="S24" i="8"/>
  <c r="R24" i="8"/>
  <c r="AA23" i="8"/>
  <c r="Z23" i="8"/>
  <c r="Y23" i="8"/>
  <c r="X23" i="8"/>
  <c r="W23" i="8"/>
  <c r="V23" i="8"/>
  <c r="U23" i="8"/>
  <c r="T23" i="8"/>
  <c r="S23" i="8"/>
  <c r="R23" i="8"/>
  <c r="AA22" i="8"/>
  <c r="Z22" i="8"/>
  <c r="Y22" i="8"/>
  <c r="X22" i="8"/>
  <c r="W22" i="8"/>
  <c r="V22" i="8"/>
  <c r="U22" i="8"/>
  <c r="T22" i="8"/>
  <c r="S22" i="8"/>
  <c r="R22" i="8"/>
  <c r="AA21" i="8"/>
  <c r="Z21" i="8"/>
  <c r="Y21" i="8"/>
  <c r="X21" i="8"/>
  <c r="W21" i="8"/>
  <c r="V21" i="8"/>
  <c r="U21" i="8"/>
  <c r="T21" i="8"/>
  <c r="S21" i="8"/>
  <c r="R21" i="8"/>
  <c r="AA20" i="8"/>
  <c r="Z20" i="8"/>
  <c r="Y20" i="8"/>
  <c r="X20" i="8"/>
  <c r="W20" i="8"/>
  <c r="V20" i="8"/>
  <c r="U20" i="8"/>
  <c r="T20" i="8"/>
  <c r="S20" i="8"/>
  <c r="R20" i="8"/>
  <c r="AA19" i="8"/>
  <c r="Z19" i="8"/>
  <c r="Y19" i="8"/>
  <c r="X19" i="8"/>
  <c r="W19" i="8"/>
  <c r="V19" i="8"/>
  <c r="U19" i="8"/>
  <c r="T19" i="8"/>
  <c r="S19" i="8"/>
  <c r="R19" i="8"/>
  <c r="AA18" i="8"/>
  <c r="Z18" i="8"/>
  <c r="Y18" i="8"/>
  <c r="X18" i="8"/>
  <c r="W18" i="8"/>
  <c r="V18" i="8"/>
  <c r="U18" i="8"/>
  <c r="T18" i="8"/>
  <c r="S18" i="8"/>
  <c r="R18" i="8"/>
  <c r="AA17" i="8"/>
  <c r="Z17" i="8"/>
  <c r="Y17" i="8"/>
  <c r="X17" i="8"/>
  <c r="W17" i="8"/>
  <c r="V17" i="8"/>
  <c r="U17" i="8"/>
  <c r="T17" i="8"/>
  <c r="S17" i="8"/>
  <c r="R17" i="8"/>
  <c r="AA16" i="8"/>
  <c r="Z16" i="8"/>
  <c r="Y16" i="8"/>
  <c r="X16" i="8"/>
  <c r="W16" i="8"/>
  <c r="V16" i="8"/>
  <c r="U16" i="8"/>
  <c r="T16" i="8"/>
  <c r="S16" i="8"/>
  <c r="R16" i="8"/>
  <c r="AA15" i="8"/>
  <c r="Z15" i="8"/>
  <c r="Y15" i="8"/>
  <c r="X15" i="8"/>
  <c r="W15" i="8"/>
  <c r="V15" i="8"/>
  <c r="U15" i="8"/>
  <c r="T15" i="8"/>
  <c r="S15" i="8"/>
  <c r="R15" i="8"/>
  <c r="AA14" i="8"/>
  <c r="Z14" i="8"/>
  <c r="Y14" i="8"/>
  <c r="X14" i="8"/>
  <c r="W14" i="8"/>
  <c r="V14" i="8"/>
  <c r="U14" i="8"/>
  <c r="T14" i="8"/>
  <c r="S14" i="8"/>
  <c r="R14" i="8"/>
  <c r="AA13" i="8"/>
  <c r="Z13" i="8"/>
  <c r="Y13" i="8"/>
  <c r="X13" i="8"/>
  <c r="W13" i="8"/>
  <c r="V13" i="8"/>
  <c r="U13" i="8"/>
  <c r="T13" i="8"/>
  <c r="S13" i="8"/>
  <c r="R13" i="8"/>
  <c r="AA12" i="8"/>
  <c r="Z12" i="8"/>
  <c r="Y12" i="8"/>
  <c r="X12" i="8"/>
  <c r="W12" i="8"/>
  <c r="V12" i="8"/>
  <c r="U12" i="8"/>
  <c r="T12" i="8"/>
  <c r="S12" i="8"/>
  <c r="R12" i="8"/>
  <c r="AA11" i="8"/>
  <c r="Z11" i="8"/>
  <c r="Y11" i="8"/>
  <c r="X11" i="8"/>
  <c r="W11" i="8"/>
  <c r="V11" i="8"/>
  <c r="U11" i="8"/>
  <c r="T11" i="8"/>
  <c r="S11" i="8"/>
  <c r="R11" i="8"/>
  <c r="AA10" i="8"/>
  <c r="Z10" i="8"/>
  <c r="Y10" i="8"/>
  <c r="X10" i="8"/>
  <c r="W10" i="8"/>
  <c r="V10" i="8"/>
  <c r="U10" i="8"/>
  <c r="T10" i="8"/>
  <c r="S10" i="8"/>
  <c r="R10" i="8"/>
  <c r="AA9" i="8"/>
  <c r="Z9" i="8"/>
  <c r="Y9" i="8"/>
  <c r="X9" i="8"/>
  <c r="W9" i="8"/>
  <c r="V9" i="8"/>
  <c r="U9" i="8"/>
  <c r="T9" i="8"/>
  <c r="S9" i="8"/>
  <c r="R9" i="8"/>
  <c r="AA8" i="8"/>
  <c r="Z8" i="8"/>
  <c r="Y8" i="8"/>
  <c r="X8" i="8"/>
  <c r="W8" i="8"/>
  <c r="V8" i="8"/>
  <c r="U8" i="8"/>
  <c r="T8" i="8"/>
  <c r="S8" i="8"/>
  <c r="R8" i="8"/>
  <c r="AA7" i="8"/>
  <c r="Z7" i="8"/>
  <c r="Y7" i="8"/>
  <c r="X7" i="8"/>
  <c r="W7" i="8"/>
  <c r="V7" i="8"/>
  <c r="U7" i="8"/>
  <c r="T7" i="8"/>
  <c r="S7" i="8"/>
  <c r="R7" i="8"/>
  <c r="AA6" i="8"/>
  <c r="Z6" i="8"/>
  <c r="Y6" i="8"/>
  <c r="X6" i="8"/>
  <c r="W6" i="8"/>
  <c r="V6" i="8"/>
  <c r="U6" i="8"/>
  <c r="T6" i="8"/>
  <c r="S6" i="8"/>
  <c r="R6" i="8"/>
  <c r="R7" i="6"/>
  <c r="S7" i="6"/>
  <c r="T7" i="6"/>
  <c r="U7" i="6"/>
  <c r="V7" i="6"/>
  <c r="W7" i="6"/>
  <c r="X7" i="6"/>
  <c r="Y7" i="6"/>
  <c r="Z7" i="6"/>
  <c r="AA7" i="6"/>
  <c r="R8" i="6"/>
  <c r="S8" i="6"/>
  <c r="T8" i="6"/>
  <c r="U8" i="6"/>
  <c r="V8" i="6"/>
  <c r="W8" i="6"/>
  <c r="X8" i="6"/>
  <c r="Y8" i="6"/>
  <c r="Z8" i="6"/>
  <c r="AA8" i="6"/>
  <c r="R9" i="6"/>
  <c r="S9" i="6"/>
  <c r="T9" i="6"/>
  <c r="U9" i="6"/>
  <c r="V9" i="6"/>
  <c r="W9" i="6"/>
  <c r="X9" i="6"/>
  <c r="Y9" i="6"/>
  <c r="Z9" i="6"/>
  <c r="AA9" i="6"/>
  <c r="R10" i="6"/>
  <c r="S10" i="6"/>
  <c r="T10" i="6"/>
  <c r="U10" i="6"/>
  <c r="V10" i="6"/>
  <c r="W10" i="6"/>
  <c r="X10" i="6"/>
  <c r="Y10" i="6"/>
  <c r="Z10" i="6"/>
  <c r="AA10" i="6"/>
  <c r="R11" i="6"/>
  <c r="S11" i="6"/>
  <c r="T11" i="6"/>
  <c r="U11" i="6"/>
  <c r="V11" i="6"/>
  <c r="W11" i="6"/>
  <c r="X11" i="6"/>
  <c r="Y11" i="6"/>
  <c r="Z11" i="6"/>
  <c r="AA11" i="6"/>
  <c r="R12" i="6"/>
  <c r="S12" i="6"/>
  <c r="T12" i="6"/>
  <c r="U12" i="6"/>
  <c r="V12" i="6"/>
  <c r="W12" i="6"/>
  <c r="X12" i="6"/>
  <c r="Y12" i="6"/>
  <c r="Z12" i="6"/>
  <c r="AA12" i="6"/>
  <c r="R13" i="6"/>
  <c r="S13" i="6"/>
  <c r="T13" i="6"/>
  <c r="U13" i="6"/>
  <c r="V13" i="6"/>
  <c r="W13" i="6"/>
  <c r="X13" i="6"/>
  <c r="Y13" i="6"/>
  <c r="Z13" i="6"/>
  <c r="AA13" i="6"/>
  <c r="R14" i="6"/>
  <c r="S14" i="6"/>
  <c r="T14" i="6"/>
  <c r="U14" i="6"/>
  <c r="V14" i="6"/>
  <c r="W14" i="6"/>
  <c r="X14" i="6"/>
  <c r="Y14" i="6"/>
  <c r="Z14" i="6"/>
  <c r="AA14" i="6"/>
  <c r="R15" i="6"/>
  <c r="S15" i="6"/>
  <c r="T15" i="6"/>
  <c r="U15" i="6"/>
  <c r="V15" i="6"/>
  <c r="W15" i="6"/>
  <c r="X15" i="6"/>
  <c r="Y15" i="6"/>
  <c r="Z15" i="6"/>
  <c r="AA15" i="6"/>
  <c r="R16" i="6"/>
  <c r="S16" i="6"/>
  <c r="T16" i="6"/>
  <c r="U16" i="6"/>
  <c r="V16" i="6"/>
  <c r="W16" i="6"/>
  <c r="X16" i="6"/>
  <c r="Y16" i="6"/>
  <c r="Z16" i="6"/>
  <c r="AA16" i="6"/>
  <c r="R17" i="6"/>
  <c r="S17" i="6"/>
  <c r="T17" i="6"/>
  <c r="U17" i="6"/>
  <c r="V17" i="6"/>
  <c r="W17" i="6"/>
  <c r="X17" i="6"/>
  <c r="Y17" i="6"/>
  <c r="Z17" i="6"/>
  <c r="AA17" i="6"/>
  <c r="R18" i="6"/>
  <c r="S18" i="6"/>
  <c r="T18" i="6"/>
  <c r="U18" i="6"/>
  <c r="V18" i="6"/>
  <c r="W18" i="6"/>
  <c r="X18" i="6"/>
  <c r="Y18" i="6"/>
  <c r="Z18" i="6"/>
  <c r="AA18" i="6"/>
  <c r="R19" i="6"/>
  <c r="S19" i="6"/>
  <c r="T19" i="6"/>
  <c r="U19" i="6"/>
  <c r="V19" i="6"/>
  <c r="W19" i="6"/>
  <c r="X19" i="6"/>
  <c r="Y19" i="6"/>
  <c r="Z19" i="6"/>
  <c r="AA19" i="6"/>
  <c r="R20" i="6"/>
  <c r="S20" i="6"/>
  <c r="T20" i="6"/>
  <c r="U20" i="6"/>
  <c r="V20" i="6"/>
  <c r="W20" i="6"/>
  <c r="X20" i="6"/>
  <c r="Y20" i="6"/>
  <c r="Z20" i="6"/>
  <c r="AA20" i="6"/>
  <c r="R21" i="6"/>
  <c r="S21" i="6"/>
  <c r="T21" i="6"/>
  <c r="U21" i="6"/>
  <c r="V21" i="6"/>
  <c r="W21" i="6"/>
  <c r="X21" i="6"/>
  <c r="Y21" i="6"/>
  <c r="Z21" i="6"/>
  <c r="AA21" i="6"/>
  <c r="R22" i="6"/>
  <c r="S22" i="6"/>
  <c r="T22" i="6"/>
  <c r="U22" i="6"/>
  <c r="V22" i="6"/>
  <c r="W22" i="6"/>
  <c r="X22" i="6"/>
  <c r="Y22" i="6"/>
  <c r="Z22" i="6"/>
  <c r="AA22" i="6"/>
  <c r="R23" i="6"/>
  <c r="S23" i="6"/>
  <c r="T23" i="6"/>
  <c r="U23" i="6"/>
  <c r="V23" i="6"/>
  <c r="W23" i="6"/>
  <c r="X23" i="6"/>
  <c r="Y23" i="6"/>
  <c r="Z23" i="6"/>
  <c r="AA23" i="6"/>
  <c r="R24" i="6"/>
  <c r="S24" i="6"/>
  <c r="T24" i="6"/>
  <c r="U24" i="6"/>
  <c r="V24" i="6"/>
  <c r="W24" i="6"/>
  <c r="X24" i="6"/>
  <c r="Y24" i="6"/>
  <c r="Z24" i="6"/>
  <c r="AA24" i="6"/>
  <c r="R25" i="6"/>
  <c r="S25" i="6"/>
  <c r="T25" i="6"/>
  <c r="U25" i="6"/>
  <c r="V25" i="6"/>
  <c r="W25" i="6"/>
  <c r="X25" i="6"/>
  <c r="Y25" i="6"/>
  <c r="Z25" i="6"/>
  <c r="AA25" i="6"/>
  <c r="R26" i="6"/>
  <c r="S26" i="6"/>
  <c r="T26" i="6"/>
  <c r="U26" i="6"/>
  <c r="V26" i="6"/>
  <c r="W26" i="6"/>
  <c r="X26" i="6"/>
  <c r="Y26" i="6"/>
  <c r="Z26" i="6"/>
  <c r="AA26" i="6"/>
  <c r="R27" i="6"/>
  <c r="S27" i="6"/>
  <c r="T27" i="6"/>
  <c r="U27" i="6"/>
  <c r="V27" i="6"/>
  <c r="W27" i="6"/>
  <c r="X27" i="6"/>
  <c r="Y27" i="6"/>
  <c r="Z27" i="6"/>
  <c r="AA27" i="6"/>
  <c r="R28" i="6"/>
  <c r="S28" i="6"/>
  <c r="T28" i="6"/>
  <c r="U28" i="6"/>
  <c r="V28" i="6"/>
  <c r="W28" i="6"/>
  <c r="X28" i="6"/>
  <c r="Y28" i="6"/>
  <c r="Z28" i="6"/>
  <c r="AA28" i="6"/>
  <c r="R29" i="6"/>
  <c r="S29" i="6"/>
  <c r="T29" i="6"/>
  <c r="U29" i="6"/>
  <c r="V29" i="6"/>
  <c r="W29" i="6"/>
  <c r="X29" i="6"/>
  <c r="Y29" i="6"/>
  <c r="Z29" i="6"/>
  <c r="AA29" i="6"/>
  <c r="R30" i="6"/>
  <c r="S30" i="6"/>
  <c r="T30" i="6"/>
  <c r="U30" i="6"/>
  <c r="V30" i="6"/>
  <c r="W30" i="6"/>
  <c r="X30" i="6"/>
  <c r="Y30" i="6"/>
  <c r="Z30" i="6"/>
  <c r="AA30" i="6"/>
  <c r="R31" i="6"/>
  <c r="S31" i="6"/>
  <c r="T31" i="6"/>
  <c r="U31" i="6"/>
  <c r="V31" i="6"/>
  <c r="W31" i="6"/>
  <c r="X31" i="6"/>
  <c r="Y31" i="6"/>
  <c r="Z31" i="6"/>
  <c r="AA31" i="6"/>
  <c r="R32" i="6"/>
  <c r="S32" i="6"/>
  <c r="T32" i="6"/>
  <c r="U32" i="6"/>
  <c r="V32" i="6"/>
  <c r="W32" i="6"/>
  <c r="X32" i="6"/>
  <c r="Y32" i="6"/>
  <c r="Z32" i="6"/>
  <c r="AA32" i="6"/>
  <c r="R33" i="6"/>
  <c r="S33" i="6"/>
  <c r="T33" i="6"/>
  <c r="U33" i="6"/>
  <c r="V33" i="6"/>
  <c r="W33" i="6"/>
  <c r="X33" i="6"/>
  <c r="Y33" i="6"/>
  <c r="Z33" i="6"/>
  <c r="AA33" i="6"/>
  <c r="R34" i="6"/>
  <c r="S34" i="6"/>
  <c r="T34" i="6"/>
  <c r="U34" i="6"/>
  <c r="V34" i="6"/>
  <c r="W34" i="6"/>
  <c r="X34" i="6"/>
  <c r="Y34" i="6"/>
  <c r="Z34" i="6"/>
  <c r="AA34" i="6"/>
  <c r="R35" i="6"/>
  <c r="S35" i="6"/>
  <c r="T35" i="6"/>
  <c r="U35" i="6"/>
  <c r="V35" i="6"/>
  <c r="W35" i="6"/>
  <c r="X35" i="6"/>
  <c r="Y35" i="6"/>
  <c r="Z35" i="6"/>
  <c r="AA35" i="6"/>
  <c r="R36" i="6"/>
  <c r="S36" i="6"/>
  <c r="T36" i="6"/>
  <c r="U36" i="6"/>
  <c r="V36" i="6"/>
  <c r="W36" i="6"/>
  <c r="X36" i="6"/>
  <c r="Y36" i="6"/>
  <c r="Z36" i="6"/>
  <c r="AA36" i="6"/>
  <c r="R37" i="6"/>
  <c r="S37" i="6"/>
  <c r="T37" i="6"/>
  <c r="U37" i="6"/>
  <c r="V37" i="6"/>
  <c r="W37" i="6"/>
  <c r="X37" i="6"/>
  <c r="Y37" i="6"/>
  <c r="Z37" i="6"/>
  <c r="AA37" i="6"/>
  <c r="R38" i="6"/>
  <c r="S38" i="6"/>
  <c r="T38" i="6"/>
  <c r="U38" i="6"/>
  <c r="V38" i="6"/>
  <c r="W38" i="6"/>
  <c r="X38" i="6"/>
  <c r="Y38" i="6"/>
  <c r="Z38" i="6"/>
  <c r="AA38" i="6"/>
  <c r="R39" i="6"/>
  <c r="S39" i="6"/>
  <c r="T39" i="6"/>
  <c r="U39" i="6"/>
  <c r="V39" i="6"/>
  <c r="W39" i="6"/>
  <c r="X39" i="6"/>
  <c r="Y39" i="6"/>
  <c r="Z39" i="6"/>
  <c r="AA39" i="6"/>
  <c r="R40" i="6"/>
  <c r="S40" i="6"/>
  <c r="T40" i="6"/>
  <c r="U40" i="6"/>
  <c r="V40" i="6"/>
  <c r="W40" i="6"/>
  <c r="X40" i="6"/>
  <c r="Y40" i="6"/>
  <c r="Z40" i="6"/>
  <c r="AA40" i="6"/>
  <c r="R41" i="6"/>
  <c r="S41" i="6"/>
  <c r="T41" i="6"/>
  <c r="U41" i="6"/>
  <c r="V41" i="6"/>
  <c r="W41" i="6"/>
  <c r="X41" i="6"/>
  <c r="Y41" i="6"/>
  <c r="Z41" i="6"/>
  <c r="AA41" i="6"/>
  <c r="R42" i="6"/>
  <c r="S42" i="6"/>
  <c r="T42" i="6"/>
  <c r="U42" i="6"/>
  <c r="V42" i="6"/>
  <c r="W42" i="6"/>
  <c r="X42" i="6"/>
  <c r="Y42" i="6"/>
  <c r="Z42" i="6"/>
  <c r="AA42" i="6"/>
  <c r="R43" i="6"/>
  <c r="S43" i="6"/>
  <c r="T43" i="6"/>
  <c r="U43" i="6"/>
  <c r="V43" i="6"/>
  <c r="W43" i="6"/>
  <c r="X43" i="6"/>
  <c r="Y43" i="6"/>
  <c r="Z43" i="6"/>
  <c r="AA43" i="6"/>
  <c r="R44" i="6"/>
  <c r="S44" i="6"/>
  <c r="T44" i="6"/>
  <c r="U44" i="6"/>
  <c r="V44" i="6"/>
  <c r="W44" i="6"/>
  <c r="X44" i="6"/>
  <c r="Y44" i="6"/>
  <c r="Z44" i="6"/>
  <c r="AA44" i="6"/>
  <c r="R45" i="6"/>
  <c r="S45" i="6"/>
  <c r="T45" i="6"/>
  <c r="U45" i="6"/>
  <c r="V45" i="6"/>
  <c r="W45" i="6"/>
  <c r="X45" i="6"/>
  <c r="Y45" i="6"/>
  <c r="Z45" i="6"/>
  <c r="AA45" i="6"/>
  <c r="R46" i="6"/>
  <c r="S46" i="6"/>
  <c r="T46" i="6"/>
  <c r="U46" i="6"/>
  <c r="V46" i="6"/>
  <c r="W46" i="6"/>
  <c r="X46" i="6"/>
  <c r="Y46" i="6"/>
  <c r="Z46" i="6"/>
  <c r="AA46" i="6"/>
  <c r="R47" i="6"/>
  <c r="S47" i="6"/>
  <c r="T47" i="6"/>
  <c r="U47" i="6"/>
  <c r="V47" i="6"/>
  <c r="W47" i="6"/>
  <c r="X47" i="6"/>
  <c r="Y47" i="6"/>
  <c r="Z47" i="6"/>
  <c r="AA47" i="6"/>
  <c r="R48" i="6"/>
  <c r="S48" i="6"/>
  <c r="T48" i="6"/>
  <c r="U48" i="6"/>
  <c r="V48" i="6"/>
  <c r="W48" i="6"/>
  <c r="X48" i="6"/>
  <c r="Y48" i="6"/>
  <c r="Z48" i="6"/>
  <c r="AA48" i="6"/>
  <c r="R49" i="6"/>
  <c r="S49" i="6"/>
  <c r="T49" i="6"/>
  <c r="U49" i="6"/>
  <c r="V49" i="6"/>
  <c r="W49" i="6"/>
  <c r="X49" i="6"/>
  <c r="Y49" i="6"/>
  <c r="Z49" i="6"/>
  <c r="AA49" i="6"/>
  <c r="R50" i="6"/>
  <c r="S50" i="6"/>
  <c r="T50" i="6"/>
  <c r="U50" i="6"/>
  <c r="V50" i="6"/>
  <c r="W50" i="6"/>
  <c r="X50" i="6"/>
  <c r="Y50" i="6"/>
  <c r="Z50" i="6"/>
  <c r="AA50" i="6"/>
  <c r="R51" i="6"/>
  <c r="S51" i="6"/>
  <c r="T51" i="6"/>
  <c r="U51" i="6"/>
  <c r="V51" i="6"/>
  <c r="W51" i="6"/>
  <c r="X51" i="6"/>
  <c r="Y51" i="6"/>
  <c r="Z51" i="6"/>
  <c r="AA51" i="6"/>
  <c r="R52" i="6"/>
  <c r="S52" i="6"/>
  <c r="T52" i="6"/>
  <c r="U52" i="6"/>
  <c r="V52" i="6"/>
  <c r="W52" i="6"/>
  <c r="X52" i="6"/>
  <c r="Y52" i="6"/>
  <c r="Z52" i="6"/>
  <c r="AA52" i="6"/>
  <c r="R53" i="6"/>
  <c r="S53" i="6"/>
  <c r="T53" i="6"/>
  <c r="U53" i="6"/>
  <c r="V53" i="6"/>
  <c r="W53" i="6"/>
  <c r="X53" i="6"/>
  <c r="Y53" i="6"/>
  <c r="Z53" i="6"/>
  <c r="AA53" i="6"/>
  <c r="R54" i="6"/>
  <c r="S54" i="6"/>
  <c r="T54" i="6"/>
  <c r="U54" i="6"/>
  <c r="V54" i="6"/>
  <c r="W54" i="6"/>
  <c r="X54" i="6"/>
  <c r="Y54" i="6"/>
  <c r="Z54" i="6"/>
  <c r="AA54" i="6"/>
  <c r="R55" i="6"/>
  <c r="S55" i="6"/>
  <c r="T55" i="6"/>
  <c r="U55" i="6"/>
  <c r="V55" i="6"/>
  <c r="W55" i="6"/>
  <c r="X55" i="6"/>
  <c r="Y55" i="6"/>
  <c r="Z55" i="6"/>
  <c r="AA55" i="6"/>
  <c r="R56" i="6"/>
  <c r="S56" i="6"/>
  <c r="T56" i="6"/>
  <c r="U56" i="6"/>
  <c r="V56" i="6"/>
  <c r="W56" i="6"/>
  <c r="X56" i="6"/>
  <c r="Y56" i="6"/>
  <c r="Z56" i="6"/>
  <c r="AA56" i="6"/>
  <c r="R57" i="6"/>
  <c r="S57" i="6"/>
  <c r="T57" i="6"/>
  <c r="U57" i="6"/>
  <c r="V57" i="6"/>
  <c r="W57" i="6"/>
  <c r="X57" i="6"/>
  <c r="Y57" i="6"/>
  <c r="Z57" i="6"/>
  <c r="AA57" i="6"/>
  <c r="R58" i="6"/>
  <c r="S58" i="6"/>
  <c r="T58" i="6"/>
  <c r="U58" i="6"/>
  <c r="V58" i="6"/>
  <c r="W58" i="6"/>
  <c r="X58" i="6"/>
  <c r="Y58" i="6"/>
  <c r="Z58" i="6"/>
  <c r="AA58" i="6"/>
  <c r="R59" i="6"/>
  <c r="S59" i="6"/>
  <c r="T59" i="6"/>
  <c r="U59" i="6"/>
  <c r="V59" i="6"/>
  <c r="W59" i="6"/>
  <c r="X59" i="6"/>
  <c r="Y59" i="6"/>
  <c r="Z59" i="6"/>
  <c r="AA59" i="6"/>
  <c r="R60" i="6"/>
  <c r="S60" i="6"/>
  <c r="T60" i="6"/>
  <c r="U60" i="6"/>
  <c r="V60" i="6"/>
  <c r="W60" i="6"/>
  <c r="X60" i="6"/>
  <c r="Y60" i="6"/>
  <c r="Z60" i="6"/>
  <c r="AA60" i="6"/>
  <c r="R61" i="6"/>
  <c r="S61" i="6"/>
  <c r="T61" i="6"/>
  <c r="U61" i="6"/>
  <c r="V61" i="6"/>
  <c r="W61" i="6"/>
  <c r="X61" i="6"/>
  <c r="Y61" i="6"/>
  <c r="Z61" i="6"/>
  <c r="AA61" i="6"/>
  <c r="R62" i="6"/>
  <c r="S62" i="6"/>
  <c r="T62" i="6"/>
  <c r="U62" i="6"/>
  <c r="V62" i="6"/>
  <c r="W62" i="6"/>
  <c r="X62" i="6"/>
  <c r="Y62" i="6"/>
  <c r="Z62" i="6"/>
  <c r="AA62" i="6"/>
  <c r="R63" i="6"/>
  <c r="S63" i="6"/>
  <c r="T63" i="6"/>
  <c r="U63" i="6"/>
  <c r="V63" i="6"/>
  <c r="W63" i="6"/>
  <c r="X63" i="6"/>
  <c r="Y63" i="6"/>
  <c r="Z63" i="6"/>
  <c r="AA63" i="6"/>
  <c r="R64" i="6"/>
  <c r="S64" i="6"/>
  <c r="T64" i="6"/>
  <c r="U64" i="6"/>
  <c r="V64" i="6"/>
  <c r="W64" i="6"/>
  <c r="X64" i="6"/>
  <c r="Y64" i="6"/>
  <c r="Z64" i="6"/>
  <c r="AA64" i="6"/>
  <c r="R65" i="6"/>
  <c r="S65" i="6"/>
  <c r="T65" i="6"/>
  <c r="U65" i="6"/>
  <c r="V65" i="6"/>
  <c r="W65" i="6"/>
  <c r="X65" i="6"/>
  <c r="Y65" i="6"/>
  <c r="Z65" i="6"/>
  <c r="AA65" i="6"/>
  <c r="R66" i="6"/>
  <c r="S66" i="6"/>
  <c r="T66" i="6"/>
  <c r="U66" i="6"/>
  <c r="V66" i="6"/>
  <c r="W66" i="6"/>
  <c r="X66" i="6"/>
  <c r="Y66" i="6"/>
  <c r="Z66" i="6"/>
  <c r="AA66" i="6"/>
  <c r="R67" i="6"/>
  <c r="S67" i="6"/>
  <c r="T67" i="6"/>
  <c r="U67" i="6"/>
  <c r="V67" i="6"/>
  <c r="W67" i="6"/>
  <c r="X67" i="6"/>
  <c r="Y67" i="6"/>
  <c r="Z67" i="6"/>
  <c r="AA67" i="6"/>
  <c r="R68" i="6"/>
  <c r="S68" i="6"/>
  <c r="T68" i="6"/>
  <c r="U68" i="6"/>
  <c r="V68" i="6"/>
  <c r="W68" i="6"/>
  <c r="X68" i="6"/>
  <c r="Y68" i="6"/>
  <c r="Z68" i="6"/>
  <c r="AA68" i="6"/>
  <c r="R69" i="6"/>
  <c r="S69" i="6"/>
  <c r="T69" i="6"/>
  <c r="U69" i="6"/>
  <c r="V69" i="6"/>
  <c r="W69" i="6"/>
  <c r="X69" i="6"/>
  <c r="Y69" i="6"/>
  <c r="Z69" i="6"/>
  <c r="AA69" i="6"/>
  <c r="R70" i="6"/>
  <c r="S70" i="6"/>
  <c r="T70" i="6"/>
  <c r="U70" i="6"/>
  <c r="V70" i="6"/>
  <c r="W70" i="6"/>
  <c r="X70" i="6"/>
  <c r="Y70" i="6"/>
  <c r="Z70" i="6"/>
  <c r="AA70" i="6"/>
  <c r="R71" i="6"/>
  <c r="S71" i="6"/>
  <c r="T71" i="6"/>
  <c r="U71" i="6"/>
  <c r="V71" i="6"/>
  <c r="W71" i="6"/>
  <c r="X71" i="6"/>
  <c r="Y71" i="6"/>
  <c r="Z71" i="6"/>
  <c r="AA71" i="6"/>
  <c r="R72" i="6"/>
  <c r="S72" i="6"/>
  <c r="T72" i="6"/>
  <c r="U72" i="6"/>
  <c r="V72" i="6"/>
  <c r="W72" i="6"/>
  <c r="X72" i="6"/>
  <c r="Y72" i="6"/>
  <c r="Z72" i="6"/>
  <c r="AA72" i="6"/>
  <c r="R73" i="6"/>
  <c r="S73" i="6"/>
  <c r="T73" i="6"/>
  <c r="U73" i="6"/>
  <c r="V73" i="6"/>
  <c r="W73" i="6"/>
  <c r="X73" i="6"/>
  <c r="Y73" i="6"/>
  <c r="Z73" i="6"/>
  <c r="AA73" i="6"/>
  <c r="R74" i="6"/>
  <c r="S74" i="6"/>
  <c r="T74" i="6"/>
  <c r="U74" i="6"/>
  <c r="V74" i="6"/>
  <c r="W74" i="6"/>
  <c r="X74" i="6"/>
  <c r="Y74" i="6"/>
  <c r="Z74" i="6"/>
  <c r="AA74" i="6"/>
  <c r="R75" i="6"/>
  <c r="S75" i="6"/>
  <c r="T75" i="6"/>
  <c r="U75" i="6"/>
  <c r="V75" i="6"/>
  <c r="W75" i="6"/>
  <c r="X75" i="6"/>
  <c r="Y75" i="6"/>
  <c r="Z75" i="6"/>
  <c r="AA75" i="6"/>
  <c r="R76" i="6"/>
  <c r="S76" i="6"/>
  <c r="T76" i="6"/>
  <c r="U76" i="6"/>
  <c r="V76" i="6"/>
  <c r="W76" i="6"/>
  <c r="X76" i="6"/>
  <c r="Y76" i="6"/>
  <c r="Z76" i="6"/>
  <c r="AA76" i="6"/>
  <c r="R77" i="6"/>
  <c r="S77" i="6"/>
  <c r="T77" i="6"/>
  <c r="U77" i="6"/>
  <c r="V77" i="6"/>
  <c r="W77" i="6"/>
  <c r="X77" i="6"/>
  <c r="Y77" i="6"/>
  <c r="Z77" i="6"/>
  <c r="AA77" i="6"/>
  <c r="R78" i="6"/>
  <c r="S78" i="6"/>
  <c r="T78" i="6"/>
  <c r="U78" i="6"/>
  <c r="V78" i="6"/>
  <c r="W78" i="6"/>
  <c r="X78" i="6"/>
  <c r="Y78" i="6"/>
  <c r="Z78" i="6"/>
  <c r="AA78" i="6"/>
  <c r="R79" i="6"/>
  <c r="S79" i="6"/>
  <c r="T79" i="6"/>
  <c r="U79" i="6"/>
  <c r="V79" i="6"/>
  <c r="W79" i="6"/>
  <c r="X79" i="6"/>
  <c r="Y79" i="6"/>
  <c r="Z79" i="6"/>
  <c r="AA79" i="6"/>
  <c r="R80" i="6"/>
  <c r="S80" i="6"/>
  <c r="T80" i="6"/>
  <c r="U80" i="6"/>
  <c r="V80" i="6"/>
  <c r="W80" i="6"/>
  <c r="X80" i="6"/>
  <c r="Y80" i="6"/>
  <c r="Z80" i="6"/>
  <c r="AA80" i="6"/>
  <c r="R81" i="6"/>
  <c r="S81" i="6"/>
  <c r="T81" i="6"/>
  <c r="U81" i="6"/>
  <c r="V81" i="6"/>
  <c r="W81" i="6"/>
  <c r="X81" i="6"/>
  <c r="Y81" i="6"/>
  <c r="Z81" i="6"/>
  <c r="AA81" i="6"/>
  <c r="R82" i="6"/>
  <c r="S82" i="6"/>
  <c r="T82" i="6"/>
  <c r="U82" i="6"/>
  <c r="V82" i="6"/>
  <c r="W82" i="6"/>
  <c r="X82" i="6"/>
  <c r="Y82" i="6"/>
  <c r="Z82" i="6"/>
  <c r="AA82" i="6"/>
  <c r="R83" i="6"/>
  <c r="S83" i="6"/>
  <c r="T83" i="6"/>
  <c r="U83" i="6"/>
  <c r="V83" i="6"/>
  <c r="W83" i="6"/>
  <c r="X83" i="6"/>
  <c r="Y83" i="6"/>
  <c r="Z83" i="6"/>
  <c r="AA83" i="6"/>
  <c r="R84" i="6"/>
  <c r="S84" i="6"/>
  <c r="T84" i="6"/>
  <c r="U84" i="6"/>
  <c r="V84" i="6"/>
  <c r="W84" i="6"/>
  <c r="X84" i="6"/>
  <c r="Y84" i="6"/>
  <c r="Z84" i="6"/>
  <c r="AA84" i="6"/>
  <c r="R85" i="6"/>
  <c r="S85" i="6"/>
  <c r="T85" i="6"/>
  <c r="U85" i="6"/>
  <c r="V85" i="6"/>
  <c r="W85" i="6"/>
  <c r="X85" i="6"/>
  <c r="Y85" i="6"/>
  <c r="Z85" i="6"/>
  <c r="AA85" i="6"/>
  <c r="R86" i="6"/>
  <c r="S86" i="6"/>
  <c r="T86" i="6"/>
  <c r="U86" i="6"/>
  <c r="V86" i="6"/>
  <c r="W86" i="6"/>
  <c r="X86" i="6"/>
  <c r="Y86" i="6"/>
  <c r="Z86" i="6"/>
  <c r="AA86" i="6"/>
  <c r="R87" i="6"/>
  <c r="S87" i="6"/>
  <c r="T87" i="6"/>
  <c r="U87" i="6"/>
  <c r="V87" i="6"/>
  <c r="W87" i="6"/>
  <c r="X87" i="6"/>
  <c r="Y87" i="6"/>
  <c r="Z87" i="6"/>
  <c r="AA87" i="6"/>
  <c r="R88" i="6"/>
  <c r="S88" i="6"/>
  <c r="T88" i="6"/>
  <c r="U88" i="6"/>
  <c r="V88" i="6"/>
  <c r="W88" i="6"/>
  <c r="X88" i="6"/>
  <c r="Y88" i="6"/>
  <c r="Z88" i="6"/>
  <c r="AA88" i="6"/>
  <c r="R89" i="6"/>
  <c r="S89" i="6"/>
  <c r="T89" i="6"/>
  <c r="U89" i="6"/>
  <c r="V89" i="6"/>
  <c r="W89" i="6"/>
  <c r="X89" i="6"/>
  <c r="Y89" i="6"/>
  <c r="Z89" i="6"/>
  <c r="AA89" i="6"/>
  <c r="R90" i="6"/>
  <c r="S90" i="6"/>
  <c r="T90" i="6"/>
  <c r="U90" i="6"/>
  <c r="V90" i="6"/>
  <c r="W90" i="6"/>
  <c r="X90" i="6"/>
  <c r="Y90" i="6"/>
  <c r="Z90" i="6"/>
  <c r="AA90" i="6"/>
  <c r="R91" i="6"/>
  <c r="S91" i="6"/>
  <c r="T91" i="6"/>
  <c r="U91" i="6"/>
  <c r="V91" i="6"/>
  <c r="W91" i="6"/>
  <c r="X91" i="6"/>
  <c r="Y91" i="6"/>
  <c r="Z91" i="6"/>
  <c r="AA91" i="6"/>
  <c r="R92" i="6"/>
  <c r="S92" i="6"/>
  <c r="T92" i="6"/>
  <c r="U92" i="6"/>
  <c r="V92" i="6"/>
  <c r="W92" i="6"/>
  <c r="X92" i="6"/>
  <c r="Y92" i="6"/>
  <c r="Z92" i="6"/>
  <c r="AA92" i="6"/>
  <c r="R93" i="6"/>
  <c r="S93" i="6"/>
  <c r="T93" i="6"/>
  <c r="U93" i="6"/>
  <c r="V93" i="6"/>
  <c r="W93" i="6"/>
  <c r="X93" i="6"/>
  <c r="Y93" i="6"/>
  <c r="Z93" i="6"/>
  <c r="AA93" i="6"/>
  <c r="R94" i="6"/>
  <c r="S94" i="6"/>
  <c r="T94" i="6"/>
  <c r="U94" i="6"/>
  <c r="V94" i="6"/>
  <c r="W94" i="6"/>
  <c r="X94" i="6"/>
  <c r="Y94" i="6"/>
  <c r="Z94" i="6"/>
  <c r="AA94" i="6"/>
  <c r="R95" i="6"/>
  <c r="S95" i="6"/>
  <c r="T95" i="6"/>
  <c r="U95" i="6"/>
  <c r="V95" i="6"/>
  <c r="W95" i="6"/>
  <c r="X95" i="6"/>
  <c r="Y95" i="6"/>
  <c r="Z95" i="6"/>
  <c r="AA95" i="6"/>
  <c r="R96" i="6"/>
  <c r="S96" i="6"/>
  <c r="T96" i="6"/>
  <c r="U96" i="6"/>
  <c r="V96" i="6"/>
  <c r="W96" i="6"/>
  <c r="X96" i="6"/>
  <c r="Y96" i="6"/>
  <c r="Z96" i="6"/>
  <c r="AA96" i="6"/>
  <c r="R97" i="6"/>
  <c r="S97" i="6"/>
  <c r="T97" i="6"/>
  <c r="U97" i="6"/>
  <c r="V97" i="6"/>
  <c r="W97" i="6"/>
  <c r="X97" i="6"/>
  <c r="Y97" i="6"/>
  <c r="Z97" i="6"/>
  <c r="AA97" i="6"/>
  <c r="R98" i="6"/>
  <c r="S98" i="6"/>
  <c r="T98" i="6"/>
  <c r="U98" i="6"/>
  <c r="V98" i="6"/>
  <c r="W98" i="6"/>
  <c r="X98" i="6"/>
  <c r="Y98" i="6"/>
  <c r="Z98" i="6"/>
  <c r="AA98" i="6"/>
  <c r="R99" i="6"/>
  <c r="S99" i="6"/>
  <c r="T99" i="6"/>
  <c r="U99" i="6"/>
  <c r="V99" i="6"/>
  <c r="W99" i="6"/>
  <c r="X99" i="6"/>
  <c r="Y99" i="6"/>
  <c r="Z99" i="6"/>
  <c r="AA99" i="6"/>
  <c r="R100" i="6"/>
  <c r="S100" i="6"/>
  <c r="T100" i="6"/>
  <c r="U100" i="6"/>
  <c r="V100" i="6"/>
  <c r="W100" i="6"/>
  <c r="X100" i="6"/>
  <c r="Y100" i="6"/>
  <c r="Z100" i="6"/>
  <c r="AA100" i="6"/>
  <c r="R101" i="6"/>
  <c r="S101" i="6"/>
  <c r="T101" i="6"/>
  <c r="U101" i="6"/>
  <c r="V101" i="6"/>
  <c r="W101" i="6"/>
  <c r="X101" i="6"/>
  <c r="Y101" i="6"/>
  <c r="Z101" i="6"/>
  <c r="AA101" i="6"/>
  <c r="R102" i="6"/>
  <c r="S102" i="6"/>
  <c r="T102" i="6"/>
  <c r="U102" i="6"/>
  <c r="V102" i="6"/>
  <c r="W102" i="6"/>
  <c r="X102" i="6"/>
  <c r="Y102" i="6"/>
  <c r="Z102" i="6"/>
  <c r="AA102" i="6"/>
  <c r="R103" i="6"/>
  <c r="S103" i="6"/>
  <c r="T103" i="6"/>
  <c r="U103" i="6"/>
  <c r="V103" i="6"/>
  <c r="W103" i="6"/>
  <c r="X103" i="6"/>
  <c r="Y103" i="6"/>
  <c r="Z103" i="6"/>
  <c r="AA103" i="6"/>
  <c r="R104" i="6"/>
  <c r="S104" i="6"/>
  <c r="T104" i="6"/>
  <c r="U104" i="6"/>
  <c r="V104" i="6"/>
  <c r="W104" i="6"/>
  <c r="X104" i="6"/>
  <c r="Y104" i="6"/>
  <c r="Z104" i="6"/>
  <c r="AA104" i="6"/>
  <c r="R105" i="6"/>
  <c r="S105" i="6"/>
  <c r="T105" i="6"/>
  <c r="U105" i="6"/>
  <c r="V105" i="6"/>
  <c r="W105" i="6"/>
  <c r="X105" i="6"/>
  <c r="Y105" i="6"/>
  <c r="Z105" i="6"/>
  <c r="AA105" i="6"/>
  <c r="S6" i="6"/>
  <c r="T6" i="6"/>
  <c r="U6" i="6"/>
  <c r="V6" i="6"/>
  <c r="W6" i="6"/>
  <c r="X6" i="6"/>
  <c r="Y6" i="6"/>
  <c r="Z6" i="6"/>
  <c r="AA6" i="6"/>
  <c r="R6" i="6"/>
  <c r="N6" i="6"/>
  <c r="O6" i="6" s="1"/>
  <c r="N7" i="6"/>
  <c r="O7" i="6" s="1"/>
  <c r="N8" i="6"/>
  <c r="O8" i="6" s="1"/>
  <c r="N9" i="6"/>
  <c r="O9" i="6" s="1"/>
  <c r="N10" i="6"/>
  <c r="O10" i="6" s="1"/>
  <c r="N11" i="6"/>
  <c r="O11" i="6" s="1"/>
  <c r="N12" i="6"/>
  <c r="O12" i="6" s="1"/>
  <c r="N13" i="6"/>
  <c r="O13" i="6" s="1"/>
  <c r="N14" i="6"/>
  <c r="O14" i="6" s="1"/>
  <c r="N15" i="6"/>
  <c r="O15" i="6" s="1"/>
  <c r="N16" i="6"/>
  <c r="O16" i="6" s="1"/>
  <c r="N17" i="6"/>
  <c r="O17" i="6" s="1"/>
  <c r="N18" i="6"/>
  <c r="O18" i="6" s="1"/>
  <c r="N19" i="6"/>
  <c r="O19" i="6" s="1"/>
  <c r="N20" i="6"/>
  <c r="O20" i="6" s="1"/>
  <c r="N21" i="6"/>
  <c r="O21" i="6" s="1"/>
  <c r="N22" i="6"/>
  <c r="O22" i="6" s="1"/>
  <c r="N23" i="6"/>
  <c r="O23" i="6" s="1"/>
  <c r="N24" i="6"/>
  <c r="O24" i="6" s="1"/>
  <c r="N25" i="6"/>
  <c r="O25" i="6" s="1"/>
  <c r="N26" i="6"/>
  <c r="O26" i="6" s="1"/>
  <c r="N27" i="6"/>
  <c r="O27" i="6" s="1"/>
  <c r="N28" i="6"/>
  <c r="O28" i="6" s="1"/>
  <c r="N29" i="6"/>
  <c r="O29" i="6" s="1"/>
  <c r="N30" i="6"/>
  <c r="O30" i="6" s="1"/>
  <c r="N31" i="6"/>
  <c r="O31" i="6" s="1"/>
  <c r="N32" i="6"/>
  <c r="O32" i="6" s="1"/>
  <c r="N33" i="6"/>
  <c r="O33" i="6" s="1"/>
  <c r="N34" i="6"/>
  <c r="O34" i="6" s="1"/>
  <c r="N35" i="6"/>
  <c r="O35" i="6" s="1"/>
  <c r="N36" i="6"/>
  <c r="O36" i="6" s="1"/>
  <c r="N37" i="6"/>
  <c r="O37" i="6" s="1"/>
  <c r="N38" i="6"/>
  <c r="O38" i="6" s="1"/>
  <c r="N39" i="6"/>
  <c r="O39" i="6" s="1"/>
  <c r="N40" i="6"/>
  <c r="O40" i="6" s="1"/>
  <c r="N41" i="6"/>
  <c r="O41" i="6" s="1"/>
  <c r="N42" i="6"/>
  <c r="O42" i="6" s="1"/>
  <c r="N43" i="6"/>
  <c r="O43" i="6" s="1"/>
  <c r="N44" i="6"/>
  <c r="O44" i="6" s="1"/>
  <c r="N45" i="6"/>
  <c r="O45" i="6" s="1"/>
  <c r="N46" i="6"/>
  <c r="O46" i="6" s="1"/>
  <c r="N47" i="6"/>
  <c r="O47" i="6" s="1"/>
  <c r="N48" i="6"/>
  <c r="O48" i="6" s="1"/>
  <c r="N49" i="6"/>
  <c r="O49" i="6" s="1"/>
  <c r="N50" i="6"/>
  <c r="O50" i="6" s="1"/>
  <c r="N51" i="6"/>
  <c r="O51" i="6" s="1"/>
  <c r="N52" i="6"/>
  <c r="O52" i="6" s="1"/>
  <c r="N53" i="6"/>
  <c r="O53" i="6" s="1"/>
  <c r="N54" i="6"/>
  <c r="O54" i="6" s="1"/>
  <c r="N55" i="6"/>
  <c r="O55" i="6" s="1"/>
  <c r="N56" i="6"/>
  <c r="O56" i="6" s="1"/>
  <c r="N57" i="6"/>
  <c r="O57" i="6" s="1"/>
  <c r="N58" i="6"/>
  <c r="O58" i="6" s="1"/>
  <c r="N59" i="6"/>
  <c r="O59" i="6" s="1"/>
  <c r="N60" i="6"/>
  <c r="O60" i="6" s="1"/>
  <c r="N61" i="6"/>
  <c r="O61" i="6" s="1"/>
  <c r="N62" i="6"/>
  <c r="O62" i="6" s="1"/>
  <c r="N63" i="6"/>
  <c r="O63" i="6" s="1"/>
  <c r="N64" i="6"/>
  <c r="O64" i="6" s="1"/>
  <c r="N65" i="6"/>
  <c r="O65" i="6" s="1"/>
  <c r="N66" i="6"/>
  <c r="O66" i="6" s="1"/>
  <c r="N67" i="6"/>
  <c r="O67" i="6" s="1"/>
  <c r="N68" i="6"/>
  <c r="O68" i="6" s="1"/>
  <c r="N69" i="6"/>
  <c r="O69" i="6" s="1"/>
  <c r="N70" i="6"/>
  <c r="O70" i="6" s="1"/>
  <c r="N71" i="6"/>
  <c r="O71" i="6" s="1"/>
  <c r="N72" i="6"/>
  <c r="O72" i="6" s="1"/>
  <c r="N73" i="6"/>
  <c r="O73" i="6" s="1"/>
  <c r="N74" i="6"/>
  <c r="O74" i="6" s="1"/>
  <c r="N75" i="6"/>
  <c r="O75" i="6" s="1"/>
  <c r="N76" i="6"/>
  <c r="O76" i="6" s="1"/>
  <c r="N77" i="6"/>
  <c r="O77" i="6" s="1"/>
  <c r="N78" i="6"/>
  <c r="O78" i="6" s="1"/>
  <c r="N79" i="6"/>
  <c r="O79" i="6" s="1"/>
  <c r="N80" i="6"/>
  <c r="O80" i="6" s="1"/>
  <c r="N81" i="6"/>
  <c r="O81" i="6" s="1"/>
  <c r="N82" i="6"/>
  <c r="O82" i="6" s="1"/>
  <c r="N83" i="6"/>
  <c r="O83" i="6" s="1"/>
  <c r="N84" i="6"/>
  <c r="O84" i="6" s="1"/>
  <c r="N85" i="6"/>
  <c r="O85" i="6" s="1"/>
  <c r="N86" i="6"/>
  <c r="O86" i="6" s="1"/>
  <c r="N87" i="6"/>
  <c r="O87" i="6" s="1"/>
  <c r="N88" i="6"/>
  <c r="O88" i="6" s="1"/>
  <c r="N89" i="6"/>
  <c r="O89" i="6" s="1"/>
  <c r="N90" i="6"/>
  <c r="O90" i="6" s="1"/>
  <c r="N91" i="6"/>
  <c r="O91" i="6" s="1"/>
  <c r="N92" i="6"/>
  <c r="O92" i="6" s="1"/>
  <c r="N93" i="6"/>
  <c r="O93" i="6" s="1"/>
  <c r="N94" i="6"/>
  <c r="O94" i="6" s="1"/>
  <c r="N95" i="6"/>
  <c r="O95" i="6" s="1"/>
  <c r="N96" i="6"/>
  <c r="O96" i="6" s="1"/>
  <c r="N97" i="6"/>
  <c r="O97" i="6" s="1"/>
  <c r="N98" i="6"/>
  <c r="O98" i="6" s="1"/>
  <c r="N99" i="6"/>
  <c r="O99" i="6" s="1"/>
  <c r="N100" i="6"/>
  <c r="O100" i="6" s="1"/>
  <c r="N101" i="6"/>
  <c r="O101" i="6" s="1"/>
  <c r="N102" i="6"/>
  <c r="O102" i="6" s="1"/>
  <c r="N103" i="6"/>
  <c r="O103" i="6" s="1"/>
  <c r="N104" i="6"/>
  <c r="O104" i="6" s="1"/>
  <c r="R7" i="1"/>
  <c r="S7" i="1"/>
  <c r="T7" i="1"/>
  <c r="U7" i="1"/>
  <c r="V7" i="1"/>
  <c r="W7" i="1"/>
  <c r="X7" i="1"/>
  <c r="Y7" i="1"/>
  <c r="Z7" i="1"/>
  <c r="AA7" i="1"/>
  <c r="R8" i="1"/>
  <c r="S8" i="1"/>
  <c r="T8" i="1"/>
  <c r="U8" i="1"/>
  <c r="V8" i="1"/>
  <c r="W8" i="1"/>
  <c r="W6"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X8" i="1"/>
  <c r="Y8" i="1"/>
  <c r="Z8" i="1"/>
  <c r="AA8" i="1"/>
  <c r="R9" i="1"/>
  <c r="S9" i="1"/>
  <c r="T9" i="1"/>
  <c r="U9" i="1"/>
  <c r="U6"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V9" i="1"/>
  <c r="X9" i="1"/>
  <c r="Y9" i="1"/>
  <c r="Z9" i="1"/>
  <c r="AA9" i="1"/>
  <c r="R10" i="1"/>
  <c r="S10" i="1"/>
  <c r="T10" i="1"/>
  <c r="V10" i="1"/>
  <c r="X10" i="1"/>
  <c r="Y10" i="1"/>
  <c r="Z10" i="1"/>
  <c r="AA10" i="1"/>
  <c r="R11" i="1"/>
  <c r="S11" i="1"/>
  <c r="T11" i="1"/>
  <c r="V11" i="1"/>
  <c r="X11" i="1"/>
  <c r="Y11" i="1"/>
  <c r="Z11" i="1"/>
  <c r="AA11" i="1"/>
  <c r="R12" i="1"/>
  <c r="S12" i="1"/>
  <c r="T12" i="1"/>
  <c r="V12" i="1"/>
  <c r="X12" i="1"/>
  <c r="Y12" i="1"/>
  <c r="Z12" i="1"/>
  <c r="AA12" i="1"/>
  <c r="R13" i="1"/>
  <c r="S13" i="1"/>
  <c r="T13" i="1"/>
  <c r="V13" i="1"/>
  <c r="X13" i="1"/>
  <c r="Y13" i="1"/>
  <c r="Z13" i="1"/>
  <c r="AA13" i="1"/>
  <c r="R14" i="1"/>
  <c r="S14" i="1"/>
  <c r="T14" i="1"/>
  <c r="V14" i="1"/>
  <c r="X14" i="1"/>
  <c r="Y14" i="1"/>
  <c r="Z14" i="1"/>
  <c r="AA14" i="1"/>
  <c r="R15" i="1"/>
  <c r="S15" i="1"/>
  <c r="T15" i="1"/>
  <c r="V15" i="1"/>
  <c r="X15" i="1"/>
  <c r="Y15" i="1"/>
  <c r="Z15" i="1"/>
  <c r="AA15" i="1"/>
  <c r="R16" i="1"/>
  <c r="S16" i="1"/>
  <c r="T16" i="1"/>
  <c r="V16" i="1"/>
  <c r="X16" i="1"/>
  <c r="Y16" i="1"/>
  <c r="Z16" i="1"/>
  <c r="AA16" i="1"/>
  <c r="R17" i="1"/>
  <c r="S17" i="1"/>
  <c r="T17" i="1"/>
  <c r="V17" i="1"/>
  <c r="X17" i="1"/>
  <c r="Y17" i="1"/>
  <c r="Z17" i="1"/>
  <c r="AA17" i="1"/>
  <c r="R18" i="1"/>
  <c r="S18" i="1"/>
  <c r="T18" i="1"/>
  <c r="V18" i="1"/>
  <c r="X18" i="1"/>
  <c r="Y18" i="1"/>
  <c r="Z18" i="1"/>
  <c r="AA18" i="1"/>
  <c r="R19" i="1"/>
  <c r="S19" i="1"/>
  <c r="T19" i="1"/>
  <c r="V19" i="1"/>
  <c r="X19" i="1"/>
  <c r="Y19" i="1"/>
  <c r="Z19" i="1"/>
  <c r="AA19" i="1"/>
  <c r="R20" i="1"/>
  <c r="S20" i="1"/>
  <c r="T20" i="1"/>
  <c r="V20" i="1"/>
  <c r="X20" i="1"/>
  <c r="Y20" i="1"/>
  <c r="Z20" i="1"/>
  <c r="AA20" i="1"/>
  <c r="R21" i="1"/>
  <c r="S21" i="1"/>
  <c r="T21" i="1"/>
  <c r="V21" i="1"/>
  <c r="X21" i="1"/>
  <c r="Y21" i="1"/>
  <c r="Z21" i="1"/>
  <c r="AA21" i="1"/>
  <c r="R22" i="1"/>
  <c r="S22" i="1"/>
  <c r="T22" i="1"/>
  <c r="V22" i="1"/>
  <c r="X22" i="1"/>
  <c r="Y22" i="1"/>
  <c r="Z22" i="1"/>
  <c r="AA22" i="1"/>
  <c r="R23" i="1"/>
  <c r="S23" i="1"/>
  <c r="T23" i="1"/>
  <c r="V23" i="1"/>
  <c r="X23" i="1"/>
  <c r="Y23" i="1"/>
  <c r="Z23" i="1"/>
  <c r="AA23" i="1"/>
  <c r="R24" i="1"/>
  <c r="S24" i="1"/>
  <c r="T24" i="1"/>
  <c r="V24" i="1"/>
  <c r="X24" i="1"/>
  <c r="Y24" i="1"/>
  <c r="Z24" i="1"/>
  <c r="AA24" i="1"/>
  <c r="R25" i="1"/>
  <c r="S25" i="1"/>
  <c r="T25" i="1"/>
  <c r="V25" i="1"/>
  <c r="X25" i="1"/>
  <c r="Y25" i="1"/>
  <c r="Z25" i="1"/>
  <c r="AA25" i="1"/>
  <c r="R26" i="1"/>
  <c r="S26" i="1"/>
  <c r="T26" i="1"/>
  <c r="V26" i="1"/>
  <c r="X26" i="1"/>
  <c r="Y26" i="1"/>
  <c r="Z26" i="1"/>
  <c r="AA26" i="1"/>
  <c r="R27" i="1"/>
  <c r="S27" i="1"/>
  <c r="T27" i="1"/>
  <c r="V27" i="1"/>
  <c r="X27" i="1"/>
  <c r="Y27" i="1"/>
  <c r="Z27" i="1"/>
  <c r="AA27" i="1"/>
  <c r="R28" i="1"/>
  <c r="S28" i="1"/>
  <c r="T28" i="1"/>
  <c r="V28" i="1"/>
  <c r="X28" i="1"/>
  <c r="Y28" i="1"/>
  <c r="Z28" i="1"/>
  <c r="AA28" i="1"/>
  <c r="R29" i="1"/>
  <c r="S29" i="1"/>
  <c r="T29" i="1"/>
  <c r="V29" i="1"/>
  <c r="X29" i="1"/>
  <c r="Y29" i="1"/>
  <c r="Z29" i="1"/>
  <c r="AA29" i="1"/>
  <c r="R30" i="1"/>
  <c r="S30" i="1"/>
  <c r="T30" i="1"/>
  <c r="V30" i="1"/>
  <c r="X30" i="1"/>
  <c r="Y30" i="1"/>
  <c r="Z30" i="1"/>
  <c r="AA30" i="1"/>
  <c r="R31" i="1"/>
  <c r="S31" i="1"/>
  <c r="T31" i="1"/>
  <c r="V31" i="1"/>
  <c r="X31" i="1"/>
  <c r="Y31" i="1"/>
  <c r="Z31" i="1"/>
  <c r="AA31" i="1"/>
  <c r="R32" i="1"/>
  <c r="S32" i="1"/>
  <c r="T32" i="1"/>
  <c r="V32" i="1"/>
  <c r="X32" i="1"/>
  <c r="Y32" i="1"/>
  <c r="Z32" i="1"/>
  <c r="AA32" i="1"/>
  <c r="R33" i="1"/>
  <c r="S33" i="1"/>
  <c r="T33" i="1"/>
  <c r="V33" i="1"/>
  <c r="X33" i="1"/>
  <c r="Y33" i="1"/>
  <c r="Z33" i="1"/>
  <c r="AA33" i="1"/>
  <c r="R34" i="1"/>
  <c r="S34" i="1"/>
  <c r="T34" i="1"/>
  <c r="V34" i="1"/>
  <c r="X34" i="1"/>
  <c r="Y34" i="1"/>
  <c r="Z34" i="1"/>
  <c r="AA34" i="1"/>
  <c r="R35" i="1"/>
  <c r="S35" i="1"/>
  <c r="T35" i="1"/>
  <c r="V35" i="1"/>
  <c r="X35" i="1"/>
  <c r="Y35" i="1"/>
  <c r="Z35" i="1"/>
  <c r="AA35" i="1"/>
  <c r="R36" i="1"/>
  <c r="S36" i="1"/>
  <c r="T36" i="1"/>
  <c r="V36" i="1"/>
  <c r="X36" i="1"/>
  <c r="Y36" i="1"/>
  <c r="Z36" i="1"/>
  <c r="AA36" i="1"/>
  <c r="R37" i="1"/>
  <c r="S37" i="1"/>
  <c r="T37" i="1"/>
  <c r="V37" i="1"/>
  <c r="X37" i="1"/>
  <c r="Y37" i="1"/>
  <c r="Z37" i="1"/>
  <c r="AA37" i="1"/>
  <c r="R38" i="1"/>
  <c r="S38" i="1"/>
  <c r="T38" i="1"/>
  <c r="V38" i="1"/>
  <c r="X38" i="1"/>
  <c r="Y38" i="1"/>
  <c r="Z38" i="1"/>
  <c r="AA38" i="1"/>
  <c r="R39" i="1"/>
  <c r="S39" i="1"/>
  <c r="T39" i="1"/>
  <c r="V39" i="1"/>
  <c r="X39" i="1"/>
  <c r="Y39" i="1"/>
  <c r="Z39" i="1"/>
  <c r="AA39" i="1"/>
  <c r="R40" i="1"/>
  <c r="S40" i="1"/>
  <c r="T40" i="1"/>
  <c r="V40" i="1"/>
  <c r="X40" i="1"/>
  <c r="Y40" i="1"/>
  <c r="Z40" i="1"/>
  <c r="AA40" i="1"/>
  <c r="R41" i="1"/>
  <c r="S41" i="1"/>
  <c r="T41" i="1"/>
  <c r="V41" i="1"/>
  <c r="X41" i="1"/>
  <c r="Y41" i="1"/>
  <c r="Z41" i="1"/>
  <c r="AA41" i="1"/>
  <c r="R42" i="1"/>
  <c r="S42" i="1"/>
  <c r="T42" i="1"/>
  <c r="V42" i="1"/>
  <c r="X42" i="1"/>
  <c r="Y42" i="1"/>
  <c r="Z42" i="1"/>
  <c r="AA42" i="1"/>
  <c r="R43" i="1"/>
  <c r="S43" i="1"/>
  <c r="T43" i="1"/>
  <c r="V43" i="1"/>
  <c r="X43" i="1"/>
  <c r="Y43" i="1"/>
  <c r="Z43" i="1"/>
  <c r="AA43" i="1"/>
  <c r="R44" i="1"/>
  <c r="S44" i="1"/>
  <c r="T44" i="1"/>
  <c r="V44" i="1"/>
  <c r="X44" i="1"/>
  <c r="Y44" i="1"/>
  <c r="Z44" i="1"/>
  <c r="AA44" i="1"/>
  <c r="R45" i="1"/>
  <c r="S45" i="1"/>
  <c r="T45" i="1"/>
  <c r="V45" i="1"/>
  <c r="X45" i="1"/>
  <c r="Y45" i="1"/>
  <c r="Z45" i="1"/>
  <c r="AA45" i="1"/>
  <c r="R46" i="1"/>
  <c r="S46" i="1"/>
  <c r="T46" i="1"/>
  <c r="V46" i="1"/>
  <c r="X46" i="1"/>
  <c r="Y46" i="1"/>
  <c r="Z46" i="1"/>
  <c r="AA46" i="1"/>
  <c r="R47" i="1"/>
  <c r="S47" i="1"/>
  <c r="T47" i="1"/>
  <c r="V47" i="1"/>
  <c r="X47" i="1"/>
  <c r="Y47" i="1"/>
  <c r="Z47" i="1"/>
  <c r="AA47" i="1"/>
  <c r="R48" i="1"/>
  <c r="S48" i="1"/>
  <c r="T48" i="1"/>
  <c r="V48" i="1"/>
  <c r="X48" i="1"/>
  <c r="Y48" i="1"/>
  <c r="Z48" i="1"/>
  <c r="AA48" i="1"/>
  <c r="R49" i="1"/>
  <c r="S49" i="1"/>
  <c r="T49" i="1"/>
  <c r="V49" i="1"/>
  <c r="X49" i="1"/>
  <c r="Y49" i="1"/>
  <c r="Z49" i="1"/>
  <c r="AA49" i="1"/>
  <c r="R50" i="1"/>
  <c r="S50" i="1"/>
  <c r="T50" i="1"/>
  <c r="V50" i="1"/>
  <c r="X50" i="1"/>
  <c r="Y50" i="1"/>
  <c r="Z50" i="1"/>
  <c r="AA50" i="1"/>
  <c r="R51" i="1"/>
  <c r="S51" i="1"/>
  <c r="T51" i="1"/>
  <c r="V51" i="1"/>
  <c r="X51" i="1"/>
  <c r="Y51" i="1"/>
  <c r="Z51" i="1"/>
  <c r="AA51" i="1"/>
  <c r="R52" i="1"/>
  <c r="S52" i="1"/>
  <c r="T52" i="1"/>
  <c r="V52" i="1"/>
  <c r="X52" i="1"/>
  <c r="Y52" i="1"/>
  <c r="Z52" i="1"/>
  <c r="AA52" i="1"/>
  <c r="R53" i="1"/>
  <c r="S53" i="1"/>
  <c r="T53" i="1"/>
  <c r="V53" i="1"/>
  <c r="X53" i="1"/>
  <c r="Y53" i="1"/>
  <c r="Z53" i="1"/>
  <c r="AA53" i="1"/>
  <c r="R54" i="1"/>
  <c r="S54" i="1"/>
  <c r="T54" i="1"/>
  <c r="V54" i="1"/>
  <c r="X54" i="1"/>
  <c r="Y54" i="1"/>
  <c r="Z54" i="1"/>
  <c r="AA54" i="1"/>
  <c r="R55" i="1"/>
  <c r="S55" i="1"/>
  <c r="T55" i="1"/>
  <c r="V55" i="1"/>
  <c r="X55" i="1"/>
  <c r="Y55" i="1"/>
  <c r="Z55" i="1"/>
  <c r="AA55" i="1"/>
  <c r="R56" i="1"/>
  <c r="S56" i="1"/>
  <c r="T56" i="1"/>
  <c r="V56" i="1"/>
  <c r="X56" i="1"/>
  <c r="Y56" i="1"/>
  <c r="Z56" i="1"/>
  <c r="AA56" i="1"/>
  <c r="R57" i="1"/>
  <c r="S57" i="1"/>
  <c r="T57" i="1"/>
  <c r="V57" i="1"/>
  <c r="X57" i="1"/>
  <c r="Y57" i="1"/>
  <c r="Z57" i="1"/>
  <c r="AA57" i="1"/>
  <c r="R58" i="1"/>
  <c r="S58" i="1"/>
  <c r="T58" i="1"/>
  <c r="V58" i="1"/>
  <c r="X58" i="1"/>
  <c r="Y58" i="1"/>
  <c r="Z58" i="1"/>
  <c r="AA58" i="1"/>
  <c r="R59" i="1"/>
  <c r="S59" i="1"/>
  <c r="T59" i="1"/>
  <c r="V59" i="1"/>
  <c r="X59" i="1"/>
  <c r="Y59" i="1"/>
  <c r="Z59" i="1"/>
  <c r="AA59" i="1"/>
  <c r="R60" i="1"/>
  <c r="S60" i="1"/>
  <c r="T60" i="1"/>
  <c r="V60" i="1"/>
  <c r="X60" i="1"/>
  <c r="Y60" i="1"/>
  <c r="Z60" i="1"/>
  <c r="AA60" i="1"/>
  <c r="R61" i="1"/>
  <c r="S61" i="1"/>
  <c r="T61" i="1"/>
  <c r="V61" i="1"/>
  <c r="X61" i="1"/>
  <c r="Y61" i="1"/>
  <c r="Z61" i="1"/>
  <c r="AA61" i="1"/>
  <c r="R62" i="1"/>
  <c r="S62" i="1"/>
  <c r="T62" i="1"/>
  <c r="V62" i="1"/>
  <c r="X62" i="1"/>
  <c r="Y62" i="1"/>
  <c r="Z62" i="1"/>
  <c r="AA62" i="1"/>
  <c r="R63" i="1"/>
  <c r="S63" i="1"/>
  <c r="T63" i="1"/>
  <c r="V63" i="1"/>
  <c r="X63" i="1"/>
  <c r="Y63" i="1"/>
  <c r="Z63" i="1"/>
  <c r="AA63" i="1"/>
  <c r="R64" i="1"/>
  <c r="S64" i="1"/>
  <c r="T64" i="1"/>
  <c r="V64" i="1"/>
  <c r="X64" i="1"/>
  <c r="Y64" i="1"/>
  <c r="Z64" i="1"/>
  <c r="AA64" i="1"/>
  <c r="R65" i="1"/>
  <c r="S65" i="1"/>
  <c r="T65" i="1"/>
  <c r="V65" i="1"/>
  <c r="X65" i="1"/>
  <c r="Y65" i="1"/>
  <c r="Z65" i="1"/>
  <c r="AA65" i="1"/>
  <c r="R66" i="1"/>
  <c r="S66" i="1"/>
  <c r="T66" i="1"/>
  <c r="V66" i="1"/>
  <c r="X66" i="1"/>
  <c r="Y66" i="1"/>
  <c r="Z66" i="1"/>
  <c r="AA66" i="1"/>
  <c r="R67" i="1"/>
  <c r="S67" i="1"/>
  <c r="T67" i="1"/>
  <c r="V67" i="1"/>
  <c r="X67" i="1"/>
  <c r="Y67" i="1"/>
  <c r="Z67" i="1"/>
  <c r="AA67" i="1"/>
  <c r="R68" i="1"/>
  <c r="S68" i="1"/>
  <c r="T68" i="1"/>
  <c r="V68" i="1"/>
  <c r="X68" i="1"/>
  <c r="Y68" i="1"/>
  <c r="Z68" i="1"/>
  <c r="AA68" i="1"/>
  <c r="R69" i="1"/>
  <c r="S69" i="1"/>
  <c r="T69" i="1"/>
  <c r="V69" i="1"/>
  <c r="X69" i="1"/>
  <c r="Y69" i="1"/>
  <c r="Z69" i="1"/>
  <c r="AA69" i="1"/>
  <c r="R70" i="1"/>
  <c r="S70" i="1"/>
  <c r="T70" i="1"/>
  <c r="V70" i="1"/>
  <c r="X70" i="1"/>
  <c r="Y70" i="1"/>
  <c r="Z70" i="1"/>
  <c r="AA70" i="1"/>
  <c r="R71" i="1"/>
  <c r="S71" i="1"/>
  <c r="T71" i="1"/>
  <c r="V71" i="1"/>
  <c r="X71" i="1"/>
  <c r="Y71" i="1"/>
  <c r="Z71" i="1"/>
  <c r="AA71" i="1"/>
  <c r="R72" i="1"/>
  <c r="S72" i="1"/>
  <c r="T72" i="1"/>
  <c r="V72" i="1"/>
  <c r="X72" i="1"/>
  <c r="Y72" i="1"/>
  <c r="Z72" i="1"/>
  <c r="AA72" i="1"/>
  <c r="R73" i="1"/>
  <c r="S73" i="1"/>
  <c r="T73" i="1"/>
  <c r="V73" i="1"/>
  <c r="X73" i="1"/>
  <c r="Y73" i="1"/>
  <c r="Z73" i="1"/>
  <c r="AA73" i="1"/>
  <c r="R74" i="1"/>
  <c r="S74" i="1"/>
  <c r="T74" i="1"/>
  <c r="V74" i="1"/>
  <c r="X74" i="1"/>
  <c r="Y74" i="1"/>
  <c r="Z74" i="1"/>
  <c r="AA74" i="1"/>
  <c r="R75" i="1"/>
  <c r="S75" i="1"/>
  <c r="T75" i="1"/>
  <c r="V75" i="1"/>
  <c r="X75" i="1"/>
  <c r="Y75" i="1"/>
  <c r="Z75" i="1"/>
  <c r="AA75" i="1"/>
  <c r="R76" i="1"/>
  <c r="S76" i="1"/>
  <c r="T76" i="1"/>
  <c r="V76" i="1"/>
  <c r="X76" i="1"/>
  <c r="Y76" i="1"/>
  <c r="Z76" i="1"/>
  <c r="AA76" i="1"/>
  <c r="R77" i="1"/>
  <c r="S77" i="1"/>
  <c r="T77" i="1"/>
  <c r="V77" i="1"/>
  <c r="X77" i="1"/>
  <c r="Y77" i="1"/>
  <c r="Z77" i="1"/>
  <c r="AA77" i="1"/>
  <c r="R78" i="1"/>
  <c r="S78" i="1"/>
  <c r="T78" i="1"/>
  <c r="V78" i="1"/>
  <c r="X78" i="1"/>
  <c r="Y78" i="1"/>
  <c r="Z78" i="1"/>
  <c r="AA78" i="1"/>
  <c r="R79" i="1"/>
  <c r="S79" i="1"/>
  <c r="T79" i="1"/>
  <c r="V79" i="1"/>
  <c r="X79" i="1"/>
  <c r="Y79" i="1"/>
  <c r="Z79" i="1"/>
  <c r="AA79" i="1"/>
  <c r="R80" i="1"/>
  <c r="S80" i="1"/>
  <c r="T80" i="1"/>
  <c r="V80" i="1"/>
  <c r="X80" i="1"/>
  <c r="Y80" i="1"/>
  <c r="Z80" i="1"/>
  <c r="AA80" i="1"/>
  <c r="R81" i="1"/>
  <c r="S81" i="1"/>
  <c r="T81" i="1"/>
  <c r="V81" i="1"/>
  <c r="X81" i="1"/>
  <c r="Y81" i="1"/>
  <c r="Z81" i="1"/>
  <c r="AA81" i="1"/>
  <c r="R82" i="1"/>
  <c r="S82" i="1"/>
  <c r="T82" i="1"/>
  <c r="V82" i="1"/>
  <c r="X82" i="1"/>
  <c r="Y82" i="1"/>
  <c r="Z82" i="1"/>
  <c r="AA82" i="1"/>
  <c r="R83" i="1"/>
  <c r="S83" i="1"/>
  <c r="T83" i="1"/>
  <c r="V83" i="1"/>
  <c r="X83" i="1"/>
  <c r="Y83" i="1"/>
  <c r="Z83" i="1"/>
  <c r="AA83" i="1"/>
  <c r="R84" i="1"/>
  <c r="S84" i="1"/>
  <c r="T84" i="1"/>
  <c r="V84" i="1"/>
  <c r="X84" i="1"/>
  <c r="Y84" i="1"/>
  <c r="Z84" i="1"/>
  <c r="AA84" i="1"/>
  <c r="R85" i="1"/>
  <c r="S85" i="1"/>
  <c r="T85" i="1"/>
  <c r="V85" i="1"/>
  <c r="X85" i="1"/>
  <c r="Y85" i="1"/>
  <c r="Z85" i="1"/>
  <c r="AA85" i="1"/>
  <c r="R86" i="1"/>
  <c r="S86" i="1"/>
  <c r="T86" i="1"/>
  <c r="V86" i="1"/>
  <c r="X86" i="1"/>
  <c r="Y86" i="1"/>
  <c r="Z86" i="1"/>
  <c r="AA86" i="1"/>
  <c r="R87" i="1"/>
  <c r="S87" i="1"/>
  <c r="T87" i="1"/>
  <c r="V87" i="1"/>
  <c r="X87" i="1"/>
  <c r="Y87" i="1"/>
  <c r="Z87" i="1"/>
  <c r="AA87" i="1"/>
  <c r="R88" i="1"/>
  <c r="S88" i="1"/>
  <c r="T88" i="1"/>
  <c r="V88" i="1"/>
  <c r="X88" i="1"/>
  <c r="Y88" i="1"/>
  <c r="Z88" i="1"/>
  <c r="AA88" i="1"/>
  <c r="R89" i="1"/>
  <c r="S89" i="1"/>
  <c r="T89" i="1"/>
  <c r="V89" i="1"/>
  <c r="X89" i="1"/>
  <c r="Y89" i="1"/>
  <c r="Z89" i="1"/>
  <c r="AA89" i="1"/>
  <c r="R90" i="1"/>
  <c r="S90" i="1"/>
  <c r="T90" i="1"/>
  <c r="V90" i="1"/>
  <c r="X90" i="1"/>
  <c r="Y90" i="1"/>
  <c r="Z90" i="1"/>
  <c r="AA90" i="1"/>
  <c r="R91" i="1"/>
  <c r="S91" i="1"/>
  <c r="T91" i="1"/>
  <c r="V91" i="1"/>
  <c r="X91" i="1"/>
  <c r="Y91" i="1"/>
  <c r="Z91" i="1"/>
  <c r="AA91" i="1"/>
  <c r="R92" i="1"/>
  <c r="S92" i="1"/>
  <c r="T92" i="1"/>
  <c r="V92" i="1"/>
  <c r="X92" i="1"/>
  <c r="Y92" i="1"/>
  <c r="Z92" i="1"/>
  <c r="AA92" i="1"/>
  <c r="R93" i="1"/>
  <c r="S93" i="1"/>
  <c r="T93" i="1"/>
  <c r="V93" i="1"/>
  <c r="X93" i="1"/>
  <c r="Y93" i="1"/>
  <c r="Z93" i="1"/>
  <c r="AA93" i="1"/>
  <c r="R94" i="1"/>
  <c r="S94" i="1"/>
  <c r="T94" i="1"/>
  <c r="V94" i="1"/>
  <c r="X94" i="1"/>
  <c r="Y94" i="1"/>
  <c r="Z94" i="1"/>
  <c r="AA94" i="1"/>
  <c r="R95" i="1"/>
  <c r="S95" i="1"/>
  <c r="T95" i="1"/>
  <c r="V95" i="1"/>
  <c r="X95" i="1"/>
  <c r="Y95" i="1"/>
  <c r="Z95" i="1"/>
  <c r="AA95" i="1"/>
  <c r="R96" i="1"/>
  <c r="S96" i="1"/>
  <c r="T96" i="1"/>
  <c r="V96" i="1"/>
  <c r="X96" i="1"/>
  <c r="Y96" i="1"/>
  <c r="Z96" i="1"/>
  <c r="AA96" i="1"/>
  <c r="R97" i="1"/>
  <c r="S97" i="1"/>
  <c r="T97" i="1"/>
  <c r="V97" i="1"/>
  <c r="X97" i="1"/>
  <c r="Y97" i="1"/>
  <c r="Z97" i="1"/>
  <c r="AA97" i="1"/>
  <c r="R98" i="1"/>
  <c r="S98" i="1"/>
  <c r="T98" i="1"/>
  <c r="V98" i="1"/>
  <c r="X98" i="1"/>
  <c r="Y98" i="1"/>
  <c r="Z98" i="1"/>
  <c r="AA98" i="1"/>
  <c r="R99" i="1"/>
  <c r="S99" i="1"/>
  <c r="T99" i="1"/>
  <c r="V99" i="1"/>
  <c r="X99" i="1"/>
  <c r="Y99" i="1"/>
  <c r="Z99" i="1"/>
  <c r="AA99" i="1"/>
  <c r="R100" i="1"/>
  <c r="S100" i="1"/>
  <c r="T100" i="1"/>
  <c r="V100" i="1"/>
  <c r="X100" i="1"/>
  <c r="Y100" i="1"/>
  <c r="Z100" i="1"/>
  <c r="AA100" i="1"/>
  <c r="R101" i="1"/>
  <c r="S101" i="1"/>
  <c r="T101" i="1"/>
  <c r="V101" i="1"/>
  <c r="X101" i="1"/>
  <c r="Y101" i="1"/>
  <c r="Z101" i="1"/>
  <c r="AA101" i="1"/>
  <c r="R102" i="1"/>
  <c r="S102" i="1"/>
  <c r="T102" i="1"/>
  <c r="V102" i="1"/>
  <c r="X102" i="1"/>
  <c r="Y102" i="1"/>
  <c r="Z102" i="1"/>
  <c r="AA102" i="1"/>
  <c r="R103" i="1"/>
  <c r="S103" i="1"/>
  <c r="T103" i="1"/>
  <c r="V103" i="1"/>
  <c r="X103" i="1"/>
  <c r="Y103" i="1"/>
  <c r="Z103" i="1"/>
  <c r="AA103" i="1"/>
  <c r="R104" i="1"/>
  <c r="S104" i="1"/>
  <c r="T104" i="1"/>
  <c r="V104" i="1"/>
  <c r="X104" i="1"/>
  <c r="Y104" i="1"/>
  <c r="Z104" i="1"/>
  <c r="AA104" i="1"/>
  <c r="R105" i="1"/>
  <c r="S105" i="1"/>
  <c r="T105" i="1"/>
  <c r="V105" i="1"/>
  <c r="X105" i="1"/>
  <c r="Y105" i="1"/>
  <c r="Z105" i="1"/>
  <c r="AA105" i="1"/>
  <c r="S6" i="1"/>
  <c r="T6" i="1"/>
  <c r="V6" i="1"/>
  <c r="X6" i="1"/>
  <c r="Y6" i="1"/>
  <c r="Z6" i="1"/>
  <c r="AA6" i="1"/>
  <c r="R6" i="1"/>
  <c r="N104" i="1"/>
  <c r="O104" i="1" s="1"/>
  <c r="N6" i="1"/>
  <c r="O6" i="1" s="1"/>
  <c r="N7" i="1"/>
  <c r="O7" i="1" s="1"/>
  <c r="N8" i="1"/>
  <c r="O8" i="1" s="1"/>
  <c r="N9" i="1"/>
  <c r="O9" i="1" s="1"/>
  <c r="N10" i="1"/>
  <c r="O10" i="1" s="1"/>
  <c r="N11" i="1"/>
  <c r="O11" i="1" s="1"/>
  <c r="N12" i="1"/>
  <c r="O12" i="1" s="1"/>
  <c r="N13" i="1"/>
  <c r="O13" i="1" s="1"/>
  <c r="N14" i="1"/>
  <c r="O14" i="1" s="1"/>
  <c r="N15" i="1"/>
  <c r="O15" i="1" s="1"/>
  <c r="N16" i="1"/>
  <c r="O16" i="1" s="1"/>
  <c r="N17" i="1"/>
  <c r="O17" i="1" s="1"/>
  <c r="N18" i="1"/>
  <c r="O18" i="1" s="1"/>
  <c r="N19" i="1"/>
  <c r="O19" i="1" s="1"/>
  <c r="N20" i="1"/>
  <c r="O20" i="1" s="1"/>
  <c r="N21" i="1"/>
  <c r="O21" i="1" s="1"/>
  <c r="N22" i="1"/>
  <c r="O22" i="1" s="1"/>
  <c r="N23" i="1"/>
  <c r="O23" i="1" s="1"/>
  <c r="N24" i="1"/>
  <c r="O24" i="1" s="1"/>
  <c r="N25" i="1"/>
  <c r="O25" i="1" s="1"/>
  <c r="N26" i="1"/>
  <c r="O26" i="1" s="1"/>
  <c r="N27" i="1"/>
  <c r="O27" i="1" s="1"/>
  <c r="N28" i="1"/>
  <c r="O28" i="1" s="1"/>
  <c r="N29" i="1"/>
  <c r="O29" i="1" s="1"/>
  <c r="N30" i="1"/>
  <c r="O30" i="1" s="1"/>
  <c r="N31" i="1"/>
  <c r="O31" i="1" s="1"/>
  <c r="N32" i="1"/>
  <c r="O32" i="1" s="1"/>
  <c r="N33" i="1"/>
  <c r="O33" i="1" s="1"/>
  <c r="N34" i="1"/>
  <c r="O34" i="1" s="1"/>
  <c r="N35" i="1"/>
  <c r="O35" i="1" s="1"/>
  <c r="N36" i="1"/>
  <c r="O36" i="1" s="1"/>
  <c r="N37" i="1"/>
  <c r="O37" i="1" s="1"/>
  <c r="N38" i="1"/>
  <c r="O38" i="1" s="1"/>
  <c r="N39" i="1"/>
  <c r="O39" i="1" s="1"/>
  <c r="N40" i="1"/>
  <c r="O40" i="1" s="1"/>
  <c r="N41" i="1"/>
  <c r="O41" i="1" s="1"/>
  <c r="N42" i="1"/>
  <c r="O42" i="1" s="1"/>
  <c r="N43" i="1"/>
  <c r="O43" i="1" s="1"/>
  <c r="N44" i="1"/>
  <c r="O44" i="1" s="1"/>
  <c r="N45" i="1"/>
  <c r="O45" i="1" s="1"/>
  <c r="N46" i="1"/>
  <c r="O46" i="1" s="1"/>
  <c r="N47" i="1"/>
  <c r="O47" i="1" s="1"/>
  <c r="N48" i="1"/>
  <c r="O48" i="1" s="1"/>
  <c r="N49" i="1"/>
  <c r="O49" i="1" s="1"/>
  <c r="N50" i="1"/>
  <c r="O50" i="1" s="1"/>
  <c r="N51" i="1"/>
  <c r="O51" i="1" s="1"/>
  <c r="N52" i="1"/>
  <c r="O52" i="1" s="1"/>
  <c r="N53" i="1"/>
  <c r="O53" i="1" s="1"/>
  <c r="N54" i="1"/>
  <c r="O54" i="1" s="1"/>
  <c r="N55" i="1"/>
  <c r="O55" i="1" s="1"/>
  <c r="N56" i="1"/>
  <c r="O56" i="1" s="1"/>
  <c r="N57" i="1"/>
  <c r="O57" i="1" s="1"/>
  <c r="N58" i="1"/>
  <c r="O58" i="1" s="1"/>
  <c r="N59" i="1"/>
  <c r="O59" i="1" s="1"/>
  <c r="N60" i="1"/>
  <c r="O60" i="1" s="1"/>
  <c r="N61" i="1"/>
  <c r="O61" i="1" s="1"/>
  <c r="N62" i="1"/>
  <c r="O62" i="1" s="1"/>
  <c r="N63" i="1"/>
  <c r="O63" i="1" s="1"/>
  <c r="N64" i="1"/>
  <c r="O64" i="1" s="1"/>
  <c r="N65" i="1"/>
  <c r="O65" i="1" s="1"/>
  <c r="N66" i="1"/>
  <c r="O66" i="1" s="1"/>
  <c r="N67" i="1"/>
  <c r="O67" i="1" s="1"/>
  <c r="N68" i="1"/>
  <c r="O68" i="1" s="1"/>
  <c r="N69" i="1"/>
  <c r="O69" i="1" s="1"/>
  <c r="N70" i="1"/>
  <c r="O70" i="1" s="1"/>
  <c r="N71" i="1"/>
  <c r="O71" i="1" s="1"/>
  <c r="N72" i="1"/>
  <c r="O72" i="1" s="1"/>
  <c r="N73" i="1"/>
  <c r="O73" i="1" s="1"/>
  <c r="N74" i="1"/>
  <c r="O74" i="1" s="1"/>
  <c r="N75" i="1"/>
  <c r="O75" i="1" s="1"/>
  <c r="N76" i="1"/>
  <c r="O76" i="1" s="1"/>
  <c r="N77" i="1"/>
  <c r="O77" i="1" s="1"/>
  <c r="N78" i="1"/>
  <c r="O78" i="1" s="1"/>
  <c r="N79" i="1"/>
  <c r="O79" i="1" s="1"/>
  <c r="N80" i="1"/>
  <c r="O80" i="1" s="1"/>
  <c r="N81" i="1"/>
  <c r="O81" i="1" s="1"/>
  <c r="N82" i="1"/>
  <c r="O82" i="1" s="1"/>
  <c r="N83" i="1"/>
  <c r="O83" i="1" s="1"/>
  <c r="N84" i="1"/>
  <c r="O84" i="1" s="1"/>
  <c r="N85" i="1"/>
  <c r="O85" i="1" s="1"/>
  <c r="N86" i="1"/>
  <c r="O86" i="1" s="1"/>
  <c r="N87" i="1"/>
  <c r="O87" i="1" s="1"/>
  <c r="N88" i="1"/>
  <c r="O88" i="1" s="1"/>
  <c r="N89" i="1"/>
  <c r="O89" i="1" s="1"/>
  <c r="N90" i="1"/>
  <c r="O90" i="1" s="1"/>
  <c r="N91" i="1"/>
  <c r="O91" i="1" s="1"/>
  <c r="N92" i="1"/>
  <c r="O92" i="1" s="1"/>
  <c r="N93" i="1"/>
  <c r="O93" i="1" s="1"/>
  <c r="N94" i="1"/>
  <c r="O94" i="1" s="1"/>
  <c r="N95" i="1"/>
  <c r="O95" i="1" s="1"/>
  <c r="N96" i="1"/>
  <c r="O96" i="1" s="1"/>
  <c r="N97" i="1"/>
  <c r="O97" i="1" s="1"/>
  <c r="N98" i="1"/>
  <c r="O98" i="1" s="1"/>
  <c r="N99" i="1"/>
  <c r="O99" i="1" s="1"/>
  <c r="N100" i="1"/>
  <c r="O100" i="1" s="1"/>
  <c r="N101" i="1"/>
  <c r="O101" i="1" s="1"/>
  <c r="N102" i="1"/>
  <c r="O102" i="1" s="1"/>
  <c r="N103" i="1"/>
  <c r="O103" i="1" s="1"/>
  <c r="N5" i="1"/>
  <c r="O5" i="1" s="1"/>
  <c r="K105" i="6"/>
  <c r="J105" i="6"/>
  <c r="I105" i="6"/>
  <c r="H105" i="6"/>
  <c r="G105" i="6"/>
  <c r="F105" i="6"/>
  <c r="E105" i="6"/>
  <c r="D105" i="6"/>
  <c r="C105" i="6"/>
  <c r="B105" i="6"/>
  <c r="E2" i="14" s="1"/>
  <c r="C105" i="1"/>
  <c r="D105" i="1"/>
  <c r="E105" i="1"/>
  <c r="F105" i="1"/>
  <c r="G105" i="1"/>
  <c r="B105" i="1"/>
  <c r="H105" i="1"/>
  <c r="I105" i="1"/>
  <c r="J105" i="1"/>
  <c r="K105" i="1"/>
  <c r="AB7" i="1" l="1"/>
  <c r="AB63" i="7"/>
  <c r="AB95" i="11"/>
  <c r="AC95" i="11" s="1"/>
  <c r="AB51" i="7"/>
  <c r="E38" i="14"/>
  <c r="AB96" i="13"/>
  <c r="AC96" i="13" s="1"/>
  <c r="AD96" i="13" s="1"/>
  <c r="AB40" i="11"/>
  <c r="AC40" i="11" s="1"/>
  <c r="AB105" i="8"/>
  <c r="AC105" i="8" s="1"/>
  <c r="AD105" i="8" s="1"/>
  <c r="E3" i="14"/>
  <c r="R106" i="9"/>
  <c r="AB9" i="9"/>
  <c r="W106" i="9"/>
  <c r="AB19" i="9"/>
  <c r="AC19" i="9" s="1"/>
  <c r="AB32" i="9"/>
  <c r="AC32" i="9" s="1"/>
  <c r="AD32" i="9" s="1"/>
  <c r="AB45" i="9"/>
  <c r="AC45" i="9" s="1"/>
  <c r="AD45" i="9" s="1"/>
  <c r="AB68" i="9"/>
  <c r="AC68" i="9" s="1"/>
  <c r="AD68" i="9" s="1"/>
  <c r="AB73" i="9"/>
  <c r="AC73" i="9" s="1"/>
  <c r="AD73" i="9" s="1"/>
  <c r="AB80" i="9"/>
  <c r="AC80" i="9" s="1"/>
  <c r="AB81" i="9"/>
  <c r="AC81" i="9" s="1"/>
  <c r="AB88" i="9"/>
  <c r="AC88" i="9" s="1"/>
  <c r="AB92" i="9"/>
  <c r="AC92" i="9" s="1"/>
  <c r="AD92" i="9" s="1"/>
  <c r="AB99" i="9"/>
  <c r="AC99" i="9" s="1"/>
  <c r="AD99" i="9" s="1"/>
  <c r="AB103" i="9"/>
  <c r="AB104" i="9"/>
  <c r="AC104" i="9" s="1"/>
  <c r="AD104" i="9" s="1"/>
  <c r="S106" i="7"/>
  <c r="AB71" i="7"/>
  <c r="AC71" i="7" s="1"/>
  <c r="AD71" i="7" s="1"/>
  <c r="AB55" i="7"/>
  <c r="AC55" i="7" s="1"/>
  <c r="AB49" i="7"/>
  <c r="AC49" i="7" s="1"/>
  <c r="AD49" i="7" s="1"/>
  <c r="AB47" i="7"/>
  <c r="AC47" i="7" s="1"/>
  <c r="AD47" i="7" s="1"/>
  <c r="AB37" i="7"/>
  <c r="AC37" i="7" s="1"/>
  <c r="AD37" i="7" s="1"/>
  <c r="AB32" i="7"/>
  <c r="AC32" i="7" s="1"/>
  <c r="AD32" i="7" s="1"/>
  <c r="AB25" i="7"/>
  <c r="AC25" i="7" s="1"/>
  <c r="AD25" i="7" s="1"/>
  <c r="AB19" i="7"/>
  <c r="AC19" i="7" s="1"/>
  <c r="AD19" i="7" s="1"/>
  <c r="AB13" i="7"/>
  <c r="AC13" i="7" s="1"/>
  <c r="AD13" i="7" s="1"/>
  <c r="AB7" i="7"/>
  <c r="AB10" i="11"/>
  <c r="AB13" i="11"/>
  <c r="AC13" i="11" s="1"/>
  <c r="AB30" i="11"/>
  <c r="AC30" i="11" s="1"/>
  <c r="AB33" i="11"/>
  <c r="AC33" i="11" s="1"/>
  <c r="AB44" i="11"/>
  <c r="AC44" i="11" s="1"/>
  <c r="AB74" i="11"/>
  <c r="AC74" i="11" s="1"/>
  <c r="AD74" i="11" s="1"/>
  <c r="AB81" i="11"/>
  <c r="AC81" i="11" s="1"/>
  <c r="AB92" i="11"/>
  <c r="AC92" i="11" s="1"/>
  <c r="AB93" i="11"/>
  <c r="AC93" i="11" s="1"/>
  <c r="AD93" i="11" s="1"/>
  <c r="AB104" i="11"/>
  <c r="AC104" i="11" s="1"/>
  <c r="AB38" i="13"/>
  <c r="AC38" i="13" s="1"/>
  <c r="AB29" i="11"/>
  <c r="AC29" i="11" s="1"/>
  <c r="AB16" i="11"/>
  <c r="AC16" i="11" s="1"/>
  <c r="AB95" i="12"/>
  <c r="AB26" i="13"/>
  <c r="AC26" i="13" s="1"/>
  <c r="AB54" i="12"/>
  <c r="AC54" i="12" s="1"/>
  <c r="AB14" i="9"/>
  <c r="AC14" i="9" s="1"/>
  <c r="Y106" i="9"/>
  <c r="AB43" i="7"/>
  <c r="AC43" i="7" s="1"/>
  <c r="AD43" i="7" s="1"/>
  <c r="AB21" i="11"/>
  <c r="AC21" i="11" s="1"/>
  <c r="Y106" i="11"/>
  <c r="AA106" i="11"/>
  <c r="AB32" i="11"/>
  <c r="AB42" i="11"/>
  <c r="AC42" i="11" s="1"/>
  <c r="AB45" i="11"/>
  <c r="AC45" i="11" s="1"/>
  <c r="AD45" i="11" s="1"/>
  <c r="AB57" i="11"/>
  <c r="AC57" i="11" s="1"/>
  <c r="AD57" i="11" s="1"/>
  <c r="AB69" i="11"/>
  <c r="AC69" i="11" s="1"/>
  <c r="AD69" i="11" s="1"/>
  <c r="E17" i="14"/>
  <c r="AB92" i="12"/>
  <c r="AC92" i="12" s="1"/>
  <c r="AD92" i="12" s="1"/>
  <c r="AB17" i="8"/>
  <c r="AB20" i="11"/>
  <c r="AC20" i="11" s="1"/>
  <c r="AB9" i="11"/>
  <c r="AC9" i="11" s="1"/>
  <c r="AD9" i="11" s="1"/>
  <c r="X106" i="11"/>
  <c r="AB68" i="11"/>
  <c r="AB78" i="11"/>
  <c r="AC78" i="11" s="1"/>
  <c r="AB93" i="12"/>
  <c r="AB47" i="1"/>
  <c r="AC47" i="1" s="1"/>
  <c r="AD47" i="1" s="1"/>
  <c r="X106" i="8"/>
  <c r="AB13" i="8"/>
  <c r="AC13" i="8" s="1"/>
  <c r="AD13" i="8" s="1"/>
  <c r="AB19" i="11"/>
  <c r="AC19" i="11" s="1"/>
  <c r="AD19" i="11" s="1"/>
  <c r="AB102" i="8"/>
  <c r="AB30" i="9"/>
  <c r="AC30" i="9" s="1"/>
  <c r="AD30" i="9" s="1"/>
  <c r="AB65" i="9"/>
  <c r="AC65" i="9" s="1"/>
  <c r="AD65" i="9" s="1"/>
  <c r="AB76" i="9"/>
  <c r="AC76" i="9" s="1"/>
  <c r="AD76" i="9" s="1"/>
  <c r="AB78" i="9"/>
  <c r="AC78" i="9" s="1"/>
  <c r="AB87" i="9"/>
  <c r="AC87" i="9" s="1"/>
  <c r="AB89" i="9"/>
  <c r="AC89" i="9" s="1"/>
  <c r="AD89" i="9" s="1"/>
  <c r="AB100" i="9"/>
  <c r="AC100" i="9" s="1"/>
  <c r="AD100" i="9" s="1"/>
  <c r="AB105" i="7"/>
  <c r="AC105" i="7" s="1"/>
  <c r="AD105" i="7" s="1"/>
  <c r="AB20" i="12"/>
  <c r="AC20" i="12" s="1"/>
  <c r="AD20" i="12" s="1"/>
  <c r="AB18" i="11"/>
  <c r="AC18" i="11" s="1"/>
  <c r="AD18" i="11" s="1"/>
  <c r="V106" i="9"/>
  <c r="AB101" i="9"/>
  <c r="AC101" i="9" s="1"/>
  <c r="AD101" i="9" s="1"/>
  <c r="AB17" i="11"/>
  <c r="AC17" i="11" s="1"/>
  <c r="AD17" i="11" s="1"/>
  <c r="AB14" i="13"/>
  <c r="AC14" i="13" s="1"/>
  <c r="AB30" i="13"/>
  <c r="AC30" i="13" s="1"/>
  <c r="AD30" i="13" s="1"/>
  <c r="AB27" i="13"/>
  <c r="AC27" i="13" s="1"/>
  <c r="AD27" i="13" s="1"/>
  <c r="AB21" i="13"/>
  <c r="AB19" i="6"/>
  <c r="AC19" i="6" s="1"/>
  <c r="AA106" i="8"/>
  <c r="R106" i="8"/>
  <c r="AB84" i="8"/>
  <c r="AC84" i="8" s="1"/>
  <c r="AD84" i="8" s="1"/>
  <c r="AB29" i="9"/>
  <c r="AC29" i="9" s="1"/>
  <c r="AB49" i="9"/>
  <c r="AC49" i="9" s="1"/>
  <c r="AD49" i="9" s="1"/>
  <c r="AB105" i="9"/>
  <c r="AC105" i="9" s="1"/>
  <c r="AB16" i="8"/>
  <c r="AC16" i="8" s="1"/>
  <c r="AD16" i="8" s="1"/>
  <c r="AB59" i="8"/>
  <c r="AC59" i="8" s="1"/>
  <c r="AB14" i="11"/>
  <c r="AC14" i="11" s="1"/>
  <c r="AB22" i="11"/>
  <c r="AC22" i="11" s="1"/>
  <c r="AD22" i="11" s="1"/>
  <c r="S106" i="11"/>
  <c r="AB25" i="11"/>
  <c r="AC25" i="11" s="1"/>
  <c r="AD25" i="11" s="1"/>
  <c r="Z106" i="11"/>
  <c r="AB34" i="11"/>
  <c r="AC34" i="11" s="1"/>
  <c r="AD34" i="11" s="1"/>
  <c r="AB37" i="11"/>
  <c r="AC37" i="11" s="1"/>
  <c r="AB46" i="11"/>
  <c r="AC46" i="11" s="1"/>
  <c r="AD46" i="11" s="1"/>
  <c r="AB58" i="11"/>
  <c r="AC58" i="11" s="1"/>
  <c r="AB60" i="11"/>
  <c r="AC60" i="11" s="1"/>
  <c r="AB70" i="11"/>
  <c r="AC70" i="11" s="1"/>
  <c r="AD70" i="11" s="1"/>
  <c r="AB71" i="11"/>
  <c r="AC71" i="11" s="1"/>
  <c r="AD71" i="11" s="1"/>
  <c r="AB72" i="11"/>
  <c r="AB73" i="11"/>
  <c r="AC73" i="11" s="1"/>
  <c r="AB82" i="11"/>
  <c r="AC82" i="11" s="1"/>
  <c r="AD82" i="11" s="1"/>
  <c r="AB83" i="11"/>
  <c r="AC83" i="11" s="1"/>
  <c r="AB84" i="11"/>
  <c r="AB87" i="11"/>
  <c r="AC87" i="11" s="1"/>
  <c r="AB91" i="11"/>
  <c r="AC91" i="11" s="1"/>
  <c r="AD91" i="11" s="1"/>
  <c r="AB94" i="11"/>
  <c r="AC94" i="11" s="1"/>
  <c r="AB96" i="11"/>
  <c r="AC96" i="11" s="1"/>
  <c r="AB97" i="11"/>
  <c r="AC97" i="11" s="1"/>
  <c r="AD97" i="11" s="1"/>
  <c r="AB98" i="11"/>
  <c r="AC98" i="11" s="1"/>
  <c r="AD98" i="11" s="1"/>
  <c r="AB99" i="11"/>
  <c r="AC99" i="11" s="1"/>
  <c r="AD99" i="11" s="1"/>
  <c r="AB103" i="11"/>
  <c r="AC103" i="11" s="1"/>
  <c r="AD103" i="11" s="1"/>
  <c r="E12" i="14"/>
  <c r="AB105" i="11"/>
  <c r="AC105" i="11" s="1"/>
  <c r="AD105" i="11" s="1"/>
  <c r="AB58" i="13"/>
  <c r="AC58" i="13" s="1"/>
  <c r="AD58" i="13" s="1"/>
  <c r="AB52" i="13"/>
  <c r="AC52" i="13" s="1"/>
  <c r="V106" i="1"/>
  <c r="AB104" i="1"/>
  <c r="AB101" i="1"/>
  <c r="AC101" i="1" s="1"/>
  <c r="AD101" i="1" s="1"/>
  <c r="AB98" i="1"/>
  <c r="AB95" i="1"/>
  <c r="AC95" i="1" s="1"/>
  <c r="AD95" i="1" s="1"/>
  <c r="AB92" i="1"/>
  <c r="AC92" i="1" s="1"/>
  <c r="AD92" i="1" s="1"/>
  <c r="AB89" i="1"/>
  <c r="AC89" i="1" s="1"/>
  <c r="AD89" i="1" s="1"/>
  <c r="AB86" i="1"/>
  <c r="AC86" i="1" s="1"/>
  <c r="AD86" i="1" s="1"/>
  <c r="AB83" i="1"/>
  <c r="AC83" i="1" s="1"/>
  <c r="AD83" i="1" s="1"/>
  <c r="AB80" i="1"/>
  <c r="AC80" i="1" s="1"/>
  <c r="AD80" i="1" s="1"/>
  <c r="AB77" i="1"/>
  <c r="AB74" i="1"/>
  <c r="AB71" i="1"/>
  <c r="AC71" i="1" s="1"/>
  <c r="AD71" i="1" s="1"/>
  <c r="AB68" i="1"/>
  <c r="AB65" i="1"/>
  <c r="AB62" i="1"/>
  <c r="AC62" i="1" s="1"/>
  <c r="AD62" i="1" s="1"/>
  <c r="AB59" i="1"/>
  <c r="AC59" i="1" s="1"/>
  <c r="AD59" i="1" s="1"/>
  <c r="AB56" i="1"/>
  <c r="AC56" i="1" s="1"/>
  <c r="AD56" i="1" s="1"/>
  <c r="AB53" i="1"/>
  <c r="AB50" i="1"/>
  <c r="AC50" i="1" s="1"/>
  <c r="AD50" i="1" s="1"/>
  <c r="AB44" i="1"/>
  <c r="AC44" i="1" s="1"/>
  <c r="AD44" i="1" s="1"/>
  <c r="AB41" i="1"/>
  <c r="AC41" i="1" s="1"/>
  <c r="AD41" i="1" s="1"/>
  <c r="AB38" i="1"/>
  <c r="AC38" i="1" s="1"/>
  <c r="AD38" i="1" s="1"/>
  <c r="AB35" i="1"/>
  <c r="AB32" i="1"/>
  <c r="AB29" i="1"/>
  <c r="AB53" i="6"/>
  <c r="AB53" i="8"/>
  <c r="AC53" i="8" s="1"/>
  <c r="AD53" i="8" s="1"/>
  <c r="AB53" i="12"/>
  <c r="AC53" i="12" s="1"/>
  <c r="T106" i="8"/>
  <c r="AB41" i="9"/>
  <c r="AC41" i="9" s="1"/>
  <c r="AD41" i="9" s="1"/>
  <c r="AB53" i="9"/>
  <c r="AC53" i="9" s="1"/>
  <c r="AD53" i="9" s="1"/>
  <c r="AB64" i="9"/>
  <c r="Z106" i="9"/>
  <c r="AB37" i="9"/>
  <c r="AC37" i="9" s="1"/>
  <c r="AD37" i="9" s="1"/>
  <c r="AB61" i="9"/>
  <c r="AC61" i="9" s="1"/>
  <c r="AD61" i="9" s="1"/>
  <c r="AB85" i="9"/>
  <c r="AC85" i="9" s="1"/>
  <c r="AD85" i="9" s="1"/>
  <c r="AB97" i="9"/>
  <c r="AC97" i="9" s="1"/>
  <c r="AD97" i="9" s="1"/>
  <c r="AB15" i="11"/>
  <c r="AC15" i="11" s="1"/>
  <c r="AD15" i="11" s="1"/>
  <c r="AB38" i="8"/>
  <c r="AC38" i="8" s="1"/>
  <c r="AB12" i="11"/>
  <c r="AC12" i="11" s="1"/>
  <c r="AD12" i="11" s="1"/>
  <c r="AB71" i="13"/>
  <c r="AC71" i="13" s="1"/>
  <c r="AB17" i="9"/>
  <c r="AC17" i="9" s="1"/>
  <c r="AD17" i="9" s="1"/>
  <c r="AB27" i="9"/>
  <c r="AC27" i="9" s="1"/>
  <c r="AD27" i="9" s="1"/>
  <c r="AB40" i="9"/>
  <c r="AC40" i="9" s="1"/>
  <c r="AB52" i="9"/>
  <c r="AC52" i="9" s="1"/>
  <c r="AD52" i="9" s="1"/>
  <c r="AB66" i="9"/>
  <c r="AC66" i="9" s="1"/>
  <c r="AB75" i="9"/>
  <c r="AC75" i="9" s="1"/>
  <c r="AB77" i="9"/>
  <c r="AC77" i="9" s="1"/>
  <c r="AB90" i="9"/>
  <c r="AC90" i="9" s="1"/>
  <c r="Z106" i="7"/>
  <c r="AB65" i="6"/>
  <c r="AB73" i="8"/>
  <c r="AC73" i="8" s="1"/>
  <c r="AD73" i="8" s="1"/>
  <c r="AB8" i="9"/>
  <c r="AC8" i="9" s="1"/>
  <c r="AD8" i="9" s="1"/>
  <c r="AB44" i="9"/>
  <c r="AC44" i="9" s="1"/>
  <c r="AD44" i="9" s="1"/>
  <c r="AB47" i="9"/>
  <c r="AB56" i="9"/>
  <c r="AC56" i="9" s="1"/>
  <c r="AB69" i="9"/>
  <c r="AC69" i="9" s="1"/>
  <c r="AB82" i="9"/>
  <c r="AC82" i="9" s="1"/>
  <c r="AC103" i="9"/>
  <c r="AD103" i="9" s="1"/>
  <c r="AC7" i="7"/>
  <c r="AD7" i="7" s="1"/>
  <c r="AC10" i="11"/>
  <c r="AD10" i="11" s="1"/>
  <c r="AC68" i="11"/>
  <c r="AD68" i="11" s="1"/>
  <c r="AC102" i="8"/>
  <c r="O105" i="11"/>
  <c r="AB101" i="6"/>
  <c r="AC101" i="6" s="1"/>
  <c r="AD101" i="6" s="1"/>
  <c r="AB95" i="6"/>
  <c r="AC95" i="6" s="1"/>
  <c r="AD95" i="6" s="1"/>
  <c r="AB89" i="6"/>
  <c r="AC89" i="6" s="1"/>
  <c r="AD89" i="6" s="1"/>
  <c r="AB83" i="6"/>
  <c r="AB77" i="6"/>
  <c r="AC77" i="6" s="1"/>
  <c r="AB71" i="6"/>
  <c r="AC71" i="6" s="1"/>
  <c r="AD71" i="6" s="1"/>
  <c r="AB59" i="6"/>
  <c r="AC59" i="6" s="1"/>
  <c r="AD59" i="6" s="1"/>
  <c r="AB47" i="6"/>
  <c r="AC47" i="6" s="1"/>
  <c r="AD47" i="6" s="1"/>
  <c r="AB41" i="6"/>
  <c r="AC41" i="6" s="1"/>
  <c r="AD41" i="6" s="1"/>
  <c r="AB35" i="6"/>
  <c r="AC35" i="6" s="1"/>
  <c r="AD35" i="6" s="1"/>
  <c r="AB29" i="6"/>
  <c r="AC29" i="6" s="1"/>
  <c r="AD29" i="6" s="1"/>
  <c r="AB23" i="6"/>
  <c r="AC23" i="6" s="1"/>
  <c r="AD23" i="6" s="1"/>
  <c r="AB17" i="6"/>
  <c r="AC17" i="6" s="1"/>
  <c r="AD17" i="6" s="1"/>
  <c r="AB11" i="6"/>
  <c r="AC11" i="6" s="1"/>
  <c r="AD11" i="6" s="1"/>
  <c r="AB97" i="8"/>
  <c r="AC97" i="8" s="1"/>
  <c r="AD97" i="8" s="1"/>
  <c r="AB98" i="8"/>
  <c r="AB99" i="8"/>
  <c r="AC99" i="8" s="1"/>
  <c r="AD99" i="8" s="1"/>
  <c r="AB100" i="8"/>
  <c r="AC100" i="8" s="1"/>
  <c r="AD100" i="8" s="1"/>
  <c r="AB101" i="8"/>
  <c r="AC101" i="8" s="1"/>
  <c r="AD101" i="8" s="1"/>
  <c r="AB23" i="11"/>
  <c r="AC23" i="11" s="1"/>
  <c r="AB15" i="9"/>
  <c r="AC15" i="9" s="1"/>
  <c r="AB50" i="13"/>
  <c r="AC50" i="13" s="1"/>
  <c r="AB88" i="8"/>
  <c r="AB89" i="8"/>
  <c r="AC89" i="8" s="1"/>
  <c r="AD89" i="8" s="1"/>
  <c r="AB90" i="8"/>
  <c r="AC90" i="8" s="1"/>
  <c r="AD90" i="8" s="1"/>
  <c r="AB91" i="8"/>
  <c r="AC91" i="8" s="1"/>
  <c r="AB92" i="8"/>
  <c r="AC92" i="8" s="1"/>
  <c r="AD92" i="8" s="1"/>
  <c r="AB93" i="8"/>
  <c r="AB94" i="8"/>
  <c r="AC94" i="8" s="1"/>
  <c r="AD94" i="8" s="1"/>
  <c r="AB7" i="9"/>
  <c r="AC7" i="9" s="1"/>
  <c r="AD7" i="9" s="1"/>
  <c r="U106" i="9"/>
  <c r="AB31" i="9"/>
  <c r="AC31" i="9" s="1"/>
  <c r="AD31" i="9" s="1"/>
  <c r="AB42" i="9"/>
  <c r="AC42" i="9" s="1"/>
  <c r="AB43" i="9"/>
  <c r="AC43" i="9" s="1"/>
  <c r="AD43" i="9" s="1"/>
  <c r="AB54" i="9"/>
  <c r="AC54" i="9" s="1"/>
  <c r="AD54" i="9" s="1"/>
  <c r="AB55" i="9"/>
  <c r="AC55" i="9" s="1"/>
  <c r="AD55" i="9" s="1"/>
  <c r="AB67" i="9"/>
  <c r="AC67" i="9" s="1"/>
  <c r="AD67" i="9" s="1"/>
  <c r="AB79" i="9"/>
  <c r="AC79" i="9" s="1"/>
  <c r="AD79" i="9" s="1"/>
  <c r="AB91" i="9"/>
  <c r="AC91" i="9" s="1"/>
  <c r="AD91" i="9" s="1"/>
  <c r="AB102" i="9"/>
  <c r="AB85" i="8"/>
  <c r="AC85" i="8" s="1"/>
  <c r="AD85" i="8" s="1"/>
  <c r="AB104" i="8"/>
  <c r="AC104" i="8" s="1"/>
  <c r="AD104" i="8" s="1"/>
  <c r="U106" i="11"/>
  <c r="AB18" i="9"/>
  <c r="AC18" i="9" s="1"/>
  <c r="AD18" i="9" s="1"/>
  <c r="AB74" i="13"/>
  <c r="AC74" i="13" s="1"/>
  <c r="AB26" i="8"/>
  <c r="AB34" i="8"/>
  <c r="AC34" i="8" s="1"/>
  <c r="AD34" i="8" s="1"/>
  <c r="AB41" i="8"/>
  <c r="AC41" i="8" s="1"/>
  <c r="AD41" i="8" s="1"/>
  <c r="AB74" i="8"/>
  <c r="AC74" i="8" s="1"/>
  <c r="AD74" i="8" s="1"/>
  <c r="AB75" i="8"/>
  <c r="AC75" i="8" s="1"/>
  <c r="AD75" i="8" s="1"/>
  <c r="AB76" i="8"/>
  <c r="AC76" i="8" s="1"/>
  <c r="AD76" i="8" s="1"/>
  <c r="AB79" i="8"/>
  <c r="AB80" i="8"/>
  <c r="AC80" i="8" s="1"/>
  <c r="AD80" i="8" s="1"/>
  <c r="AB81" i="8"/>
  <c r="AC81" i="8" s="1"/>
  <c r="AD81" i="8" s="1"/>
  <c r="AB82" i="8"/>
  <c r="AC82" i="8" s="1"/>
  <c r="AD82" i="8" s="1"/>
  <c r="AB83" i="8"/>
  <c r="AC83" i="8" s="1"/>
  <c r="AB96" i="8"/>
  <c r="AC96" i="8" s="1"/>
  <c r="AD96" i="8" s="1"/>
  <c r="AB103" i="8"/>
  <c r="R106" i="12"/>
  <c r="U106" i="12"/>
  <c r="AB97" i="12"/>
  <c r="AC97" i="12" s="1"/>
  <c r="AD97" i="12" s="1"/>
  <c r="AB99" i="12"/>
  <c r="AC99" i="12" s="1"/>
  <c r="AD99" i="12" s="1"/>
  <c r="AB100" i="12"/>
  <c r="AC100" i="12" s="1"/>
  <c r="AD100" i="12" s="1"/>
  <c r="AB98" i="13"/>
  <c r="AC98" i="13" s="1"/>
  <c r="AB86" i="13"/>
  <c r="AC86" i="13" s="1"/>
  <c r="AB62" i="13"/>
  <c r="AC62" i="13" s="1"/>
  <c r="AB14" i="8"/>
  <c r="AC14" i="8" s="1"/>
  <c r="AD14" i="8" s="1"/>
  <c r="AB87" i="8"/>
  <c r="AC87" i="8" s="1"/>
  <c r="AB15" i="8"/>
  <c r="AC15" i="8" s="1"/>
  <c r="AD15" i="8" s="1"/>
  <c r="AB86" i="8"/>
  <c r="AB95" i="8"/>
  <c r="AC95" i="8" s="1"/>
  <c r="AD95" i="8" s="1"/>
  <c r="AB16" i="9"/>
  <c r="AC16" i="9" s="1"/>
  <c r="AD16" i="9" s="1"/>
  <c r="U106" i="8"/>
  <c r="AB7" i="8"/>
  <c r="AC7" i="8" s="1"/>
  <c r="AD7" i="8" s="1"/>
  <c r="AB22" i="8"/>
  <c r="AC22" i="8" s="1"/>
  <c r="AD22" i="8" s="1"/>
  <c r="AB31" i="8"/>
  <c r="AB49" i="8"/>
  <c r="AC49" i="8" s="1"/>
  <c r="AD49" i="8" s="1"/>
  <c r="AB50" i="8"/>
  <c r="AC50" i="8" s="1"/>
  <c r="AD50" i="8" s="1"/>
  <c r="AB51" i="8"/>
  <c r="AC51" i="8" s="1"/>
  <c r="AD51" i="8" s="1"/>
  <c r="AB52" i="8"/>
  <c r="AC52" i="8" s="1"/>
  <c r="AD52" i="8" s="1"/>
  <c r="AB55" i="8"/>
  <c r="AC55" i="8" s="1"/>
  <c r="AD55" i="8" s="1"/>
  <c r="AB56" i="8"/>
  <c r="AB57" i="8"/>
  <c r="AC57" i="8" s="1"/>
  <c r="AD57" i="8" s="1"/>
  <c r="AB58" i="8"/>
  <c r="AC58" i="8" s="1"/>
  <c r="AD58" i="8" s="1"/>
  <c r="AB60" i="8"/>
  <c r="AC60" i="8" s="1"/>
  <c r="AD60" i="8" s="1"/>
  <c r="AB63" i="8"/>
  <c r="AC63" i="8" s="1"/>
  <c r="AD63" i="8" s="1"/>
  <c r="AB64" i="8"/>
  <c r="AC64" i="8" s="1"/>
  <c r="AD64" i="8" s="1"/>
  <c r="AB65" i="8"/>
  <c r="AB66" i="8"/>
  <c r="AC66" i="8" s="1"/>
  <c r="AD66" i="8" s="1"/>
  <c r="AB67" i="8"/>
  <c r="AC67" i="8" s="1"/>
  <c r="AD67" i="8" s="1"/>
  <c r="AB68" i="8"/>
  <c r="AC68" i="8" s="1"/>
  <c r="AD68" i="8" s="1"/>
  <c r="AB26" i="9"/>
  <c r="AC26" i="9" s="1"/>
  <c r="AD26" i="9" s="1"/>
  <c r="AB28" i="9"/>
  <c r="AC28" i="9" s="1"/>
  <c r="AD28" i="9" s="1"/>
  <c r="AB38" i="9"/>
  <c r="AB39" i="9"/>
  <c r="AC39" i="9" s="1"/>
  <c r="AD39" i="9" s="1"/>
  <c r="AB50" i="9"/>
  <c r="AC50" i="9" s="1"/>
  <c r="AD50" i="9" s="1"/>
  <c r="AB51" i="9"/>
  <c r="AC51" i="9" s="1"/>
  <c r="AD51" i="9" s="1"/>
  <c r="AB62" i="9"/>
  <c r="AC62" i="9" s="1"/>
  <c r="AD62" i="9" s="1"/>
  <c r="T106" i="13"/>
  <c r="E40" i="14"/>
  <c r="E9" i="14"/>
  <c r="E5" i="14"/>
  <c r="AB21" i="8"/>
  <c r="AC21" i="8" s="1"/>
  <c r="AD21" i="8" s="1"/>
  <c r="AB24" i="8"/>
  <c r="AC24" i="8" s="1"/>
  <c r="AD24" i="8" s="1"/>
  <c r="AB25" i="8"/>
  <c r="AC25" i="8" s="1"/>
  <c r="AD25" i="8" s="1"/>
  <c r="AB32" i="8"/>
  <c r="AB33" i="8"/>
  <c r="AC33" i="8" s="1"/>
  <c r="AD33" i="8" s="1"/>
  <c r="AB35" i="8"/>
  <c r="AC35" i="8" s="1"/>
  <c r="AD35" i="8" s="1"/>
  <c r="AB36" i="8"/>
  <c r="AC36" i="8" s="1"/>
  <c r="AD36" i="8" s="1"/>
  <c r="AB39" i="8"/>
  <c r="AC39" i="8" s="1"/>
  <c r="AD39" i="8" s="1"/>
  <c r="AB40" i="8"/>
  <c r="AC40" i="8" s="1"/>
  <c r="AD40" i="8" s="1"/>
  <c r="AB42" i="8"/>
  <c r="AB43" i="8"/>
  <c r="AC43" i="8" s="1"/>
  <c r="AD43" i="8" s="1"/>
  <c r="AB44" i="8"/>
  <c r="AC44" i="8" s="1"/>
  <c r="AD44" i="8" s="1"/>
  <c r="AB47" i="8"/>
  <c r="AC47" i="8" s="1"/>
  <c r="AD47" i="8" s="1"/>
  <c r="AB77" i="8"/>
  <c r="AB78" i="8"/>
  <c r="AC78" i="8" s="1"/>
  <c r="X106" i="9"/>
  <c r="AB6" i="7"/>
  <c r="AC6" i="7" s="1"/>
  <c r="AD6" i="7" s="1"/>
  <c r="AB104" i="7"/>
  <c r="AC104" i="7" s="1"/>
  <c r="AD104" i="7" s="1"/>
  <c r="AB102" i="7"/>
  <c r="AC102" i="7" s="1"/>
  <c r="AD102" i="7" s="1"/>
  <c r="AB101" i="7"/>
  <c r="AC101" i="7" s="1"/>
  <c r="AD101" i="7" s="1"/>
  <c r="AB100" i="7"/>
  <c r="AC100" i="7" s="1"/>
  <c r="AD100" i="7" s="1"/>
  <c r="AB99" i="7"/>
  <c r="AB98" i="7"/>
  <c r="AC98" i="7" s="1"/>
  <c r="AD98" i="7" s="1"/>
  <c r="AB96" i="7"/>
  <c r="AC96" i="7" s="1"/>
  <c r="AD96" i="7" s="1"/>
  <c r="AB95" i="7"/>
  <c r="AC95" i="7" s="1"/>
  <c r="AB94" i="7"/>
  <c r="AB93" i="7"/>
  <c r="AC93" i="7" s="1"/>
  <c r="AD93" i="7" s="1"/>
  <c r="AB92" i="7"/>
  <c r="AB90" i="7"/>
  <c r="AC90" i="7" s="1"/>
  <c r="AD90" i="7" s="1"/>
  <c r="AB89" i="7"/>
  <c r="AC89" i="7" s="1"/>
  <c r="AD89" i="7" s="1"/>
  <c r="AB88" i="7"/>
  <c r="AC88" i="7" s="1"/>
  <c r="AD88" i="7" s="1"/>
  <c r="AB87" i="7"/>
  <c r="AC87" i="7" s="1"/>
  <c r="AD87" i="7" s="1"/>
  <c r="AB86" i="7"/>
  <c r="AC86" i="7" s="1"/>
  <c r="AD86" i="7" s="1"/>
  <c r="AB84" i="7"/>
  <c r="AB83" i="7"/>
  <c r="AC83" i="7" s="1"/>
  <c r="AD83" i="7" s="1"/>
  <c r="AB82" i="7"/>
  <c r="AC82" i="7" s="1"/>
  <c r="AD82" i="7" s="1"/>
  <c r="AB81" i="7"/>
  <c r="AC81" i="7" s="1"/>
  <c r="AD81" i="7" s="1"/>
  <c r="AB80" i="7"/>
  <c r="AC80" i="7" s="1"/>
  <c r="AB78" i="7"/>
  <c r="AC78" i="7" s="1"/>
  <c r="AD78" i="7" s="1"/>
  <c r="AB77" i="7"/>
  <c r="AB76" i="7"/>
  <c r="AC76" i="7" s="1"/>
  <c r="AD76" i="7" s="1"/>
  <c r="AB75" i="7"/>
  <c r="AC75" i="7" s="1"/>
  <c r="AD75" i="7" s="1"/>
  <c r="AB74" i="7"/>
  <c r="AC74" i="7" s="1"/>
  <c r="AD74" i="7" s="1"/>
  <c r="AB72" i="7"/>
  <c r="AC72" i="7" s="1"/>
  <c r="AD72" i="7" s="1"/>
  <c r="AB70" i="7"/>
  <c r="AC70" i="7" s="1"/>
  <c r="AD70" i="7" s="1"/>
  <c r="AB69" i="7"/>
  <c r="AB68" i="7"/>
  <c r="AC68" i="7" s="1"/>
  <c r="AD68" i="7" s="1"/>
  <c r="AB66" i="7"/>
  <c r="AC66" i="7" s="1"/>
  <c r="AD66" i="7" s="1"/>
  <c r="AB65" i="7"/>
  <c r="AC65" i="7" s="1"/>
  <c r="AD65" i="7" s="1"/>
  <c r="AB64" i="7"/>
  <c r="AC64" i="7" s="1"/>
  <c r="AD64" i="7" s="1"/>
  <c r="AB62" i="7"/>
  <c r="AC62" i="7" s="1"/>
  <c r="AD62" i="7" s="1"/>
  <c r="AB60" i="7"/>
  <c r="AB59" i="7"/>
  <c r="AC59" i="7" s="1"/>
  <c r="AD59" i="7" s="1"/>
  <c r="AB58" i="7"/>
  <c r="AC58" i="7" s="1"/>
  <c r="AD58" i="7" s="1"/>
  <c r="AB57" i="7"/>
  <c r="AC57" i="7" s="1"/>
  <c r="AD57" i="7" s="1"/>
  <c r="AB56" i="7"/>
  <c r="AC56" i="7" s="1"/>
  <c r="AD56" i="7" s="1"/>
  <c r="AB54" i="7"/>
  <c r="AC54" i="7" s="1"/>
  <c r="AD54" i="7" s="1"/>
  <c r="AB53" i="7"/>
  <c r="AB52" i="7"/>
  <c r="AC52" i="7" s="1"/>
  <c r="AD52" i="7" s="1"/>
  <c r="AB50" i="7"/>
  <c r="AC50" i="7" s="1"/>
  <c r="AD50" i="7" s="1"/>
  <c r="AB48" i="7"/>
  <c r="AC48" i="7" s="1"/>
  <c r="AD48" i="7" s="1"/>
  <c r="AB46" i="7"/>
  <c r="AC46" i="7" s="1"/>
  <c r="AD46" i="7" s="1"/>
  <c r="AB45" i="7"/>
  <c r="AC45" i="7" s="1"/>
  <c r="AB44" i="7"/>
  <c r="AB42" i="7"/>
  <c r="AC42" i="7" s="1"/>
  <c r="AD42" i="7" s="1"/>
  <c r="AB41" i="7"/>
  <c r="AC41" i="7" s="1"/>
  <c r="AD41" i="7" s="1"/>
  <c r="AB40" i="7"/>
  <c r="AC40" i="7" s="1"/>
  <c r="AD40" i="7" s="1"/>
  <c r="AB39" i="7"/>
  <c r="AC39" i="7" s="1"/>
  <c r="AD39" i="7" s="1"/>
  <c r="AB38" i="7"/>
  <c r="AC38" i="7" s="1"/>
  <c r="AD38" i="7" s="1"/>
  <c r="AB36" i="7"/>
  <c r="AB35" i="7"/>
  <c r="AC35" i="7" s="1"/>
  <c r="AD35" i="7" s="1"/>
  <c r="AB34" i="7"/>
  <c r="AC34" i="7" s="1"/>
  <c r="AD34" i="7" s="1"/>
  <c r="AB33" i="7"/>
  <c r="AB30" i="7"/>
  <c r="AC30" i="7" s="1"/>
  <c r="AD30" i="7" s="1"/>
  <c r="AB29" i="7"/>
  <c r="AC29" i="7" s="1"/>
  <c r="AD29" i="7" s="1"/>
  <c r="AB28" i="7"/>
  <c r="AB27" i="7"/>
  <c r="AC27" i="7" s="1"/>
  <c r="AD27" i="7" s="1"/>
  <c r="AB26" i="7"/>
  <c r="AC26" i="7" s="1"/>
  <c r="AD26" i="7" s="1"/>
  <c r="AB24" i="7"/>
  <c r="AC24" i="7" s="1"/>
  <c r="AD24" i="7" s="1"/>
  <c r="AB23" i="7"/>
  <c r="AC23" i="7" s="1"/>
  <c r="AD23" i="7" s="1"/>
  <c r="AB22" i="7"/>
  <c r="AC22" i="7" s="1"/>
  <c r="AD22" i="7" s="1"/>
  <c r="AB21" i="7"/>
  <c r="AB20" i="7"/>
  <c r="AC20" i="7" s="1"/>
  <c r="AD20" i="7" s="1"/>
  <c r="AB18" i="7"/>
  <c r="AC18" i="7" s="1"/>
  <c r="AD18" i="7" s="1"/>
  <c r="AB17" i="7"/>
  <c r="AC17" i="7" s="1"/>
  <c r="AD17" i="7" s="1"/>
  <c r="AB16" i="7"/>
  <c r="AC16" i="7" s="1"/>
  <c r="AD16" i="7" s="1"/>
  <c r="AB15" i="7"/>
  <c r="AC15" i="7" s="1"/>
  <c r="AD15" i="7" s="1"/>
  <c r="AB14" i="7"/>
  <c r="AB12" i="7"/>
  <c r="AC12" i="7" s="1"/>
  <c r="AD12" i="7" s="1"/>
  <c r="AB11" i="7"/>
  <c r="AC11" i="7" s="1"/>
  <c r="AD11" i="7" s="1"/>
  <c r="W106" i="7"/>
  <c r="U106" i="7"/>
  <c r="AB8" i="7"/>
  <c r="AC8" i="7" s="1"/>
  <c r="AD8" i="7" s="1"/>
  <c r="O105" i="7"/>
  <c r="AB27" i="11"/>
  <c r="AC27" i="11" s="1"/>
  <c r="AD27" i="11" s="1"/>
  <c r="T106" i="11"/>
  <c r="AB31" i="11"/>
  <c r="AC31" i="11" s="1"/>
  <c r="AD31" i="11" s="1"/>
  <c r="AB39" i="11"/>
  <c r="AC39" i="11" s="1"/>
  <c r="AB41" i="11"/>
  <c r="AC41" i="11" s="1"/>
  <c r="AB43" i="11"/>
  <c r="AB51" i="11"/>
  <c r="AC51" i="11" s="1"/>
  <c r="AD51" i="11" s="1"/>
  <c r="AB53" i="11"/>
  <c r="AC53" i="11" s="1"/>
  <c r="AD53" i="11" s="1"/>
  <c r="AB55" i="11"/>
  <c r="AC55" i="11" s="1"/>
  <c r="AD55" i="11" s="1"/>
  <c r="AB63" i="11"/>
  <c r="AC63" i="11" s="1"/>
  <c r="AD63" i="11" s="1"/>
  <c r="AB65" i="11"/>
  <c r="AC65" i="11" s="1"/>
  <c r="AD65" i="11" s="1"/>
  <c r="AB67" i="11"/>
  <c r="AB75" i="11"/>
  <c r="AC75" i="11" s="1"/>
  <c r="AD75" i="11" s="1"/>
  <c r="AB77" i="11"/>
  <c r="AC77" i="11" s="1"/>
  <c r="AD77" i="11" s="1"/>
  <c r="AB79" i="11"/>
  <c r="AC79" i="11" s="1"/>
  <c r="AD79" i="11" s="1"/>
  <c r="AB89" i="11"/>
  <c r="AC89" i="11" s="1"/>
  <c r="AD89" i="11" s="1"/>
  <c r="AB101" i="11"/>
  <c r="AB11" i="8"/>
  <c r="AB12" i="8"/>
  <c r="AC12" i="8" s="1"/>
  <c r="AD12" i="8" s="1"/>
  <c r="AB20" i="8"/>
  <c r="AC20" i="8" s="1"/>
  <c r="AD20" i="8" s="1"/>
  <c r="AB72" i="8"/>
  <c r="AC72" i="8" s="1"/>
  <c r="AD72" i="8" s="1"/>
  <c r="AD104" i="11"/>
  <c r="AB13" i="9"/>
  <c r="AC13" i="9" s="1"/>
  <c r="AD13" i="9" s="1"/>
  <c r="AB46" i="13"/>
  <c r="AB40" i="13"/>
  <c r="AC40" i="13" s="1"/>
  <c r="Y106" i="8"/>
  <c r="AB48" i="8"/>
  <c r="AC48" i="8" s="1"/>
  <c r="AD48" i="8" s="1"/>
  <c r="AB54" i="8"/>
  <c r="AB61" i="8"/>
  <c r="AC61" i="8" s="1"/>
  <c r="AD61" i="8" s="1"/>
  <c r="AB62" i="8"/>
  <c r="AB69" i="8"/>
  <c r="AC69" i="8" s="1"/>
  <c r="AD69" i="8" s="1"/>
  <c r="AB70" i="8"/>
  <c r="AC70" i="8" s="1"/>
  <c r="AD70" i="8" s="1"/>
  <c r="AB71" i="8"/>
  <c r="AC71" i="8" s="1"/>
  <c r="AD71" i="8" s="1"/>
  <c r="X106" i="7"/>
  <c r="AB12" i="9"/>
  <c r="AC12" i="9" s="1"/>
  <c r="AD12" i="9" s="1"/>
  <c r="AB23" i="9"/>
  <c r="AB24" i="9"/>
  <c r="AC24" i="9" s="1"/>
  <c r="AD24" i="9" s="1"/>
  <c r="AB25" i="9"/>
  <c r="AC25" i="9" s="1"/>
  <c r="AD25" i="9" s="1"/>
  <c r="AB35" i="9"/>
  <c r="AC35" i="9" s="1"/>
  <c r="AD35" i="9" s="1"/>
  <c r="AB36" i="9"/>
  <c r="AC36" i="9" s="1"/>
  <c r="AD36" i="9" s="1"/>
  <c r="AB48" i="9"/>
  <c r="AB59" i="9"/>
  <c r="AB60" i="9"/>
  <c r="AC60" i="9" s="1"/>
  <c r="AD60" i="9" s="1"/>
  <c r="AB71" i="9"/>
  <c r="AC71" i="9" s="1"/>
  <c r="AD71" i="9" s="1"/>
  <c r="AB72" i="9"/>
  <c r="AC72" i="9" s="1"/>
  <c r="AB83" i="9"/>
  <c r="AC83" i="9" s="1"/>
  <c r="AD83" i="9" s="1"/>
  <c r="AB84" i="9"/>
  <c r="AC84" i="9" s="1"/>
  <c r="AD84" i="9" s="1"/>
  <c r="AB95" i="9"/>
  <c r="AB96" i="9"/>
  <c r="AC96" i="9" s="1"/>
  <c r="AD96" i="9" s="1"/>
  <c r="Y106" i="1"/>
  <c r="AB105" i="1"/>
  <c r="AC105" i="1" s="1"/>
  <c r="AB99" i="1"/>
  <c r="AC99" i="1" s="1"/>
  <c r="AD99" i="1" s="1"/>
  <c r="AB96" i="1"/>
  <c r="AC96" i="1" s="1"/>
  <c r="AB93" i="1"/>
  <c r="AC93" i="1" s="1"/>
  <c r="AD93" i="1" s="1"/>
  <c r="AB87" i="1"/>
  <c r="AC87" i="1" s="1"/>
  <c r="AD87" i="1" s="1"/>
  <c r="AB84" i="1"/>
  <c r="AC84" i="1" s="1"/>
  <c r="AD84" i="1" s="1"/>
  <c r="AB81" i="1"/>
  <c r="AC81" i="1" s="1"/>
  <c r="AB75" i="1"/>
  <c r="AC75" i="1" s="1"/>
  <c r="AD75" i="1" s="1"/>
  <c r="AB72" i="1"/>
  <c r="AC72" i="1" s="1"/>
  <c r="AD72" i="1" s="1"/>
  <c r="AB69" i="1"/>
  <c r="AB63" i="1"/>
  <c r="AC63" i="1" s="1"/>
  <c r="AD63" i="1" s="1"/>
  <c r="AB60" i="1"/>
  <c r="AC60" i="1" s="1"/>
  <c r="AD60" i="1" s="1"/>
  <c r="AB57" i="1"/>
  <c r="AC57" i="1" s="1"/>
  <c r="AD57" i="1" s="1"/>
  <c r="AB51" i="1"/>
  <c r="AC51" i="1" s="1"/>
  <c r="AB48" i="1"/>
  <c r="AC48" i="1" s="1"/>
  <c r="AD48" i="1" s="1"/>
  <c r="AB45" i="1"/>
  <c r="AC45" i="1" s="1"/>
  <c r="AD45" i="1" s="1"/>
  <c r="AB39" i="1"/>
  <c r="AC39" i="1" s="1"/>
  <c r="AD39" i="1" s="1"/>
  <c r="AB36" i="1"/>
  <c r="AC36" i="1" s="1"/>
  <c r="AD36" i="1" s="1"/>
  <c r="AB33" i="1"/>
  <c r="AC33" i="1" s="1"/>
  <c r="AD33" i="1" s="1"/>
  <c r="AB27" i="1"/>
  <c r="AC27" i="1" s="1"/>
  <c r="AD27" i="1" s="1"/>
  <c r="AB24" i="1"/>
  <c r="AC24" i="1" s="1"/>
  <c r="AD24" i="1" s="1"/>
  <c r="AB21" i="1"/>
  <c r="AC21" i="1" s="1"/>
  <c r="AB15" i="1"/>
  <c r="AC15" i="1" s="1"/>
  <c r="AD15" i="1" s="1"/>
  <c r="AB12" i="1"/>
  <c r="AC12" i="1" s="1"/>
  <c r="AD12" i="1" s="1"/>
  <c r="X106" i="1"/>
  <c r="R106" i="6"/>
  <c r="AB81" i="6"/>
  <c r="AC81" i="6" s="1"/>
  <c r="AB74" i="6"/>
  <c r="AB72" i="6"/>
  <c r="AC72" i="6" s="1"/>
  <c r="AD72" i="6" s="1"/>
  <c r="AB58" i="6"/>
  <c r="AC58" i="6" s="1"/>
  <c r="AB57" i="6"/>
  <c r="AC57" i="6" s="1"/>
  <c r="AD57" i="6" s="1"/>
  <c r="AB46" i="6"/>
  <c r="AC46" i="6" s="1"/>
  <c r="AD46" i="6" s="1"/>
  <c r="AB44" i="6"/>
  <c r="AC44" i="6" s="1"/>
  <c r="AB43" i="6"/>
  <c r="AB21" i="6"/>
  <c r="AC21" i="6" s="1"/>
  <c r="AB20" i="6"/>
  <c r="AC20" i="6" s="1"/>
  <c r="AD20" i="6" s="1"/>
  <c r="AB16" i="6"/>
  <c r="AC16" i="6" s="1"/>
  <c r="AD16" i="6" s="1"/>
  <c r="AB23" i="8"/>
  <c r="AC23" i="8" s="1"/>
  <c r="AB28" i="8"/>
  <c r="AB29" i="8"/>
  <c r="AB30" i="8"/>
  <c r="AC30" i="8" s="1"/>
  <c r="AD30" i="8" s="1"/>
  <c r="AB37" i="8"/>
  <c r="AC37" i="8" s="1"/>
  <c r="AD37" i="8" s="1"/>
  <c r="AB45" i="8"/>
  <c r="AC45" i="8" s="1"/>
  <c r="AD45" i="8" s="1"/>
  <c r="AB46" i="8"/>
  <c r="AC46" i="8" s="1"/>
  <c r="AD46" i="8" s="1"/>
  <c r="AD95" i="11"/>
  <c r="AB6" i="9"/>
  <c r="AC6" i="9" s="1"/>
  <c r="AD6" i="9" s="1"/>
  <c r="AB11" i="9"/>
  <c r="AC11" i="9" s="1"/>
  <c r="AD11" i="9" s="1"/>
  <c r="AA106" i="1"/>
  <c r="S106" i="8"/>
  <c r="AB10" i="8"/>
  <c r="W106" i="8"/>
  <c r="Z106" i="8"/>
  <c r="AB18" i="8"/>
  <c r="AC18" i="8" s="1"/>
  <c r="AD18" i="8" s="1"/>
  <c r="AB19" i="8"/>
  <c r="AC19" i="8" s="1"/>
  <c r="AD19" i="8" s="1"/>
  <c r="AB27" i="8"/>
  <c r="AC27" i="8" s="1"/>
  <c r="AD27" i="8" s="1"/>
  <c r="AB10" i="9"/>
  <c r="AC10" i="9" s="1"/>
  <c r="AD10" i="9" s="1"/>
  <c r="AB21" i="9"/>
  <c r="AC21" i="9" s="1"/>
  <c r="AB22" i="9"/>
  <c r="AC22" i="9" s="1"/>
  <c r="AD22" i="9" s="1"/>
  <c r="AB33" i="9"/>
  <c r="AB34" i="9"/>
  <c r="AC34" i="9" s="1"/>
  <c r="AD34" i="9" s="1"/>
  <c r="AB46" i="9"/>
  <c r="AC46" i="9" s="1"/>
  <c r="AB57" i="9"/>
  <c r="AB58" i="9"/>
  <c r="AB70" i="9"/>
  <c r="AC70" i="9" s="1"/>
  <c r="AB93" i="9"/>
  <c r="AC93" i="9" s="1"/>
  <c r="AD93" i="9" s="1"/>
  <c r="AB94" i="9"/>
  <c r="AC94" i="9" s="1"/>
  <c r="AD94" i="9" s="1"/>
  <c r="R106" i="11"/>
  <c r="V106" i="11"/>
  <c r="AB35" i="11"/>
  <c r="AC35" i="11" s="1"/>
  <c r="AD35" i="11" s="1"/>
  <c r="AB47" i="11"/>
  <c r="AC47" i="11" s="1"/>
  <c r="AD47" i="11" s="1"/>
  <c r="AB59" i="11"/>
  <c r="AC59" i="11" s="1"/>
  <c r="AD59" i="11" s="1"/>
  <c r="AB85" i="11"/>
  <c r="AC85" i="11" s="1"/>
  <c r="AD85" i="11" s="1"/>
  <c r="AB15" i="13"/>
  <c r="AC15" i="13" s="1"/>
  <c r="AB9" i="13"/>
  <c r="AB12" i="12"/>
  <c r="AC12" i="12" s="1"/>
  <c r="AD12" i="12" s="1"/>
  <c r="AB39" i="12"/>
  <c r="AC39" i="12" s="1"/>
  <c r="AD39" i="12" s="1"/>
  <c r="AB85" i="12"/>
  <c r="AC85" i="12" s="1"/>
  <c r="AD85" i="12" s="1"/>
  <c r="AB103" i="13"/>
  <c r="AC103" i="13" s="1"/>
  <c r="AD103" i="13" s="1"/>
  <c r="AB97" i="13"/>
  <c r="AC97" i="13" s="1"/>
  <c r="AD97" i="13" s="1"/>
  <c r="AB84" i="13"/>
  <c r="AC84" i="13" s="1"/>
  <c r="AD84" i="13" s="1"/>
  <c r="AB59" i="13"/>
  <c r="AC59" i="13" s="1"/>
  <c r="AB34" i="13"/>
  <c r="AC34" i="13" s="1"/>
  <c r="AB28" i="13"/>
  <c r="AC28" i="13" s="1"/>
  <c r="AD28" i="13" s="1"/>
  <c r="X106" i="13"/>
  <c r="AB11" i="12"/>
  <c r="AC11" i="12" s="1"/>
  <c r="AB69" i="12"/>
  <c r="AC69" i="12" s="1"/>
  <c r="AD69" i="12" s="1"/>
  <c r="AB70" i="12"/>
  <c r="AC70" i="12" s="1"/>
  <c r="AD70" i="12" s="1"/>
  <c r="AB77" i="12"/>
  <c r="AC77" i="12" s="1"/>
  <c r="AD77" i="12" s="1"/>
  <c r="AB105" i="13"/>
  <c r="AC105" i="13" s="1"/>
  <c r="AD105" i="13" s="1"/>
  <c r="AB104" i="13"/>
  <c r="AC104" i="13" s="1"/>
  <c r="AD104" i="13" s="1"/>
  <c r="AB91" i="13"/>
  <c r="AB85" i="13"/>
  <c r="AB72" i="13"/>
  <c r="AC72" i="13" s="1"/>
  <c r="AD72" i="13" s="1"/>
  <c r="AB47" i="13"/>
  <c r="AC47" i="13" s="1"/>
  <c r="AD47" i="13" s="1"/>
  <c r="AB22" i="13"/>
  <c r="AC22" i="13" s="1"/>
  <c r="AD22" i="13" s="1"/>
  <c r="Y106" i="13"/>
  <c r="R106" i="7"/>
  <c r="AA106" i="7"/>
  <c r="AB61" i="12"/>
  <c r="AC61" i="12" s="1"/>
  <c r="AD61" i="12" s="1"/>
  <c r="AB62" i="12"/>
  <c r="AC62" i="12" s="1"/>
  <c r="AD62" i="12" s="1"/>
  <c r="AB102" i="12"/>
  <c r="AC102" i="12" s="1"/>
  <c r="AD102" i="12" s="1"/>
  <c r="AB103" i="12"/>
  <c r="AC103" i="12" s="1"/>
  <c r="AD103" i="12" s="1"/>
  <c r="AB93" i="13"/>
  <c r="AC93" i="13" s="1"/>
  <c r="AD93" i="13" s="1"/>
  <c r="AB92" i="13"/>
  <c r="AC92" i="13" s="1"/>
  <c r="AD92" i="13" s="1"/>
  <c r="AB79" i="13"/>
  <c r="AC79" i="13" s="1"/>
  <c r="AD79" i="13" s="1"/>
  <c r="AB73" i="13"/>
  <c r="AC73" i="13" s="1"/>
  <c r="AD73" i="13" s="1"/>
  <c r="AB60" i="13"/>
  <c r="AC60" i="13" s="1"/>
  <c r="AD60" i="13" s="1"/>
  <c r="AB35" i="13"/>
  <c r="AC35" i="13" s="1"/>
  <c r="AD35" i="13" s="1"/>
  <c r="AA106" i="13"/>
  <c r="AB10" i="13"/>
  <c r="AB81" i="13"/>
  <c r="AC81" i="13" s="1"/>
  <c r="AD81" i="13" s="1"/>
  <c r="AB80" i="13"/>
  <c r="AB67" i="13"/>
  <c r="AC67" i="13" s="1"/>
  <c r="AD67" i="13" s="1"/>
  <c r="AB61" i="13"/>
  <c r="AC61" i="13" s="1"/>
  <c r="AD61" i="13" s="1"/>
  <c r="AB48" i="13"/>
  <c r="AC48" i="13" s="1"/>
  <c r="AD48" i="13" s="1"/>
  <c r="AB23" i="13"/>
  <c r="AC23" i="13" s="1"/>
  <c r="AD23" i="13" s="1"/>
  <c r="S106" i="13"/>
  <c r="W106" i="13"/>
  <c r="AB6" i="13"/>
  <c r="AC6" i="13" s="1"/>
  <c r="AD6" i="13" s="1"/>
  <c r="AB102" i="13"/>
  <c r="AC102" i="13" s="1"/>
  <c r="AD102" i="13" s="1"/>
  <c r="AB99" i="13"/>
  <c r="AC99" i="13" s="1"/>
  <c r="AD99" i="13" s="1"/>
  <c r="AB68" i="13"/>
  <c r="AC68" i="13" s="1"/>
  <c r="AD68" i="13" s="1"/>
  <c r="AB55" i="13"/>
  <c r="AC55" i="13" s="1"/>
  <c r="AD55" i="13" s="1"/>
  <c r="AB49" i="13"/>
  <c r="AC49" i="13" s="1"/>
  <c r="AD49" i="13" s="1"/>
  <c r="AB36" i="13"/>
  <c r="AC36" i="13" s="1"/>
  <c r="AB18" i="13"/>
  <c r="AC18" i="13" s="1"/>
  <c r="AD18" i="13" s="1"/>
  <c r="AB11" i="13"/>
  <c r="AC11" i="13" s="1"/>
  <c r="AD11" i="13" s="1"/>
  <c r="AB63" i="9"/>
  <c r="AC63" i="9" s="1"/>
  <c r="AD63" i="9" s="1"/>
  <c r="AB74" i="9"/>
  <c r="AC74" i="9" s="1"/>
  <c r="AD74" i="9" s="1"/>
  <c r="AB86" i="9"/>
  <c r="AC86" i="9" s="1"/>
  <c r="AD86" i="9" s="1"/>
  <c r="AB98" i="9"/>
  <c r="AC98" i="9" s="1"/>
  <c r="AD98" i="9" s="1"/>
  <c r="Y106" i="7"/>
  <c r="AB103" i="7"/>
  <c r="AB97" i="7"/>
  <c r="AC97" i="7" s="1"/>
  <c r="AD97" i="7" s="1"/>
  <c r="AB91" i="7"/>
  <c r="AC91" i="7" s="1"/>
  <c r="AD91" i="7" s="1"/>
  <c r="AB85" i="7"/>
  <c r="AC85" i="7" s="1"/>
  <c r="AD85" i="7" s="1"/>
  <c r="AB79" i="7"/>
  <c r="AC79" i="7" s="1"/>
  <c r="AD79" i="7" s="1"/>
  <c r="AB73" i="7"/>
  <c r="AC73" i="7" s="1"/>
  <c r="AD73" i="7" s="1"/>
  <c r="AB67" i="7"/>
  <c r="AB61" i="7"/>
  <c r="AC61" i="7" s="1"/>
  <c r="AD61" i="7" s="1"/>
  <c r="AB31" i="7"/>
  <c r="AC31" i="7" s="1"/>
  <c r="AD31" i="7" s="1"/>
  <c r="V106" i="7"/>
  <c r="T106" i="7"/>
  <c r="W106" i="11"/>
  <c r="AB7" i="11"/>
  <c r="AC7" i="11" s="1"/>
  <c r="AD7" i="11" s="1"/>
  <c r="AB11" i="11"/>
  <c r="AC11" i="11" s="1"/>
  <c r="AD11" i="11" s="1"/>
  <c r="AB28" i="11"/>
  <c r="AC28" i="11" s="1"/>
  <c r="AD28" i="11" s="1"/>
  <c r="AB52" i="11"/>
  <c r="AC52" i="11" s="1"/>
  <c r="AB56" i="11"/>
  <c r="AC56" i="11" s="1"/>
  <c r="AD56" i="11" s="1"/>
  <c r="AB64" i="11"/>
  <c r="AB76" i="11"/>
  <c r="AB80" i="11"/>
  <c r="AC80" i="11" s="1"/>
  <c r="AD80" i="11" s="1"/>
  <c r="AB90" i="11"/>
  <c r="AC90" i="11" s="1"/>
  <c r="AD90" i="11" s="1"/>
  <c r="AB102" i="11"/>
  <c r="AC102" i="11" s="1"/>
  <c r="AD102" i="11" s="1"/>
  <c r="AB45" i="12"/>
  <c r="AC45" i="12" s="1"/>
  <c r="AD45" i="12" s="1"/>
  <c r="AB46" i="12"/>
  <c r="AC46" i="12" s="1"/>
  <c r="AD46" i="12" s="1"/>
  <c r="AB66" i="12"/>
  <c r="AC66" i="12" s="1"/>
  <c r="AB90" i="13"/>
  <c r="AC90" i="13" s="1"/>
  <c r="AD90" i="13" s="1"/>
  <c r="AB87" i="13"/>
  <c r="AB69" i="13"/>
  <c r="AC69" i="13" s="1"/>
  <c r="AD69" i="13" s="1"/>
  <c r="AB65" i="13"/>
  <c r="AC65" i="13" s="1"/>
  <c r="AD65" i="13" s="1"/>
  <c r="AB56" i="13"/>
  <c r="AC56" i="13" s="1"/>
  <c r="AD56" i="13" s="1"/>
  <c r="AB43" i="13"/>
  <c r="AB37" i="13"/>
  <c r="AC37" i="13" s="1"/>
  <c r="AD37" i="13" s="1"/>
  <c r="AB24" i="13"/>
  <c r="AC24" i="13" s="1"/>
  <c r="AD24" i="13" s="1"/>
  <c r="AB16" i="13"/>
  <c r="AC16" i="13" s="1"/>
  <c r="AD16" i="13" s="1"/>
  <c r="E19" i="14"/>
  <c r="AB101" i="13"/>
  <c r="AC101" i="13" s="1"/>
  <c r="AD101" i="13" s="1"/>
  <c r="AB100" i="13"/>
  <c r="AC100" i="13" s="1"/>
  <c r="AD100" i="13" s="1"/>
  <c r="AB78" i="13"/>
  <c r="AC78" i="13" s="1"/>
  <c r="AD78" i="13" s="1"/>
  <c r="AB75" i="13"/>
  <c r="AC75" i="13" s="1"/>
  <c r="AD75" i="13" s="1"/>
  <c r="AB57" i="13"/>
  <c r="AC57" i="13" s="1"/>
  <c r="AD57" i="13" s="1"/>
  <c r="AB53" i="13"/>
  <c r="AC53" i="13" s="1"/>
  <c r="AD53" i="13" s="1"/>
  <c r="AB44" i="13"/>
  <c r="AC44" i="13" s="1"/>
  <c r="AD44" i="13" s="1"/>
  <c r="AB31" i="13"/>
  <c r="AC31" i="13" s="1"/>
  <c r="AD31" i="13" s="1"/>
  <c r="AB25" i="13"/>
  <c r="AC25" i="13" s="1"/>
  <c r="AD25" i="13" s="1"/>
  <c r="AB12" i="13"/>
  <c r="AC12" i="13" s="1"/>
  <c r="AD12" i="13" s="1"/>
  <c r="V106" i="13"/>
  <c r="AB7" i="13"/>
  <c r="AB8" i="11"/>
  <c r="AB26" i="11"/>
  <c r="AC26" i="11" s="1"/>
  <c r="AD26" i="11" s="1"/>
  <c r="AB38" i="11"/>
  <c r="AC38" i="11" s="1"/>
  <c r="AD38" i="11" s="1"/>
  <c r="AB50" i="11"/>
  <c r="AC50" i="11" s="1"/>
  <c r="AD50" i="11" s="1"/>
  <c r="AB54" i="11"/>
  <c r="AC54" i="11" s="1"/>
  <c r="AD54" i="11" s="1"/>
  <c r="AB62" i="11"/>
  <c r="AC62" i="11" s="1"/>
  <c r="AD62" i="11" s="1"/>
  <c r="AB66" i="11"/>
  <c r="AC66" i="11" s="1"/>
  <c r="AD66" i="11" s="1"/>
  <c r="AB88" i="11"/>
  <c r="AC88" i="11" s="1"/>
  <c r="AD88" i="11" s="1"/>
  <c r="AB100" i="11"/>
  <c r="AC100" i="11" s="1"/>
  <c r="AD100" i="11" s="1"/>
  <c r="AB37" i="12"/>
  <c r="AB94" i="13"/>
  <c r="AC94" i="13" s="1"/>
  <c r="AD94" i="13" s="1"/>
  <c r="AB89" i="13"/>
  <c r="AC89" i="13" s="1"/>
  <c r="AD89" i="13" s="1"/>
  <c r="AB88" i="13"/>
  <c r="AB66" i="13"/>
  <c r="AC66" i="13" s="1"/>
  <c r="AD66" i="13" s="1"/>
  <c r="AB63" i="13"/>
  <c r="AC63" i="13" s="1"/>
  <c r="AD63" i="13" s="1"/>
  <c r="AB41" i="13"/>
  <c r="AC41" i="13" s="1"/>
  <c r="AD41" i="13" s="1"/>
  <c r="AB32" i="13"/>
  <c r="AC32" i="13" s="1"/>
  <c r="AD32" i="13" s="1"/>
  <c r="AB19" i="13"/>
  <c r="AC19" i="13" s="1"/>
  <c r="AD19" i="13" s="1"/>
  <c r="AB13" i="13"/>
  <c r="AC13" i="13" s="1"/>
  <c r="AD13" i="13" s="1"/>
  <c r="AB49" i="11"/>
  <c r="AC49" i="11" s="1"/>
  <c r="AD49" i="11" s="1"/>
  <c r="AB61" i="11"/>
  <c r="AC61" i="11" s="1"/>
  <c r="AD61" i="11" s="1"/>
  <c r="AB28" i="12"/>
  <c r="AC28" i="12" s="1"/>
  <c r="AD28" i="12" s="1"/>
  <c r="AB29" i="12"/>
  <c r="AC29" i="12" s="1"/>
  <c r="AD29" i="12" s="1"/>
  <c r="AB95" i="13"/>
  <c r="AC95" i="13" s="1"/>
  <c r="AD95" i="13" s="1"/>
  <c r="AB82" i="13"/>
  <c r="AB77" i="13"/>
  <c r="AB76" i="13"/>
  <c r="AB54" i="13"/>
  <c r="AC54" i="13" s="1"/>
  <c r="AD54" i="13" s="1"/>
  <c r="AB51" i="13"/>
  <c r="AC51" i="13" s="1"/>
  <c r="AD51" i="13" s="1"/>
  <c r="AB45" i="13"/>
  <c r="AC45" i="13" s="1"/>
  <c r="AD45" i="13" s="1"/>
  <c r="AB29" i="13"/>
  <c r="AC29" i="13" s="1"/>
  <c r="AD29" i="13" s="1"/>
  <c r="AB20" i="13"/>
  <c r="AC20" i="13" s="1"/>
  <c r="AD20" i="13" s="1"/>
  <c r="AB24" i="11"/>
  <c r="AB36" i="11"/>
  <c r="AB48" i="11"/>
  <c r="AC48" i="11" s="1"/>
  <c r="AD48" i="11" s="1"/>
  <c r="AB86" i="11"/>
  <c r="AC86" i="11" s="1"/>
  <c r="AD86" i="11" s="1"/>
  <c r="AB83" i="13"/>
  <c r="AC83" i="13" s="1"/>
  <c r="AD83" i="13" s="1"/>
  <c r="AB70" i="13"/>
  <c r="AC70" i="13" s="1"/>
  <c r="AD70" i="13" s="1"/>
  <c r="AB64" i="13"/>
  <c r="AC64" i="13" s="1"/>
  <c r="AD64" i="13" s="1"/>
  <c r="AB42" i="13"/>
  <c r="AC42" i="13" s="1"/>
  <c r="AD42" i="13" s="1"/>
  <c r="AB39" i="13"/>
  <c r="AC39" i="13" s="1"/>
  <c r="AD39" i="13" s="1"/>
  <c r="AB33" i="13"/>
  <c r="AC33" i="13" s="1"/>
  <c r="AD33" i="13" s="1"/>
  <c r="AB17" i="13"/>
  <c r="U106" i="13"/>
  <c r="AB8" i="13"/>
  <c r="E54" i="14"/>
  <c r="AC83" i="6"/>
  <c r="AD83" i="6" s="1"/>
  <c r="U106" i="6"/>
  <c r="AA106" i="6"/>
  <c r="AB102" i="6"/>
  <c r="AC102" i="6" s="1"/>
  <c r="AD102" i="6" s="1"/>
  <c r="AB96" i="6"/>
  <c r="AC96" i="6" s="1"/>
  <c r="AD96" i="6" s="1"/>
  <c r="AB90" i="6"/>
  <c r="AC90" i="6" s="1"/>
  <c r="AD90" i="6" s="1"/>
  <c r="AB84" i="6"/>
  <c r="AC84" i="6" s="1"/>
  <c r="AD84" i="6" s="1"/>
  <c r="AB78" i="6"/>
  <c r="AC78" i="6" s="1"/>
  <c r="AD78" i="6" s="1"/>
  <c r="AB66" i="6"/>
  <c r="AC66" i="6" s="1"/>
  <c r="AD66" i="6" s="1"/>
  <c r="AB60" i="6"/>
  <c r="AC60" i="6" s="1"/>
  <c r="AB54" i="6"/>
  <c r="AC54" i="6" s="1"/>
  <c r="AD54" i="6" s="1"/>
  <c r="AB48" i="6"/>
  <c r="AC48" i="6" s="1"/>
  <c r="AD48" i="6" s="1"/>
  <c r="AB42" i="6"/>
  <c r="AB36" i="6"/>
  <c r="AC36" i="6" s="1"/>
  <c r="AB33" i="6"/>
  <c r="AC33" i="6" s="1"/>
  <c r="AD33" i="6" s="1"/>
  <c r="AB30" i="6"/>
  <c r="AC30" i="6" s="1"/>
  <c r="AD30" i="6" s="1"/>
  <c r="AB26" i="6"/>
  <c r="AC26" i="6" s="1"/>
  <c r="AD26" i="6" s="1"/>
  <c r="AB24" i="6"/>
  <c r="AC24" i="6" s="1"/>
  <c r="AD24" i="6" s="1"/>
  <c r="AB18" i="6"/>
  <c r="AC18" i="6" s="1"/>
  <c r="AD18" i="6" s="1"/>
  <c r="AB15" i="6"/>
  <c r="AC15" i="6" s="1"/>
  <c r="AD15" i="6" s="1"/>
  <c r="AB12" i="6"/>
  <c r="AC12" i="6" s="1"/>
  <c r="AD12" i="6" s="1"/>
  <c r="Z106" i="6"/>
  <c r="X106" i="6"/>
  <c r="V106" i="6"/>
  <c r="T106" i="6"/>
  <c r="Y106" i="6"/>
  <c r="AB105" i="6"/>
  <c r="AC105" i="6" s="1"/>
  <c r="AD105" i="6" s="1"/>
  <c r="AB104" i="6"/>
  <c r="AC104" i="6" s="1"/>
  <c r="AD104" i="6" s="1"/>
  <c r="AB103" i="6"/>
  <c r="AC103" i="6" s="1"/>
  <c r="AB100" i="6"/>
  <c r="AC100" i="6" s="1"/>
  <c r="AD100" i="6" s="1"/>
  <c r="AB99" i="6"/>
  <c r="AC99" i="6" s="1"/>
  <c r="AD99" i="6" s="1"/>
  <c r="AB98" i="6"/>
  <c r="AC98" i="6" s="1"/>
  <c r="AD98" i="6" s="1"/>
  <c r="AB97" i="6"/>
  <c r="AC97" i="6" s="1"/>
  <c r="AB94" i="6"/>
  <c r="AC94" i="6" s="1"/>
  <c r="AB93" i="6"/>
  <c r="AC93" i="6" s="1"/>
  <c r="AD93" i="6" s="1"/>
  <c r="AB92" i="6"/>
  <c r="AC92" i="6" s="1"/>
  <c r="AD92" i="6" s="1"/>
  <c r="AB91" i="6"/>
  <c r="AC91" i="6" s="1"/>
  <c r="AD91" i="6" s="1"/>
  <c r="AB88" i="6"/>
  <c r="AC88" i="6" s="1"/>
  <c r="AD88" i="6" s="1"/>
  <c r="AB87" i="6"/>
  <c r="AC87" i="6" s="1"/>
  <c r="AD87" i="6" s="1"/>
  <c r="AB86" i="6"/>
  <c r="AC86" i="6" s="1"/>
  <c r="AD86" i="6" s="1"/>
  <c r="AB85" i="6"/>
  <c r="AC85" i="6" s="1"/>
  <c r="AD85" i="6" s="1"/>
  <c r="AB82" i="6"/>
  <c r="AC82" i="6" s="1"/>
  <c r="AD82" i="6" s="1"/>
  <c r="AB80" i="6"/>
  <c r="AC80" i="6" s="1"/>
  <c r="AD80" i="6" s="1"/>
  <c r="AB79" i="6"/>
  <c r="AC79" i="6" s="1"/>
  <c r="AD79" i="6" s="1"/>
  <c r="AB76" i="6"/>
  <c r="AC76" i="6" s="1"/>
  <c r="AB75" i="6"/>
  <c r="AC75" i="6" s="1"/>
  <c r="AD75" i="6" s="1"/>
  <c r="AB73" i="6"/>
  <c r="AC73" i="6" s="1"/>
  <c r="AD73" i="6" s="1"/>
  <c r="AB70" i="6"/>
  <c r="AC70" i="6" s="1"/>
  <c r="AB69" i="6"/>
  <c r="AC69" i="6" s="1"/>
  <c r="AD69" i="6" s="1"/>
  <c r="AB68" i="6"/>
  <c r="AC68" i="6" s="1"/>
  <c r="AB67" i="6"/>
  <c r="AC67" i="6" s="1"/>
  <c r="AD67" i="6" s="1"/>
  <c r="AB64" i="6"/>
  <c r="AC64" i="6" s="1"/>
  <c r="AD64" i="6" s="1"/>
  <c r="AB63" i="6"/>
  <c r="AC63" i="6" s="1"/>
  <c r="AD63" i="6" s="1"/>
  <c r="AB62" i="6"/>
  <c r="AC62" i="6" s="1"/>
  <c r="AD62" i="6" s="1"/>
  <c r="AB61" i="6"/>
  <c r="AC61" i="6" s="1"/>
  <c r="AD61" i="6" s="1"/>
  <c r="AB56" i="6"/>
  <c r="AC56" i="6" s="1"/>
  <c r="AD56" i="6" s="1"/>
  <c r="AB55" i="6"/>
  <c r="AB52" i="6"/>
  <c r="AC52" i="6" s="1"/>
  <c r="AB51" i="6"/>
  <c r="AC51" i="6" s="1"/>
  <c r="AD51" i="6" s="1"/>
  <c r="AB50" i="6"/>
  <c r="AC50" i="6" s="1"/>
  <c r="AD50" i="6" s="1"/>
  <c r="AB49" i="6"/>
  <c r="AC49" i="6" s="1"/>
  <c r="AD49" i="6" s="1"/>
  <c r="AB45" i="6"/>
  <c r="AC45" i="6" s="1"/>
  <c r="AD45" i="6" s="1"/>
  <c r="AB40" i="6"/>
  <c r="AC40" i="6" s="1"/>
  <c r="AB39" i="6"/>
  <c r="AC39" i="6" s="1"/>
  <c r="AD39" i="6" s="1"/>
  <c r="AB38" i="6"/>
  <c r="AC38" i="6" s="1"/>
  <c r="AB37" i="6"/>
  <c r="AC37" i="6" s="1"/>
  <c r="AD37" i="6" s="1"/>
  <c r="AB34" i="6"/>
  <c r="AC34" i="6" s="1"/>
  <c r="AD34" i="6" s="1"/>
  <c r="AB32" i="6"/>
  <c r="AC32" i="6" s="1"/>
  <c r="AD32" i="6" s="1"/>
  <c r="AB31" i="6"/>
  <c r="AC31" i="6" s="1"/>
  <c r="AB28" i="6"/>
  <c r="AC28" i="6" s="1"/>
  <c r="AD28" i="6" s="1"/>
  <c r="AB27" i="6"/>
  <c r="AC27" i="6" s="1"/>
  <c r="AD27" i="6" s="1"/>
  <c r="AB25" i="6"/>
  <c r="AC25" i="6" s="1"/>
  <c r="AD25" i="6" s="1"/>
  <c r="AB22" i="6"/>
  <c r="AC22" i="6" s="1"/>
  <c r="AD22" i="6" s="1"/>
  <c r="AB14" i="6"/>
  <c r="AC14" i="6" s="1"/>
  <c r="AD14" i="6" s="1"/>
  <c r="AB13" i="6"/>
  <c r="AC13" i="6" s="1"/>
  <c r="AD13" i="6" s="1"/>
  <c r="AB10" i="6"/>
  <c r="AC10" i="6" s="1"/>
  <c r="AD10" i="6" s="1"/>
  <c r="AB9" i="6"/>
  <c r="AC9" i="6" s="1"/>
  <c r="AB8" i="6"/>
  <c r="AC8" i="6" s="1"/>
  <c r="AD8" i="6" s="1"/>
  <c r="AB7" i="6"/>
  <c r="AC7" i="6" s="1"/>
  <c r="AD7" i="6" s="1"/>
  <c r="W106" i="6"/>
  <c r="S106" i="6"/>
  <c r="AC93" i="12"/>
  <c r="AD93" i="12" s="1"/>
  <c r="AB96" i="12"/>
  <c r="AC96" i="12" s="1"/>
  <c r="AD96" i="12" s="1"/>
  <c r="AB98" i="12"/>
  <c r="AC98" i="12" s="1"/>
  <c r="AB101" i="12"/>
  <c r="AC101" i="12" s="1"/>
  <c r="AD101" i="12" s="1"/>
  <c r="AB40" i="12"/>
  <c r="AC40" i="12" s="1"/>
  <c r="AD40" i="12" s="1"/>
  <c r="AB41" i="12"/>
  <c r="AB42" i="12"/>
  <c r="AC42" i="12" s="1"/>
  <c r="AD42" i="12" s="1"/>
  <c r="AB43" i="12"/>
  <c r="AC43" i="12" s="1"/>
  <c r="AB44" i="12"/>
  <c r="AC44" i="12" s="1"/>
  <c r="AD44" i="12" s="1"/>
  <c r="AB47" i="12"/>
  <c r="AC47" i="12" s="1"/>
  <c r="AD47" i="12" s="1"/>
  <c r="AB48" i="12"/>
  <c r="AC48" i="12" s="1"/>
  <c r="AD48" i="12" s="1"/>
  <c r="AB49" i="12"/>
  <c r="AC49" i="12" s="1"/>
  <c r="AD49" i="12" s="1"/>
  <c r="AB50" i="12"/>
  <c r="AC50" i="12" s="1"/>
  <c r="AD50" i="12" s="1"/>
  <c r="AB51" i="12"/>
  <c r="AC51" i="12" s="1"/>
  <c r="AD51" i="12" s="1"/>
  <c r="AB52" i="12"/>
  <c r="AC52" i="12" s="1"/>
  <c r="AD52" i="12" s="1"/>
  <c r="AB55" i="12"/>
  <c r="AC55" i="12" s="1"/>
  <c r="AB56" i="12"/>
  <c r="AC56" i="12" s="1"/>
  <c r="AD56" i="12" s="1"/>
  <c r="AB57" i="12"/>
  <c r="AC57" i="12" s="1"/>
  <c r="AB58" i="12"/>
  <c r="AC58" i="12" s="1"/>
  <c r="AD58" i="12" s="1"/>
  <c r="AB59" i="12"/>
  <c r="AC59" i="12" s="1"/>
  <c r="AD59" i="12" s="1"/>
  <c r="AB60" i="12"/>
  <c r="AC60" i="12" s="1"/>
  <c r="AD60" i="12" s="1"/>
  <c r="AB63" i="12"/>
  <c r="AC63" i="12" s="1"/>
  <c r="AD63" i="12" s="1"/>
  <c r="AB64" i="12"/>
  <c r="AC64" i="12" s="1"/>
  <c r="AB65" i="12"/>
  <c r="AC65" i="12" s="1"/>
  <c r="AB67" i="12"/>
  <c r="AB68" i="12"/>
  <c r="AC68" i="12" s="1"/>
  <c r="AB71" i="12"/>
  <c r="AC71" i="12" s="1"/>
  <c r="AD71" i="12" s="1"/>
  <c r="AB72" i="12"/>
  <c r="AC72" i="12" s="1"/>
  <c r="AD72" i="12" s="1"/>
  <c r="AB73" i="12"/>
  <c r="AC73" i="12" s="1"/>
  <c r="AD73" i="12" s="1"/>
  <c r="AB74" i="12"/>
  <c r="AC74" i="12" s="1"/>
  <c r="AD74" i="12" s="1"/>
  <c r="AB75" i="12"/>
  <c r="AC75" i="12" s="1"/>
  <c r="AD75" i="12" s="1"/>
  <c r="AB76" i="12"/>
  <c r="AC76" i="12" s="1"/>
  <c r="AD76" i="12" s="1"/>
  <c r="AB78" i="12"/>
  <c r="AC78" i="12" s="1"/>
  <c r="AD78" i="12" s="1"/>
  <c r="AB79" i="12"/>
  <c r="AC79" i="12" s="1"/>
  <c r="AD79" i="12" s="1"/>
  <c r="AB80" i="12"/>
  <c r="AC80" i="12" s="1"/>
  <c r="AB81" i="12"/>
  <c r="AC81" i="12" s="1"/>
  <c r="AD81" i="12" s="1"/>
  <c r="AB82" i="12"/>
  <c r="AC82" i="12" s="1"/>
  <c r="AD82" i="12" s="1"/>
  <c r="AB83" i="12"/>
  <c r="AC83" i="12" s="1"/>
  <c r="AD83" i="12" s="1"/>
  <c r="AB84" i="12"/>
  <c r="AC84" i="12" s="1"/>
  <c r="AD84" i="12" s="1"/>
  <c r="AB86" i="12"/>
  <c r="AC86" i="12" s="1"/>
  <c r="AD86" i="12" s="1"/>
  <c r="AB87" i="12"/>
  <c r="AC87" i="12" s="1"/>
  <c r="AD87" i="12" s="1"/>
  <c r="AB88" i="12"/>
  <c r="AC88" i="12" s="1"/>
  <c r="AD88" i="12" s="1"/>
  <c r="AB89" i="12"/>
  <c r="AC89" i="12" s="1"/>
  <c r="AD89" i="12" s="1"/>
  <c r="AB90" i="12"/>
  <c r="AC90" i="12" s="1"/>
  <c r="AD90" i="12" s="1"/>
  <c r="AB91" i="12"/>
  <c r="AC91" i="12" s="1"/>
  <c r="AD91" i="12" s="1"/>
  <c r="AB94" i="12"/>
  <c r="AC94" i="12" s="1"/>
  <c r="AD94" i="12" s="1"/>
  <c r="AB104" i="12"/>
  <c r="AC104" i="12" s="1"/>
  <c r="AD104" i="12" s="1"/>
  <c r="AB31" i="12"/>
  <c r="AC31" i="12" s="1"/>
  <c r="AD31" i="12" s="1"/>
  <c r="AB32" i="12"/>
  <c r="AC32" i="12" s="1"/>
  <c r="AB33" i="12"/>
  <c r="AC33" i="12" s="1"/>
  <c r="AD33" i="12" s="1"/>
  <c r="AB34" i="12"/>
  <c r="AC34" i="12" s="1"/>
  <c r="AB35" i="12"/>
  <c r="AC35" i="12" s="1"/>
  <c r="AD35" i="12" s="1"/>
  <c r="AB36" i="12"/>
  <c r="AC36" i="12" s="1"/>
  <c r="AD36" i="12" s="1"/>
  <c r="AB38" i="12"/>
  <c r="AC38" i="12" s="1"/>
  <c r="AD38" i="12" s="1"/>
  <c r="AB105" i="12"/>
  <c r="AC105" i="12" s="1"/>
  <c r="AD105" i="12" s="1"/>
  <c r="AB23" i="12"/>
  <c r="AC23" i="12" s="1"/>
  <c r="AD23" i="12" s="1"/>
  <c r="AB24" i="12"/>
  <c r="AC24" i="12" s="1"/>
  <c r="AD24" i="12" s="1"/>
  <c r="AB25" i="12"/>
  <c r="AC25" i="12" s="1"/>
  <c r="AD25" i="12" s="1"/>
  <c r="AB26" i="12"/>
  <c r="AC26" i="12" s="1"/>
  <c r="AD26" i="12" s="1"/>
  <c r="AB27" i="12"/>
  <c r="AC27" i="12" s="1"/>
  <c r="AD27" i="12" s="1"/>
  <c r="AB30" i="12"/>
  <c r="AC30" i="12" s="1"/>
  <c r="AD30" i="12" s="1"/>
  <c r="T106" i="12"/>
  <c r="AB15" i="12"/>
  <c r="AC15" i="12" s="1"/>
  <c r="AD15" i="12" s="1"/>
  <c r="AB16" i="12"/>
  <c r="AC16" i="12" s="1"/>
  <c r="AD16" i="12" s="1"/>
  <c r="AB17" i="12"/>
  <c r="AC17" i="12" s="1"/>
  <c r="AB18" i="12"/>
  <c r="AC18" i="12" s="1"/>
  <c r="AA106" i="12"/>
  <c r="AB21" i="12"/>
  <c r="AC21" i="12" s="1"/>
  <c r="AD21" i="12" s="1"/>
  <c r="AB22" i="12"/>
  <c r="AC22" i="12" s="1"/>
  <c r="AD22" i="12" s="1"/>
  <c r="AB6" i="12"/>
  <c r="AC6" i="12" s="1"/>
  <c r="AD6" i="12" s="1"/>
  <c r="AB7" i="12"/>
  <c r="AC7" i="12" s="1"/>
  <c r="AD7" i="12" s="1"/>
  <c r="W106" i="12"/>
  <c r="Y106" i="12"/>
  <c r="Z106" i="12"/>
  <c r="S106" i="12"/>
  <c r="AC69" i="1"/>
  <c r="AD69" i="1" s="1"/>
  <c r="W106" i="1"/>
  <c r="T106" i="1"/>
  <c r="R106" i="1"/>
  <c r="AB102" i="1"/>
  <c r="AC102" i="1" s="1"/>
  <c r="AD102" i="1" s="1"/>
  <c r="AB90" i="1"/>
  <c r="AC90" i="1" s="1"/>
  <c r="AD90" i="1" s="1"/>
  <c r="AB78" i="1"/>
  <c r="AC78" i="1" s="1"/>
  <c r="AD78" i="1" s="1"/>
  <c r="AB66" i="1"/>
  <c r="AC66" i="1" s="1"/>
  <c r="AD66" i="1" s="1"/>
  <c r="AB54" i="1"/>
  <c r="AC54" i="1" s="1"/>
  <c r="AD54" i="1" s="1"/>
  <c r="AB42" i="1"/>
  <c r="AC42" i="1" s="1"/>
  <c r="AD42" i="1" s="1"/>
  <c r="AB30" i="1"/>
  <c r="AC30" i="1" s="1"/>
  <c r="AD30" i="1" s="1"/>
  <c r="U106" i="1"/>
  <c r="S106" i="1"/>
  <c r="AB103" i="1"/>
  <c r="AB100" i="1"/>
  <c r="AC100" i="1" s="1"/>
  <c r="AD100" i="1" s="1"/>
  <c r="AB97" i="1"/>
  <c r="AC97" i="1" s="1"/>
  <c r="AD97" i="1" s="1"/>
  <c r="AB94" i="1"/>
  <c r="AC94" i="1" s="1"/>
  <c r="AD94" i="1" s="1"/>
  <c r="AB91" i="1"/>
  <c r="AC91" i="1" s="1"/>
  <c r="AD91" i="1" s="1"/>
  <c r="AB88" i="1"/>
  <c r="AC88" i="1" s="1"/>
  <c r="AD88" i="1" s="1"/>
  <c r="AB85" i="1"/>
  <c r="AC85" i="1" s="1"/>
  <c r="AD85" i="1" s="1"/>
  <c r="AB82" i="1"/>
  <c r="AC82" i="1" s="1"/>
  <c r="AD82" i="1" s="1"/>
  <c r="AB79" i="1"/>
  <c r="AC79" i="1" s="1"/>
  <c r="AD79" i="1" s="1"/>
  <c r="AB76" i="1"/>
  <c r="AC76" i="1" s="1"/>
  <c r="AD76" i="1" s="1"/>
  <c r="AB73" i="1"/>
  <c r="AC73" i="1" s="1"/>
  <c r="AB70" i="1"/>
  <c r="AC70" i="1" s="1"/>
  <c r="AD70" i="1" s="1"/>
  <c r="AB67" i="1"/>
  <c r="AC67" i="1" s="1"/>
  <c r="AD67" i="1" s="1"/>
  <c r="AB64" i="1"/>
  <c r="AC64" i="1" s="1"/>
  <c r="AD64" i="1" s="1"/>
  <c r="AB61" i="1"/>
  <c r="AC61" i="1" s="1"/>
  <c r="AD61" i="1" s="1"/>
  <c r="AB58" i="1"/>
  <c r="AC58" i="1" s="1"/>
  <c r="AD58" i="1" s="1"/>
  <c r="AB55" i="1"/>
  <c r="AC55" i="1" s="1"/>
  <c r="AD55" i="1" s="1"/>
  <c r="AB52" i="1"/>
  <c r="AC52" i="1" s="1"/>
  <c r="AD52" i="1" s="1"/>
  <c r="AB49" i="1"/>
  <c r="AC49" i="1" s="1"/>
  <c r="AD49" i="1" s="1"/>
  <c r="AB46" i="1"/>
  <c r="AC46" i="1" s="1"/>
  <c r="AD46" i="1" s="1"/>
  <c r="AB43" i="1"/>
  <c r="AC43" i="1" s="1"/>
  <c r="AD43" i="1" s="1"/>
  <c r="AB40" i="1"/>
  <c r="AC40" i="1" s="1"/>
  <c r="AD40" i="1" s="1"/>
  <c r="AB37" i="1"/>
  <c r="AC37" i="1" s="1"/>
  <c r="AD37" i="1" s="1"/>
  <c r="AB34" i="1"/>
  <c r="AC34" i="1" s="1"/>
  <c r="AD34" i="1" s="1"/>
  <c r="AB31" i="1"/>
  <c r="AC31" i="1" s="1"/>
  <c r="AD31" i="1" s="1"/>
  <c r="AB28" i="1"/>
  <c r="AC28" i="1" s="1"/>
  <c r="AD28" i="1" s="1"/>
  <c r="AB26" i="1"/>
  <c r="AC26" i="1" s="1"/>
  <c r="AD26" i="1" s="1"/>
  <c r="AB25" i="1"/>
  <c r="AC25" i="1" s="1"/>
  <c r="AD25" i="1" s="1"/>
  <c r="AB23" i="1"/>
  <c r="AC23" i="1" s="1"/>
  <c r="AD23" i="1" s="1"/>
  <c r="AB22" i="1"/>
  <c r="AC22" i="1" s="1"/>
  <c r="AD22" i="1" s="1"/>
  <c r="AB20" i="1"/>
  <c r="AC20" i="1" s="1"/>
  <c r="AD20" i="1" s="1"/>
  <c r="AB19" i="1"/>
  <c r="AC19" i="1" s="1"/>
  <c r="AD19" i="1" s="1"/>
  <c r="AB17" i="1"/>
  <c r="AC17" i="1" s="1"/>
  <c r="AD17" i="1" s="1"/>
  <c r="AB16" i="1"/>
  <c r="AC16" i="1" s="1"/>
  <c r="AD16" i="1" s="1"/>
  <c r="AB14" i="1"/>
  <c r="AC14" i="1" s="1"/>
  <c r="AD14" i="1" s="1"/>
  <c r="AB13" i="1"/>
  <c r="AC13" i="1" s="1"/>
  <c r="AD13" i="1" s="1"/>
  <c r="AB11" i="1"/>
  <c r="AC11" i="1" s="1"/>
  <c r="AD11" i="1" s="1"/>
  <c r="AB10" i="1"/>
  <c r="AC10" i="1" s="1"/>
  <c r="AD10" i="1" s="1"/>
  <c r="AC74" i="6"/>
  <c r="AD74" i="6" s="1"/>
  <c r="AC43" i="6"/>
  <c r="AD43" i="6" s="1"/>
  <c r="O105" i="6"/>
  <c r="M106" i="6"/>
  <c r="M107" i="6"/>
  <c r="AB6" i="6"/>
  <c r="M106" i="12"/>
  <c r="M107" i="12"/>
  <c r="O105" i="12"/>
  <c r="V106" i="12"/>
  <c r="AB13" i="12"/>
  <c r="AC37" i="12"/>
  <c r="AD37" i="12" s="1"/>
  <c r="AC95" i="12"/>
  <c r="AD95" i="12" s="1"/>
  <c r="AB10" i="12"/>
  <c r="AB19" i="12"/>
  <c r="AB14" i="12"/>
  <c r="X106" i="12"/>
  <c r="AB8" i="12"/>
  <c r="AD54" i="12"/>
  <c r="AB9" i="12"/>
  <c r="AC46" i="13"/>
  <c r="AD46" i="13" s="1"/>
  <c r="AC9" i="13"/>
  <c r="AD9" i="13" s="1"/>
  <c r="AC91" i="13"/>
  <c r="AD91" i="13" s="1"/>
  <c r="AC85" i="13"/>
  <c r="AD85" i="13" s="1"/>
  <c r="O105" i="13"/>
  <c r="AC10" i="13"/>
  <c r="AD10" i="13" s="1"/>
  <c r="AC80" i="13"/>
  <c r="AD80" i="13" s="1"/>
  <c r="AC43" i="13"/>
  <c r="AD43" i="13" s="1"/>
  <c r="AC7" i="13"/>
  <c r="AD7" i="13" s="1"/>
  <c r="AC88" i="13"/>
  <c r="AD88" i="13" s="1"/>
  <c r="M106" i="13"/>
  <c r="M107" i="13"/>
  <c r="AC82" i="13"/>
  <c r="AD82" i="13" s="1"/>
  <c r="AC77" i="13"/>
  <c r="AD77" i="13" s="1"/>
  <c r="AC76" i="13"/>
  <c r="AD76" i="13" s="1"/>
  <c r="AC17" i="13"/>
  <c r="AD17" i="13" s="1"/>
  <c r="AC8" i="13"/>
  <c r="AD8" i="13" s="1"/>
  <c r="AC21" i="13"/>
  <c r="AD21" i="13" s="1"/>
  <c r="R106" i="13"/>
  <c r="E28" i="14"/>
  <c r="E23" i="14"/>
  <c r="E25" i="14"/>
  <c r="Z106" i="13"/>
  <c r="AD98" i="13"/>
  <c r="AD50" i="13"/>
  <c r="AD38" i="13"/>
  <c r="AD26" i="13"/>
  <c r="E30" i="14"/>
  <c r="E22" i="14"/>
  <c r="AC23" i="9"/>
  <c r="AD23" i="9" s="1"/>
  <c r="AC48" i="9"/>
  <c r="AD48" i="9" s="1"/>
  <c r="AC95" i="9"/>
  <c r="AD95" i="9" s="1"/>
  <c r="AC57" i="9"/>
  <c r="AD57" i="9" s="1"/>
  <c r="AC58" i="9"/>
  <c r="AD58" i="9" s="1"/>
  <c r="O105" i="9"/>
  <c r="AC9" i="9"/>
  <c r="AD9" i="9" s="1"/>
  <c r="AC102" i="9"/>
  <c r="AD102" i="9" s="1"/>
  <c r="AC59" i="9"/>
  <c r="AD59" i="9" s="1"/>
  <c r="AC38" i="9"/>
  <c r="AD38" i="9" s="1"/>
  <c r="AD29" i="9"/>
  <c r="AC47" i="9"/>
  <c r="AD47" i="9" s="1"/>
  <c r="AB20" i="9"/>
  <c r="AC64" i="9"/>
  <c r="AD64" i="9" s="1"/>
  <c r="AD88" i="9"/>
  <c r="AD87" i="9"/>
  <c r="AD75" i="9"/>
  <c r="AD77" i="9"/>
  <c r="AD80" i="9"/>
  <c r="AA106" i="9"/>
  <c r="M106" i="9"/>
  <c r="M107" i="9"/>
  <c r="S106" i="9"/>
  <c r="T106" i="9"/>
  <c r="AC62" i="8"/>
  <c r="AD62" i="8" s="1"/>
  <c r="AC10" i="8"/>
  <c r="AD10" i="8" s="1"/>
  <c r="AC28" i="8"/>
  <c r="AD28" i="8" s="1"/>
  <c r="AC29" i="8"/>
  <c r="AD29" i="8" s="1"/>
  <c r="AC98" i="8"/>
  <c r="AD98" i="8" s="1"/>
  <c r="AC88" i="8"/>
  <c r="AD88" i="8" s="1"/>
  <c r="AC93" i="8"/>
  <c r="AD93" i="8" s="1"/>
  <c r="O105" i="8"/>
  <c r="AC26" i="8"/>
  <c r="AD26" i="8" s="1"/>
  <c r="AC79" i="8"/>
  <c r="AD79" i="8" s="1"/>
  <c r="AC103" i="8"/>
  <c r="AD103" i="8" s="1"/>
  <c r="AC86" i="8"/>
  <c r="AD86" i="8" s="1"/>
  <c r="AC31" i="8"/>
  <c r="AD31" i="8" s="1"/>
  <c r="AC56" i="8"/>
  <c r="AD56" i="8" s="1"/>
  <c r="AC65" i="8"/>
  <c r="AD65" i="8" s="1"/>
  <c r="M106" i="8"/>
  <c r="AC32" i="8"/>
  <c r="AD32" i="8" s="1"/>
  <c r="AC42" i="8"/>
  <c r="AD42" i="8" s="1"/>
  <c r="AC77" i="8"/>
  <c r="AD77" i="8" s="1"/>
  <c r="AC11" i="8"/>
  <c r="AD11" i="8" s="1"/>
  <c r="V106" i="8"/>
  <c r="AC17" i="8"/>
  <c r="AD17" i="8" s="1"/>
  <c r="AB8" i="8"/>
  <c r="E57" i="14"/>
  <c r="AB6" i="8"/>
  <c r="AB9" i="8"/>
  <c r="M107" i="8"/>
  <c r="AD59" i="8"/>
  <c r="E60" i="14"/>
  <c r="E56" i="14"/>
  <c r="E55" i="14"/>
  <c r="M106" i="7"/>
  <c r="M107" i="7"/>
  <c r="AC103" i="7"/>
  <c r="AD103" i="7" s="1"/>
  <c r="AC67" i="7"/>
  <c r="AD67" i="7" s="1"/>
  <c r="AC99" i="7"/>
  <c r="AD99" i="7" s="1"/>
  <c r="AC94" i="7"/>
  <c r="AD94" i="7" s="1"/>
  <c r="AC92" i="7"/>
  <c r="AD92" i="7" s="1"/>
  <c r="AC84" i="7"/>
  <c r="AD84" i="7" s="1"/>
  <c r="AC77" i="7"/>
  <c r="AD77" i="7" s="1"/>
  <c r="AC69" i="7"/>
  <c r="AD69" i="7" s="1"/>
  <c r="AC60" i="7"/>
  <c r="AD60" i="7" s="1"/>
  <c r="AC53" i="7"/>
  <c r="AD53" i="7" s="1"/>
  <c r="AC44" i="7"/>
  <c r="AD44" i="7" s="1"/>
  <c r="AC36" i="7"/>
  <c r="AD36" i="7" s="1"/>
  <c r="AC33" i="7"/>
  <c r="AD33" i="7" s="1"/>
  <c r="AC28" i="7"/>
  <c r="AD28" i="7" s="1"/>
  <c r="AC21" i="7"/>
  <c r="AD21" i="7" s="1"/>
  <c r="AC14" i="7"/>
  <c r="AD14" i="7" s="1"/>
  <c r="AC51" i="7"/>
  <c r="AD51" i="7" s="1"/>
  <c r="AC63" i="7"/>
  <c r="AD63" i="7" s="1"/>
  <c r="AB9" i="7"/>
  <c r="E48" i="14"/>
  <c r="AB10" i="7"/>
  <c r="E45" i="14"/>
  <c r="E49" i="14"/>
  <c r="E44" i="14"/>
  <c r="AC64" i="11"/>
  <c r="AD64" i="11" s="1"/>
  <c r="AC76" i="11"/>
  <c r="AD76" i="11" s="1"/>
  <c r="AC43" i="11"/>
  <c r="AD43" i="11" s="1"/>
  <c r="AC67" i="11"/>
  <c r="AD67" i="11" s="1"/>
  <c r="AC8" i="11"/>
  <c r="AD8" i="11" s="1"/>
  <c r="AC24" i="11"/>
  <c r="AD24" i="11" s="1"/>
  <c r="AC36" i="11"/>
  <c r="AD36" i="11" s="1"/>
  <c r="AC32" i="11"/>
  <c r="AD32" i="11" s="1"/>
  <c r="AC72" i="11"/>
  <c r="AD72" i="11" s="1"/>
  <c r="AD23" i="11"/>
  <c r="AD83" i="11"/>
  <c r="AD40" i="11"/>
  <c r="AD73" i="11"/>
  <c r="AD29" i="11"/>
  <c r="AD78" i="11"/>
  <c r="M106" i="11"/>
  <c r="M107" i="11"/>
  <c r="AD20" i="11"/>
  <c r="AB6" i="11"/>
  <c r="AD14" i="11"/>
  <c r="AD42" i="11"/>
  <c r="E20" i="14"/>
  <c r="O105" i="1"/>
  <c r="M106" i="1"/>
  <c r="AC104" i="1"/>
  <c r="AD104" i="1" s="1"/>
  <c r="AC98" i="1"/>
  <c r="AC77" i="1"/>
  <c r="AD77" i="1" s="1"/>
  <c r="AC74" i="1"/>
  <c r="AD74" i="1" s="1"/>
  <c r="AC65" i="1"/>
  <c r="AD65" i="1" s="1"/>
  <c r="AC53" i="1"/>
  <c r="AD53" i="1" s="1"/>
  <c r="AC35" i="1"/>
  <c r="AD35" i="1" s="1"/>
  <c r="AC32" i="1"/>
  <c r="AD32" i="1" s="1"/>
  <c r="AC29" i="1"/>
  <c r="AD29" i="1" s="1"/>
  <c r="Z106" i="1"/>
  <c r="AC68" i="1"/>
  <c r="AD68" i="1" s="1"/>
  <c r="AB18" i="1"/>
  <c r="AC7" i="1"/>
  <c r="AD7" i="1" s="1"/>
  <c r="AB9" i="1"/>
  <c r="E39" i="14"/>
  <c r="E37" i="14"/>
  <c r="AB6" i="1"/>
  <c r="AB8" i="1"/>
  <c r="M107" i="1"/>
  <c r="E33" i="14"/>
  <c r="AD21" i="1"/>
  <c r="E32" i="14"/>
  <c r="E36" i="14"/>
  <c r="E61" i="14"/>
  <c r="E11" i="14"/>
  <c r="E35" i="14"/>
  <c r="E21" i="14"/>
  <c r="E42" i="14"/>
  <c r="E31" i="14"/>
  <c r="E10" i="14"/>
  <c r="E34" i="14"/>
  <c r="E29" i="14"/>
  <c r="E46" i="14"/>
  <c r="E8" i="14"/>
  <c r="E43" i="14"/>
  <c r="E7" i="14"/>
  <c r="E27" i="14"/>
  <c r="E50" i="14"/>
  <c r="E13" i="14"/>
  <c r="E59" i="14"/>
  <c r="E53" i="14"/>
  <c r="E26" i="14"/>
  <c r="E51" i="14"/>
  <c r="E41" i="14"/>
  <c r="E58" i="14"/>
  <c r="E52" i="14"/>
  <c r="E47" i="14"/>
  <c r="E16" i="14"/>
  <c r="E4" i="14"/>
  <c r="E14" i="14"/>
  <c r="E24" i="14"/>
  <c r="E6" i="14"/>
  <c r="E18" i="14"/>
  <c r="E15" i="14"/>
  <c r="AD44" i="11" l="1"/>
  <c r="AD94" i="11"/>
  <c r="AD90" i="9"/>
  <c r="AD21" i="6"/>
  <c r="AD53" i="12"/>
  <c r="AD37" i="11"/>
  <c r="AD38" i="8"/>
  <c r="AD30" i="11"/>
  <c r="AD55" i="7"/>
  <c r="AD87" i="11"/>
  <c r="AD44" i="6"/>
  <c r="AD77" i="6"/>
  <c r="AD11" i="12"/>
  <c r="AD33" i="11"/>
  <c r="AD58" i="6"/>
  <c r="AD57" i="12"/>
  <c r="AD70" i="9"/>
  <c r="AD81" i="1"/>
  <c r="AD73" i="1"/>
  <c r="AD91" i="8"/>
  <c r="AD72" i="9"/>
  <c r="AD40" i="13"/>
  <c r="AC33" i="9"/>
  <c r="AD33" i="9" s="1"/>
  <c r="AD62" i="13"/>
  <c r="AD81" i="11"/>
  <c r="AD58" i="11"/>
  <c r="AD92" i="11"/>
  <c r="AD105" i="9"/>
  <c r="AD86" i="13"/>
  <c r="AD105" i="1"/>
  <c r="AD82" i="9"/>
  <c r="AC87" i="13"/>
  <c r="AD87" i="13" s="1"/>
  <c r="R107" i="11"/>
  <c r="R108" i="11" s="1"/>
  <c r="R109" i="11" s="1"/>
  <c r="R110" i="11" s="1"/>
  <c r="R107" i="7"/>
  <c r="X108" i="7" s="1"/>
  <c r="X109" i="7" s="1"/>
  <c r="X110" i="7" s="1"/>
  <c r="AD66" i="12"/>
  <c r="AD36" i="6"/>
  <c r="AD95" i="7"/>
  <c r="AD56" i="9"/>
  <c r="AD69" i="9"/>
  <c r="AD36" i="13"/>
  <c r="AD34" i="13"/>
  <c r="AD71" i="13"/>
  <c r="AD68" i="6"/>
  <c r="AD66" i="9"/>
  <c r="AD96" i="11"/>
  <c r="AD81" i="9"/>
  <c r="AC103" i="1"/>
  <c r="AD103" i="1" s="1"/>
  <c r="AD21" i="11"/>
  <c r="AD40" i="9"/>
  <c r="AD59" i="13"/>
  <c r="AD60" i="11"/>
  <c r="AD21" i="9"/>
  <c r="AD14" i="13"/>
  <c r="AD98" i="1"/>
  <c r="AC101" i="11"/>
  <c r="AD101" i="11" s="1"/>
  <c r="AD74" i="13"/>
  <c r="AD102" i="8"/>
  <c r="AD16" i="11"/>
  <c r="AD78" i="8"/>
  <c r="AD15" i="13"/>
  <c r="AD13" i="11"/>
  <c r="AD78" i="9"/>
  <c r="AD41" i="11"/>
  <c r="AD46" i="9"/>
  <c r="AD34" i="12"/>
  <c r="AD45" i="7"/>
  <c r="AD96" i="1"/>
  <c r="R107" i="8"/>
  <c r="X108" i="8" s="1"/>
  <c r="X109" i="8" s="1"/>
  <c r="X110" i="8" s="1"/>
  <c r="AD19" i="9"/>
  <c r="AD81" i="6"/>
  <c r="AC53" i="6"/>
  <c r="AD53" i="6" s="1"/>
  <c r="AC84" i="11"/>
  <c r="AD84" i="11" s="1"/>
  <c r="AD98" i="12"/>
  <c r="AC54" i="8"/>
  <c r="AD54" i="8" s="1"/>
  <c r="AD42" i="9"/>
  <c r="AC65" i="6"/>
  <c r="AD65" i="6" s="1"/>
  <c r="AD87" i="8"/>
  <c r="AD55" i="12"/>
  <c r="AD23" i="8"/>
  <c r="AD83" i="8"/>
  <c r="AD14" i="9"/>
  <c r="AD52" i="13"/>
  <c r="AD39" i="11"/>
  <c r="AD52" i="11"/>
  <c r="R107" i="1"/>
  <c r="X108" i="1" s="1"/>
  <c r="X109" i="1" s="1"/>
  <c r="X110" i="1" s="1"/>
  <c r="AD19" i="6"/>
  <c r="AD51" i="1"/>
  <c r="AD80" i="7"/>
  <c r="AD15" i="9"/>
  <c r="AC41" i="12"/>
  <c r="AD41" i="12" s="1"/>
  <c r="AD18" i="12"/>
  <c r="AD64" i="12"/>
  <c r="AD70" i="6"/>
  <c r="M108" i="6"/>
  <c r="AD40" i="6"/>
  <c r="AC42" i="6"/>
  <c r="AD42" i="6" s="1"/>
  <c r="AD65" i="12"/>
  <c r="AD80" i="12"/>
  <c r="AD52" i="6"/>
  <c r="R107" i="6"/>
  <c r="AA108" i="6" s="1"/>
  <c r="AA109" i="6" s="1"/>
  <c r="AA110" i="6" s="1"/>
  <c r="M108" i="11"/>
  <c r="M108" i="9"/>
  <c r="AD43" i="12"/>
  <c r="AD94" i="6"/>
  <c r="AD103" i="6"/>
  <c r="AD60" i="6"/>
  <c r="AD9" i="6"/>
  <c r="AD38" i="6"/>
  <c r="AD97" i="6"/>
  <c r="AD31" i="6"/>
  <c r="AC55" i="6"/>
  <c r="AD55" i="6" s="1"/>
  <c r="AD76" i="6"/>
  <c r="AD68" i="12"/>
  <c r="AD32" i="12"/>
  <c r="AC67" i="12"/>
  <c r="AD67" i="12" s="1"/>
  <c r="AD17" i="12"/>
  <c r="M108" i="1"/>
  <c r="AC6" i="6"/>
  <c r="AD6" i="6" s="1"/>
  <c r="AC14" i="12"/>
  <c r="AD14" i="12" s="1"/>
  <c r="AC19" i="12"/>
  <c r="AD19" i="12" s="1"/>
  <c r="AC9" i="12"/>
  <c r="AD9" i="12" s="1"/>
  <c r="AC10" i="12"/>
  <c r="AD10" i="12" s="1"/>
  <c r="R107" i="12"/>
  <c r="AC8" i="12"/>
  <c r="AD8" i="12" s="1"/>
  <c r="AC13" i="12"/>
  <c r="AD13" i="12" s="1"/>
  <c r="M108" i="12"/>
  <c r="R107" i="13"/>
  <c r="M108" i="13"/>
  <c r="AC20" i="9"/>
  <c r="AD20" i="9" s="1"/>
  <c r="R107" i="9"/>
  <c r="AC8" i="8"/>
  <c r="AD8" i="8" s="1"/>
  <c r="AC9" i="8"/>
  <c r="AD9" i="8" s="1"/>
  <c r="M108" i="8"/>
  <c r="AC6" i="8"/>
  <c r="AD6" i="8" s="1"/>
  <c r="AC10" i="7"/>
  <c r="AD10" i="7" s="1"/>
  <c r="AC9" i="7"/>
  <c r="AD9" i="7" s="1"/>
  <c r="M108" i="7"/>
  <c r="AC6" i="11"/>
  <c r="AD6" i="11" s="1"/>
  <c r="AC18" i="1"/>
  <c r="AD18" i="1" s="1"/>
  <c r="AC8" i="1"/>
  <c r="AD8" i="1" s="1"/>
  <c r="AC6" i="1"/>
  <c r="AD6" i="1" s="1"/>
  <c r="AC9" i="1"/>
  <c r="AD9" i="1" s="1"/>
  <c r="V108" i="8" l="1"/>
  <c r="V109" i="8" s="1"/>
  <c r="V110" i="8" s="1"/>
  <c r="W108" i="8"/>
  <c r="W109" i="8" s="1"/>
  <c r="W110" i="8" s="1"/>
  <c r="S108" i="1"/>
  <c r="S109" i="1" s="1"/>
  <c r="S110" i="1" s="1"/>
  <c r="U108" i="1"/>
  <c r="U109" i="1" s="1"/>
  <c r="U110" i="1" s="1"/>
  <c r="Y108" i="8"/>
  <c r="Y109" i="8" s="1"/>
  <c r="Y110" i="8" s="1"/>
  <c r="AA108" i="8"/>
  <c r="AA109" i="8" s="1"/>
  <c r="AA110" i="8" s="1"/>
  <c r="R108" i="7"/>
  <c r="AA108" i="7" s="1"/>
  <c r="AA109" i="7" s="1"/>
  <c r="AA110" i="7" s="1"/>
  <c r="R108" i="8"/>
  <c r="R109" i="8" s="1"/>
  <c r="R110" i="8" s="1"/>
  <c r="Z108" i="8"/>
  <c r="Z109" i="8" s="1"/>
  <c r="Z110" i="8" s="1"/>
  <c r="X108" i="11"/>
  <c r="X109" i="11" s="1"/>
  <c r="X110" i="11" s="1"/>
  <c r="T108" i="8"/>
  <c r="T109" i="8" s="1"/>
  <c r="T110" i="8" s="1"/>
  <c r="S108" i="8"/>
  <c r="S109" i="8" s="1"/>
  <c r="S110" i="8" s="1"/>
  <c r="U108" i="8"/>
  <c r="U109" i="8" s="1"/>
  <c r="U110" i="8" s="1"/>
  <c r="Y108" i="6"/>
  <c r="Y109" i="6" s="1"/>
  <c r="Y110" i="6" s="1"/>
  <c r="X108" i="6"/>
  <c r="X109" i="6" s="1"/>
  <c r="X110" i="6" s="1"/>
  <c r="AD106" i="13"/>
  <c r="S108" i="6"/>
  <c r="S109" i="6" s="1"/>
  <c r="S110" i="6" s="1"/>
  <c r="Z108" i="6"/>
  <c r="Z109" i="6" s="1"/>
  <c r="Z110" i="6" s="1"/>
  <c r="T108" i="6"/>
  <c r="T109" i="6" s="1"/>
  <c r="T110" i="6" s="1"/>
  <c r="V108" i="6"/>
  <c r="V109" i="6" s="1"/>
  <c r="V110" i="6" s="1"/>
  <c r="R108" i="6"/>
  <c r="R109" i="6" s="1"/>
  <c r="R110" i="6" s="1"/>
  <c r="U108" i="6"/>
  <c r="U109" i="6" s="1"/>
  <c r="U110" i="6" s="1"/>
  <c r="W108" i="6"/>
  <c r="W109" i="6" s="1"/>
  <c r="W110" i="6" s="1"/>
  <c r="AD106" i="9"/>
  <c r="T108" i="1"/>
  <c r="T109" i="1" s="1"/>
  <c r="T110" i="1" s="1"/>
  <c r="V108" i="1"/>
  <c r="V109" i="1" s="1"/>
  <c r="V110" i="1" s="1"/>
  <c r="Z108" i="1"/>
  <c r="Z109" i="1" s="1"/>
  <c r="Z110" i="1" s="1"/>
  <c r="AA108" i="1"/>
  <c r="AA109" i="1" s="1"/>
  <c r="AA110" i="1" s="1"/>
  <c r="W108" i="1"/>
  <c r="W109" i="1" s="1"/>
  <c r="W110" i="1" s="1"/>
  <c r="Y108" i="1"/>
  <c r="Y109" i="1" s="1"/>
  <c r="Y110" i="1" s="1"/>
  <c r="R108" i="1"/>
  <c r="R109" i="1" s="1"/>
  <c r="R110" i="1" s="1"/>
  <c r="AD106" i="11"/>
  <c r="AD106" i="7"/>
  <c r="AD106" i="6"/>
  <c r="AD106" i="12"/>
  <c r="R108" i="12"/>
  <c r="X108" i="12"/>
  <c r="X109" i="12" s="1"/>
  <c r="X110" i="12" s="1"/>
  <c r="S108" i="13"/>
  <c r="S109" i="13" s="1"/>
  <c r="S110" i="13" s="1"/>
  <c r="W108" i="13"/>
  <c r="W109" i="13" s="1"/>
  <c r="W110" i="13" s="1"/>
  <c r="AA108" i="13"/>
  <c r="AA109" i="13" s="1"/>
  <c r="AA110" i="13" s="1"/>
  <c r="T108" i="13"/>
  <c r="T109" i="13" s="1"/>
  <c r="T110" i="13" s="1"/>
  <c r="X108" i="13"/>
  <c r="X109" i="13" s="1"/>
  <c r="X110" i="13" s="1"/>
  <c r="U108" i="13"/>
  <c r="U109" i="13" s="1"/>
  <c r="U110" i="13" s="1"/>
  <c r="Y108" i="13"/>
  <c r="Y109" i="13" s="1"/>
  <c r="Y110" i="13" s="1"/>
  <c r="R108" i="13"/>
  <c r="R109" i="13" s="1"/>
  <c r="R110" i="13" s="1"/>
  <c r="V108" i="13"/>
  <c r="V109" i="13" s="1"/>
  <c r="V110" i="13" s="1"/>
  <c r="Z108" i="13"/>
  <c r="Z109" i="13" s="1"/>
  <c r="Z110" i="13" s="1"/>
  <c r="R108" i="9"/>
  <c r="R109" i="9" s="1"/>
  <c r="R110" i="9" s="1"/>
  <c r="S108" i="9"/>
  <c r="S109" i="9" s="1"/>
  <c r="S110" i="9" s="1"/>
  <c r="T108" i="9"/>
  <c r="T109" i="9" s="1"/>
  <c r="T110" i="9" s="1"/>
  <c r="Y108" i="9"/>
  <c r="Y109" i="9" s="1"/>
  <c r="Y110" i="9" s="1"/>
  <c r="V108" i="9"/>
  <c r="V109" i="9" s="1"/>
  <c r="V110" i="9" s="1"/>
  <c r="X108" i="9"/>
  <c r="X109" i="9" s="1"/>
  <c r="X110" i="9" s="1"/>
  <c r="U108" i="9"/>
  <c r="U109" i="9" s="1"/>
  <c r="U110" i="9" s="1"/>
  <c r="Z108" i="9"/>
  <c r="Z109" i="9" s="1"/>
  <c r="Z110" i="9" s="1"/>
  <c r="W108" i="9"/>
  <c r="W109" i="9" s="1"/>
  <c r="W110" i="9" s="1"/>
  <c r="AA108" i="9"/>
  <c r="AA109" i="9" s="1"/>
  <c r="AA110" i="9" s="1"/>
  <c r="AD106" i="8"/>
  <c r="AD106" i="1"/>
  <c r="V108" i="7" l="1"/>
  <c r="V109" i="7" s="1"/>
  <c r="V110" i="7" s="1"/>
  <c r="Y108" i="7"/>
  <c r="Y109" i="7" s="1"/>
  <c r="Y110" i="7" s="1"/>
  <c r="W108" i="7"/>
  <c r="W109" i="7" s="1"/>
  <c r="W110" i="7" s="1"/>
  <c r="R109" i="7"/>
  <c r="R110" i="7" s="1"/>
  <c r="Z108" i="7"/>
  <c r="Z109" i="7" s="1"/>
  <c r="Z110" i="7" s="1"/>
  <c r="S108" i="7"/>
  <c r="S109" i="7" s="1"/>
  <c r="S110" i="7" s="1"/>
  <c r="T108" i="7"/>
  <c r="T109" i="7" s="1"/>
  <c r="T110" i="7" s="1"/>
  <c r="U108" i="7"/>
  <c r="U109" i="7" s="1"/>
  <c r="U110" i="7" s="1"/>
  <c r="R111" i="8"/>
  <c r="R112" i="8" s="1"/>
  <c r="R111" i="6"/>
  <c r="R112" i="6" s="1"/>
  <c r="R111" i="1"/>
  <c r="R112" i="1" s="1"/>
  <c r="R113" i="8"/>
  <c r="W108" i="12"/>
  <c r="W109" i="12" s="1"/>
  <c r="W110" i="12" s="1"/>
  <c r="AA108" i="12"/>
  <c r="AA109" i="12" s="1"/>
  <c r="AA110" i="12" s="1"/>
  <c r="Z108" i="12"/>
  <c r="Z109" i="12" s="1"/>
  <c r="Z110" i="12" s="1"/>
  <c r="V108" i="12"/>
  <c r="V109" i="12" s="1"/>
  <c r="V110" i="12" s="1"/>
  <c r="S108" i="12"/>
  <c r="S109" i="12" s="1"/>
  <c r="S110" i="12" s="1"/>
  <c r="Y108" i="12"/>
  <c r="Y109" i="12" s="1"/>
  <c r="Y110" i="12" s="1"/>
  <c r="U108" i="12"/>
  <c r="U109" i="12" s="1"/>
  <c r="U110" i="12" s="1"/>
  <c r="T108" i="12"/>
  <c r="T109" i="12" s="1"/>
  <c r="T110" i="12" s="1"/>
  <c r="R109" i="12"/>
  <c r="R110" i="12" s="1"/>
  <c r="R111" i="13"/>
  <c r="R111" i="9"/>
  <c r="R111" i="7" l="1"/>
  <c r="R112" i="7" s="1"/>
  <c r="R113" i="1"/>
  <c r="R113" i="6"/>
  <c r="R111" i="12"/>
  <c r="R113" i="12" s="1"/>
  <c r="R112" i="13"/>
  <c r="R113" i="13"/>
  <c r="R112" i="9"/>
  <c r="R113" i="9"/>
  <c r="R113" i="7" l="1"/>
  <c r="R112" i="12"/>
  <c r="AA110" i="11" l="1"/>
  <c r="AA109" i="11"/>
  <c r="AA108" i="11"/>
  <c r="U108" i="11"/>
  <c r="U109" i="11"/>
  <c r="U110" i="11"/>
  <c r="W108" i="11"/>
  <c r="W109" i="11"/>
  <c r="W110" i="11"/>
  <c r="T110" i="11"/>
  <c r="T109" i="11"/>
  <c r="T108" i="11"/>
  <c r="Y108" i="11"/>
  <c r="Y109" i="11"/>
  <c r="Y110" i="11"/>
  <c r="V108" i="11"/>
  <c r="V109" i="11"/>
  <c r="V110" i="11"/>
  <c r="Z110" i="11"/>
  <c r="Z109" i="11"/>
  <c r="Z108" i="11"/>
  <c r="R113" i="11"/>
  <c r="S108" i="11"/>
  <c r="S109" i="11"/>
  <c r="S110" i="11"/>
  <c r="R111" i="11"/>
  <c r="R11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D0BDC3E0-3922-438C-AB09-B685845016AC}">
      <text>
        <r>
          <rPr>
            <b/>
            <sz val="9"/>
            <color indexed="81"/>
            <rFont val="Tahoma"/>
            <family val="2"/>
          </rPr>
          <t>ulung murdiantoro:</t>
        </r>
        <r>
          <rPr>
            <sz val="9"/>
            <color indexed="81"/>
            <rFont val="Tahoma"/>
            <family val="2"/>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D169F1CC-BC1F-4455-A83B-E819EA5FF4A8}">
      <text>
        <r>
          <rPr>
            <b/>
            <sz val="9"/>
            <color indexed="81"/>
            <rFont val="Tahoma"/>
            <family val="2"/>
          </rPr>
          <t>Ambang konvensi umum Rasch/Winsteps untuk kontras DIF (logit). Bisa diubah.</t>
        </r>
      </text>
    </comment>
    <comment ref="B5" authorId="0" shapeId="0" xr:uid="{167D1612-2B9F-4A0A-8718-6E53659B6355}">
      <text>
        <r>
          <rPr>
            <b/>
            <sz val="9"/>
            <color indexed="81"/>
            <rFont val="Tahoma"/>
            <family val="2"/>
          </rPr>
          <t>ulung murdiantoro:</t>
        </r>
        <r>
          <rPr>
            <sz val="9"/>
            <color indexed="81"/>
            <rFont val="Tahoma"/>
            <family val="2"/>
          </rPr>
          <t xml:space="preserve">
Item hanya di-flag jika |kontras DIF| melewati ambang logit DAN |t-stat| melewati ambang ini (signifikansi praktis + statistik).</t>
        </r>
      </text>
    </comment>
    <comment ref="B6" authorId="0" shapeId="0" xr:uid="{755EE1D0-84A7-4E40-A37E-61C6A6A3AE53}">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880EB6F9-95FD-41D9-B5F9-CE2D4A849971}">
      <text>
        <r>
          <rPr>
            <b/>
            <sz val="9"/>
            <color indexed="81"/>
            <rFont val="Tahoma"/>
            <family val="2"/>
          </rPr>
          <t>ulung murdiantoro:</t>
        </r>
        <r>
          <rPr>
            <sz val="9"/>
            <color indexed="81"/>
            <rFont val="Tahoma"/>
            <family val="2"/>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15A4F394-E4EC-4141-A889-CAA519F329CC}">
      <text>
        <r>
          <rPr>
            <b/>
            <sz val="9"/>
            <color indexed="81"/>
            <rFont val="Tahoma"/>
            <family val="2"/>
          </rPr>
          <t>Ambang konvensi umum Rasch/Winsteps untuk kontras DIF (logit). Bisa diubah.</t>
        </r>
      </text>
    </comment>
    <comment ref="B5" authorId="0" shapeId="0" xr:uid="{1E01EC05-E541-4787-81AA-1DFA1B461703}">
      <text>
        <r>
          <rPr>
            <b/>
            <sz val="9"/>
            <color indexed="81"/>
            <rFont val="Tahoma"/>
            <family val="2"/>
          </rPr>
          <t>ulung murdiantoro:</t>
        </r>
        <r>
          <rPr>
            <sz val="9"/>
            <color indexed="81"/>
            <rFont val="Tahoma"/>
            <family val="2"/>
          </rPr>
          <t xml:space="preserve">
Item hanya di-flag jika |kontras DIF| melewati ambang logit DAN |t-stat| melewati ambang ini (signifikansi praktis + statistik).</t>
        </r>
      </text>
    </comment>
    <comment ref="B6" authorId="0" shapeId="0" xr:uid="{1DB68CAE-7C0D-4A0B-803D-C19E6BE9F4CE}">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49CF80E5-233B-4CEC-B65E-95E865C3C0E5}">
      <text>
        <r>
          <rPr>
            <b/>
            <sz val="9"/>
            <color indexed="81"/>
            <rFont val="Tahoma"/>
            <family val="2"/>
          </rPr>
          <t>ulung murdiantoro:</t>
        </r>
        <r>
          <rPr>
            <sz val="9"/>
            <color indexed="81"/>
            <rFont val="Tahoma"/>
            <family val="2"/>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FE0A5179-3306-487B-9C5C-C807F5829245}">
      <text>
        <r>
          <rPr>
            <b/>
            <sz val="9"/>
            <color indexed="81"/>
            <rFont val="Tahoma"/>
            <family val="2"/>
          </rPr>
          <t>Ambang konvensi umum Rasch/Winsteps untuk kontras DIF (logit). Bisa diubah.</t>
        </r>
      </text>
    </comment>
    <comment ref="B5" authorId="0" shapeId="0" xr:uid="{B323FE52-BF26-40BF-8084-A908C74EDE5A}">
      <text>
        <r>
          <rPr>
            <b/>
            <sz val="9"/>
            <color indexed="81"/>
            <rFont val="Tahoma"/>
            <family val="2"/>
          </rPr>
          <t>ulung murdiantoro:</t>
        </r>
        <r>
          <rPr>
            <sz val="9"/>
            <color indexed="81"/>
            <rFont val="Tahoma"/>
            <family val="2"/>
          </rPr>
          <t xml:space="preserve">
Item hanya di-flag jika |kontras DIF| melewati ambang logit DAN |t-stat| melewati ambang ini (signifikansi praktis + statistik).</t>
        </r>
      </text>
    </comment>
    <comment ref="B6" authorId="0" shapeId="0" xr:uid="{BED4FE29-DB74-40EE-8751-9C47B79208C4}">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949EDA26-918D-47DA-9456-4EEAD5D8CF1C}">
      <text>
        <r>
          <rPr>
            <b/>
            <sz val="9"/>
            <color indexed="81"/>
            <rFont val="Tahoma"/>
            <family val="2"/>
          </rPr>
          <t>ulung murdiantoro:</t>
        </r>
        <r>
          <rPr>
            <sz val="9"/>
            <color indexed="81"/>
            <rFont val="Tahoma"/>
            <family val="2"/>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0C8E653F-465B-482B-B10D-55C9292E356F}">
      <text>
        <r>
          <rPr>
            <b/>
            <sz val="9"/>
            <color indexed="81"/>
            <rFont val="Tahoma"/>
            <family val="2"/>
          </rPr>
          <t>Ambang konvensi umum Rasch/Winsteps untuk kontras DIF (logit). Bisa diubah.</t>
        </r>
      </text>
    </comment>
    <comment ref="B5" authorId="0" shapeId="0" xr:uid="{11423C90-D0FC-40E5-BC01-932478A8A073}">
      <text>
        <r>
          <rPr>
            <b/>
            <sz val="9"/>
            <color indexed="81"/>
            <rFont val="Tahoma"/>
            <family val="2"/>
          </rPr>
          <t>ulung murdiantoro:</t>
        </r>
        <r>
          <rPr>
            <sz val="9"/>
            <color indexed="81"/>
            <rFont val="Tahoma"/>
            <family val="2"/>
          </rPr>
          <t xml:space="preserve">
Item hanya di-flag jika |kontras DIF| melewati ambang logit DAN |t-stat| melewati ambang ini (signifikansi praktis + statistik).</t>
        </r>
      </text>
    </comment>
    <comment ref="B6" authorId="0" shapeId="0" xr:uid="{E2E619C8-84F5-4EE2-B648-99B269AA34D6}">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414FCE11-C08C-4937-8917-ECF227488C6C}">
      <text>
        <r>
          <rPr>
            <b/>
            <sz val="9"/>
            <color indexed="81"/>
            <rFont val="Tahoma"/>
            <family val="2"/>
          </rPr>
          <t>ulung murdiantoro:</t>
        </r>
        <r>
          <rPr>
            <sz val="9"/>
            <color indexed="81"/>
            <rFont val="Tahoma"/>
            <family val="2"/>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A394D589-8B35-4A9F-AE4B-1AB761DFA799}">
      <text>
        <r>
          <rPr>
            <b/>
            <sz val="9"/>
            <color indexed="81"/>
            <rFont val="Tahoma"/>
            <family val="2"/>
          </rPr>
          <t>Ambang konvensi umum Rasch/Winsteps untuk kontras DIF (logit). Bisa diubah.</t>
        </r>
      </text>
    </comment>
    <comment ref="B5" authorId="0" shapeId="0" xr:uid="{BDDB2FFD-1DAC-42CA-B46D-3BA647CBEC61}">
      <text>
        <r>
          <rPr>
            <b/>
            <sz val="9"/>
            <color indexed="81"/>
            <rFont val="Tahoma"/>
            <family val="2"/>
          </rPr>
          <t>ulung murdiantoro:</t>
        </r>
        <r>
          <rPr>
            <sz val="9"/>
            <color indexed="81"/>
            <rFont val="Tahoma"/>
            <family val="2"/>
          </rPr>
          <t xml:space="preserve">
Item hanya di-flag jika |kontras DIF| melewati ambang logit DAN |t-stat| melewati ambang ini (signifikansi praktis + statistik).</t>
        </r>
      </text>
    </comment>
    <comment ref="B6" authorId="0" shapeId="0" xr:uid="{3CCFB0E4-526B-4D34-9564-8CC5228BF5A9}">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58D9879B-A816-48DE-965E-979CE52E6CF6}">
      <text>
        <r>
          <rPr>
            <b/>
            <sz val="9"/>
            <color indexed="81"/>
            <rFont val="Tahoma"/>
            <family val="2"/>
          </rPr>
          <t>ulung murdiantoro:</t>
        </r>
        <r>
          <rPr>
            <sz val="9"/>
            <color indexed="81"/>
            <rFont val="Tahoma"/>
            <family val="2"/>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3778B61B-AB2A-4A8D-BD47-EC83A0FAAC55}">
      <text>
        <r>
          <rPr>
            <b/>
            <sz val="9"/>
            <color indexed="81"/>
            <rFont val="Tahoma"/>
            <family val="2"/>
          </rPr>
          <t>Ambang konvensi umum Rasch/Winsteps untuk kontras DIF (logit). Bisa diubah.</t>
        </r>
      </text>
    </comment>
    <comment ref="B5" authorId="0" shapeId="0" xr:uid="{4556A480-0159-4373-BFA6-9A104ADD804F}">
      <text>
        <r>
          <rPr>
            <b/>
            <sz val="9"/>
            <color indexed="81"/>
            <rFont val="Tahoma"/>
            <family val="2"/>
          </rPr>
          <t>ulung murdiantoro:</t>
        </r>
        <r>
          <rPr>
            <sz val="9"/>
            <color indexed="81"/>
            <rFont val="Tahoma"/>
            <family val="2"/>
          </rPr>
          <t xml:space="preserve">
Item hanya di-flag jika |kontras DIF| melewati ambang logit DAN |t-stat| melewati ambang ini (signifikansi praktis + statistik).</t>
        </r>
      </text>
    </comment>
    <comment ref="B6" authorId="0" shapeId="0" xr:uid="{A247C040-6C17-4F95-A912-8070766F2C85}">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AE048491-0FB1-46DE-B9B5-1A60C7D5FF1C}">
      <text>
        <r>
          <rPr>
            <b/>
            <sz val="9"/>
            <color indexed="81"/>
            <rFont val="Tahoma"/>
            <family val="2"/>
          </rPr>
          <t>ulung murdiantoro:</t>
        </r>
        <r>
          <rPr>
            <sz val="9"/>
            <color indexed="81"/>
            <rFont val="Tahoma"/>
            <family val="2"/>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A4581148-D44F-47F7-BC33-C41181882C14}">
      <text>
        <r>
          <rPr>
            <b/>
            <sz val="9"/>
            <color indexed="81"/>
            <rFont val="Tahoma"/>
            <family val="2"/>
          </rPr>
          <t>Ambang konvensi umum Rasch/Winsteps untuk kontras DIF (logit). Bisa diubah.</t>
        </r>
      </text>
    </comment>
    <comment ref="B5" authorId="0" shapeId="0" xr:uid="{224B99D8-1134-4739-81B9-0AF9229D3171}">
      <text>
        <r>
          <rPr>
            <b/>
            <sz val="9"/>
            <color indexed="81"/>
            <rFont val="Tahoma"/>
            <family val="2"/>
          </rPr>
          <t>ulung murdiantoro:</t>
        </r>
        <r>
          <rPr>
            <sz val="9"/>
            <color indexed="81"/>
            <rFont val="Tahoma"/>
            <family val="2"/>
          </rPr>
          <t xml:space="preserve">
Item hanya di-flag jika |kontras DIF| melewati ambang logit DAN |t-stat| melewati ambang ini (signifikansi praktis + statistik).</t>
        </r>
      </text>
    </comment>
    <comment ref="B6" authorId="0" shapeId="0" xr:uid="{6A7539BB-52AA-4A12-BFD5-66C6A20A500B}">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F55F9EFB-F742-443E-AD6E-190CEF962DD9}">
      <text>
        <r>
          <rPr>
            <b/>
            <sz val="9"/>
            <color indexed="81"/>
            <rFont val="Tahoma"/>
            <family val="2"/>
          </rPr>
          <t>ulung murdiantoro:</t>
        </r>
        <r>
          <rPr>
            <sz val="9"/>
            <color indexed="81"/>
            <rFont val="Tahoma"/>
            <family val="2"/>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0E99E245-7B1E-45E0-B62F-352B0CBEC727}">
      <text>
        <r>
          <rPr>
            <b/>
            <sz val="9"/>
            <color indexed="81"/>
            <rFont val="Tahoma"/>
            <family val="2"/>
          </rPr>
          <t>Ambang konvensi umum Rasch/Winsteps untuk kontras DIF (logit). Bisa diubah.</t>
        </r>
      </text>
    </comment>
    <comment ref="B5" authorId="0" shapeId="0" xr:uid="{E07586F2-07D1-447F-9562-A5F0A99EE87A}">
      <text>
        <r>
          <rPr>
            <b/>
            <sz val="9"/>
            <color indexed="81"/>
            <rFont val="Tahoma"/>
            <family val="2"/>
          </rPr>
          <t>ulung murdiantoro:</t>
        </r>
        <r>
          <rPr>
            <sz val="9"/>
            <color indexed="81"/>
            <rFont val="Tahoma"/>
            <family val="2"/>
          </rPr>
          <t xml:space="preserve">
Item hanya di-flag jika |kontras DIF| melewati ambang logit DAN |t-stat| melewati ambang ini (signifikansi praktis + statistik).</t>
        </r>
      </text>
    </comment>
    <comment ref="B6" authorId="0" shapeId="0" xr:uid="{6B0719A7-A36D-4BFF-ADF9-844DFE31F529}">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List>
</comments>
</file>

<file path=xl/sharedStrings.xml><?xml version="1.0" encoding="utf-8"?>
<sst xmlns="http://schemas.openxmlformats.org/spreadsheetml/2006/main" count="1658" uniqueCount="860">
  <si>
    <t>Soal</t>
  </si>
  <si>
    <t>1. Apa yang dimaksud dengan siklus PDCA dalam konteks laboratorium</t>
  </si>
  <si>
    <t>2. Apa yang dilakukan pada tahap "Do" dari siklus PDCA</t>
  </si>
  <si>
    <t>3. Mengapa penerapan GLP penting dalam laboratorium</t>
  </si>
  <si>
    <t>4. Apa yang dimaksud dengan pendekatan proses di laboratorium</t>
  </si>
  <si>
    <t>5. Dalam ISO/IEC 17025 : 2017 menerapkan 3 (tiga) prinsip yaitu .... (kecuali)</t>
  </si>
  <si>
    <t>6. Lembaga yang memberikan akreditasi laboratorium penguji yang telah memenuhi persyaratan ISO/IEC 17025:2017</t>
  </si>
  <si>
    <t>7. Berapa lama masa berlaku Akreditasi laboratorium penguji ISO/IEC 17025:2017</t>
  </si>
  <si>
    <t>8. Perusahaan A adalah produsen biskuit. Untuk memastikan kualitas produknya perusahaan A membuat lab, maka lab tsb tergolong lab pihak</t>
  </si>
  <si>
    <t>9. Ancaman terhadap ketidakberpihakan diidentifikasi secara permanen, ditinjau dan dikontrol untuk menjaga ketidakberpihakan dibuat dalam bentuk ...</t>
  </si>
  <si>
    <t>10. istilah yang digunakan dalam ilmu metrologi (pengukuran) untuk menyatakan sejauh mana suatu hasil pengukuran mungkin bervariasi dari nilai yang sebenarnya adalah</t>
  </si>
  <si>
    <t>11. Yang TIDAK termasuk aturan untuk amandemen sertifikat hasil pengujian</t>
  </si>
  <si>
    <t>12. Kebijakan mutu &amp; sasaran mutu laboratorium harus ditetapkan pimpinan laboratorium dan didokumentasikan dalam</t>
  </si>
  <si>
    <t>13. Yang BUKAN rekaman mutu laboratorium adalah</t>
  </si>
  <si>
    <t>14. Dalam pembuatan sasaran mutu harus mengacu pada prinsip SMART ... apa singkatan dari huruf M</t>
  </si>
  <si>
    <t>15. Pengendalian dokumen adalah</t>
  </si>
  <si>
    <t>16. Apa yang dimaksud dengan "SOP"</t>
  </si>
  <si>
    <t>17. Manakah yang bukan merupakan langkah-langkah pengendalian rekaman yang efektif</t>
  </si>
  <si>
    <t>18. Yang BUKAN rekaman teknis adalah</t>
  </si>
  <si>
    <t>20. Personel yang bertanggung jawab pengelolaan rekaman teknis adalah</t>
  </si>
  <si>
    <t>21. Dokumen yang merinci langkah-langkah spesifik dalam suatu proses disebut</t>
  </si>
  <si>
    <t>22. Apa tujuan utama dari pengendalian dokumen</t>
  </si>
  <si>
    <t>23. Apa yang dimaksud dengan "Rekaman"</t>
  </si>
  <si>
    <t>24. Apa tujuan utama pengaturan jam kerja di laboratorium</t>
  </si>
  <si>
    <t>25. Mengapa penting untuk memiliki jadwal jam kerja yang jelas di laboratorium</t>
  </si>
  <si>
    <t>26. Bagaimana penggunaan teknologi dapat memengaruhi output di laboratorium</t>
  </si>
  <si>
    <t>27. Dokumen tertulis yang merinci tugas, tanggung jawab, kualifikasi, dan kriteria kinerja yang diharapkan dari individu yang mengisi suatu posisi pekerjaan adalah</t>
  </si>
  <si>
    <t>28. Dokumen yang merinci riwayat hidup seseorang secara lengkap berisi data pendidikan, pengalaman kerja, keterampilan, prestasi, dan pencapaian lainnya</t>
  </si>
  <si>
    <t>29. Sebelum menduduki jabatan tertentu di Laboratorium diperlukan ...... yang memadai sehingga yang bersangkutan mampu mengerjakan pekerjaan dan menggunakan kemampuannya untuk memecahkan masalah</t>
  </si>
  <si>
    <t>30. Rekaman training personel penting untuk</t>
  </si>
  <si>
    <t>31. Apa tujuan utama dari mengikuti Prosedur Operasional Standar (SOP) di laboratorium</t>
  </si>
  <si>
    <t>32. Apa yang mungkin terjadi jika personel tidak mengikuti SOP di laboratorium</t>
  </si>
  <si>
    <t>33. Siapa yang bertanggung jawab untuk memastikan SOP diikuti dengan benar di laboratorium</t>
  </si>
  <si>
    <t>34. Apa yang harus dilakukan jika ada perubahan dalam SOP di laboratorium</t>
  </si>
  <si>
    <t>35. Aturan atau referensi lain yang digunakan sebagai standar atau panduan untuk mengukur atau mengevaluasi laboratorium, dapat berupa standar internasional, peraturan pemerintah, panduan industri, untuk memastikan bahwa laboratorium mencapai tujuan yang ditetapkan disebut</t>
  </si>
  <si>
    <t>36. Standar yang mengatur Konsep dasar, istilah dan Kosakata internasional tentang metrologi adalah</t>
  </si>
  <si>
    <t>37. Standar yang mengatur Kosakata dan prinsip penilaian kesesuaian adalah</t>
  </si>
  <si>
    <t>38. Persyaratan Umum dalam ISO/IEC 17025 : 2017 meliputi 2 klausul yaitu</t>
  </si>
  <si>
    <t>39. Asas yang mengharuskan dan mewajibkan laborarium tidak menyebarluarkan informasi dan segala sesuatu yang berhubungan dengan pelanggan kepada pihak lain adalah</t>
  </si>
  <si>
    <t>40. Komitmen menjaga kerarahasiaan dibuat melalui komitmen yang ..... dalam pengelolaan semua informasi yang diperoleh atau dibuat selama pelaksanaan kegiatan laboratorium</t>
  </si>
  <si>
    <t>41. Jika laboratorium menyampaikan hasil pengujian pelanggan A kepada pihak lain, maka pelanggan A harus ...... mengenai informasi tersebut</t>
  </si>
  <si>
    <t>42. Personel lab yang memiliki tanggung jawab keseluruhan operasional laboratorium adalah</t>
  </si>
  <si>
    <t>43. Susunan hierarki dan fungsi yang diatur secara formal, mencakup pembagian tanggung jawab, wewenang, dan hubungan kerja antara berbagai individu di dalam laboratorium</t>
  </si>
  <si>
    <t>44. Sesuai klausul 5 ISO/IEC 17025 : 2017, jabatan yang WAJIB ada di laboratorium adalah .... (kecuali)</t>
  </si>
  <si>
    <t>45. Perseonal yang bertanggung jawab, mengelola, melaksanakan atau memverifikasi pekerjaan yang memengaruhi hasil kegiatan laboratorium adalah</t>
  </si>
  <si>
    <t>46. Perseonal yang bertanggung jawab dalam penerapan, pemeliharaan dan peningkatan sistem manajemen, identifikasi penyimpangan dari sistem manajemen kegiatan laboratorium</t>
  </si>
  <si>
    <t>47. Kondisi Lingkungan laboratorium Yang TIDAK PERLU dipantau</t>
  </si>
  <si>
    <t>48. Tata letak atau susunan fisik dari peralatan, ruang kerja, dan infrastruktur didesain dengan memperhatikan efisiensi operasional, keamanan, keteraturan, dan kenyamanan pengguna dalam menjalankan adalah</t>
  </si>
  <si>
    <t>49. Setelah diperbaiki, peralatan difungsikan kembali,personel teknis harus</t>
  </si>
  <si>
    <t>50. Dokumen yang menguraikan tentang tahapan / cara kerja penggunaan alat dan instrumen disebut</t>
  </si>
  <si>
    <t>51. Pengecekan yang diperlukan untuk memelihara kepercayaan pada status kalibrasi untuk menetapkan peralatan ukur tetap dapat dipakai, perlu distel, diperbaiki, atau tidak dapat dipakai lagi adalah</t>
  </si>
  <si>
    <t>52. Bahan pembanding yang dilengkapi sertifikat yang digunakan sebagai penjaminan mutu hasil pengujian di laboratorium</t>
  </si>
  <si>
    <t>53. Proses untuk menghitung nilai penyimpangan alat ukur untuk memastikan bahwa alat tersebut memberikan hasil pengukuran yang akurat adalah</t>
  </si>
  <si>
    <t>54. Output dalam kegiatan kalibrasi dalam bentuk penyimpangan sistematik adalah</t>
  </si>
  <si>
    <t>55. Output dalam kegiatan kalibrasi dalam bentuk penyimpangan acak adalah</t>
  </si>
  <si>
    <t>56. Bahan habis pakai, perlengkapan, pereaksi dan jasa yang mempengaruhi pengujian harus di</t>
  </si>
  <si>
    <t>57. Hal yang TIDAK bisa menjadi alasan sub kontrak pengujian</t>
  </si>
  <si>
    <t>58. Yang BUKAN bentuk evaluasi pemasok adalah</t>
  </si>
  <si>
    <t>59. Reagen secara berkala dilakukan .... yaitu penghitungan fisik stok barang yang dimiliki oleh laboratorium. bertujuan memastikan jumlah sebenarnya dengan jumlah yang tercatat dalam sistem pencatatan</t>
  </si>
  <si>
    <t>60. Permohonan atau pesanan yang diajukan kepada laboratorium untuk melakukan pengujian atau analisis tertentu atas suatu sampel</t>
  </si>
  <si>
    <t>61. Proses dimana pelanggan mengeluarkan permintaan formal kepada laboratorium untuk mengajukan penawaran kompetitif untuk melakukan pekerjaan pengujian adalah</t>
  </si>
  <si>
    <t>62. Laboratorium menyusun . . . . yang berisi jumlah, volume, kemasan dan perlakukan sampel. Dibuat dalam bentuk banner dan dipasang untuk memudahkan pelanggan membaca</t>
  </si>
  <si>
    <t>63. Dokumen yang menentukan jumlah dan ukuran sampel yang diambil untuk memastikan representatif mewakili dari suatu populasi</t>
  </si>
  <si>
    <t>64. Dokumen yang merinci peralatan, bahan, wadah sehingga integritas sampel tetap terjaga</t>
  </si>
  <si>
    <t>66. Metode pengujian harus divalidasi penuh, kecuali metode</t>
  </si>
  <si>
    <t>67. Lab boleh mebuat / mengembangkan metode sendiri dan dikategorikan metode</t>
  </si>
  <si>
    <t>68. Yang dihitung dalam pembuatan laporan verifikasi atau akurasi adalah</t>
  </si>
  <si>
    <t>69. Pada sertifikat kalibrasi, terdapat informasi tentang ketidakpastian bentangan dg tingkat kepercayaan</t>
  </si>
  <si>
    <t>70. Ketidakpastian pengukuran WAJIB dilaporakan dalam sertifikat hasil pengujian apabilan .... (kecuali)</t>
  </si>
  <si>
    <t>71. Laboratorium harus memiliki sistem untuk identifikasi sampel , dan dipertahankan selama sampel berada di bawah penanganan laboratorium, identifikasi tersebut dapat berupa</t>
  </si>
  <si>
    <t>72. Pemastian keabsahan hasil pengujian untuk material</t>
  </si>
  <si>
    <t>73. Pemastian keabsahan hasil pengujian untuk peralatan</t>
  </si>
  <si>
    <t>74. Pemastian keabsahan hasil pengujian untuk personel</t>
  </si>
  <si>
    <t>75. Program di mana laboratorium secara periodik diuji oleh badan independen untuk mengevaluasi kompetensi dalam melakukan analisis dengan perbandingan antar laboratorium</t>
  </si>
  <si>
    <t>76. Tugas Kepala lab terkait pelaporan hasil pengujian adalah</t>
  </si>
  <si>
    <t>77. Setiap laporan pengujian atau sertifikat kalibrasi harus mencakup setidaknya informasi berikut ... kecuali</t>
  </si>
  <si>
    <t>78. Salah satu prinsip dalam pengendalian data adalah</t>
  </si>
  <si>
    <t>79. Salah satu langkah yang diambil untuk memastikan keamanan data</t>
  </si>
  <si>
    <t>80. Proses pemeriksaan kembali data oleh personel yang tidak terlibat dalam pengumpulan data disebut</t>
  </si>
  <si>
    <t>81. Apa yang dimaksud dengan pengaduan pelanggan</t>
  </si>
  <si>
    <t>82. Apa yang bisa dilakukan lab untuk meningkatkan efektivitas penanganan pengaduan pelanggan</t>
  </si>
  <si>
    <t>83. Apa yang bisa dilakukan lab untuk meningkatkan efektivitas penanganan pengaduan pelanggan</t>
  </si>
  <si>
    <t>84. Bagaimana pelanggan lab dapat mengajukan pengaduan</t>
  </si>
  <si>
    <t>85. Siapa yang bertanggung jawab untuk mengidentifikasi pekerjaan yang tidak sesuai</t>
  </si>
  <si>
    <t>86. Apa yang harus dilakukan setelah pekerjaan tidak sesuai diidentifikasi</t>
  </si>
  <si>
    <t>87. Apa konsekuensi dari tidak menangani pekerjaan yang tidak sesuai dengan baik</t>
  </si>
  <si>
    <t>88. Dalam audit internal, pernyataan yg salah</t>
  </si>
  <si>
    <t>89. Manakah dari pernyataan berikut yang salah tentang audit internal</t>
  </si>
  <si>
    <t>90. Manakah yang bukan merupakan langkah-langkah dalam melakukan audit internal</t>
  </si>
  <si>
    <t>91. Manajemen risiko dalam ISO/IEC 17025 bertujuan untuk</t>
  </si>
  <si>
    <t>92. Apa yang dimaksud dengan "Analisa Risiko"</t>
  </si>
  <si>
    <t>93. Manakah dari pernyataan berikut yang benar tentang peningkatan</t>
  </si>
  <si>
    <t>94. Apa yang dimaksud dengan peningkatan berkelanjutan</t>
  </si>
  <si>
    <t>95. Langkah pertama dalam proses peningkatan berkelanjutan adalah</t>
  </si>
  <si>
    <t>96. Tindakan korektif yang efektif harus</t>
  </si>
  <si>
    <t>97. Tujuan dari tindakan korektif adalah untuk</t>
  </si>
  <si>
    <t>98. Yang BUKAN agenda pemabahsan dalam rapat kaji ulang manajemen</t>
  </si>
  <si>
    <t>99. Apa yang dimaksud dengan kaji ulang manajemen</t>
  </si>
  <si>
    <t>100. Siapa yang bertanggung jawab untuk mengadakan rapat Proses mengatur rapat-rapat manajemen kaji ulang manajemen</t>
  </si>
  <si>
    <t xml:space="preserve">19. Yang membedakan rekaman teknis dengan rekaman mutu, rekaman teknis terdapat kewajiban untuk </t>
  </si>
  <si>
    <t xml:space="preserve">65. Salah satu standar sampling yang digunakan dengan pengambilan sampel untuk mengetahui apakah dalam sampel terdapat yang cacat atau tidak pada suatu lot adalah </t>
  </si>
  <si>
    <t>Tingkat Kesukaran</t>
  </si>
  <si>
    <t>Keterangan</t>
  </si>
  <si>
    <t>Daya Pembeda</t>
  </si>
  <si>
    <t>Atas</t>
  </si>
  <si>
    <t>Bawah</t>
  </si>
  <si>
    <t>Reliabilitas</t>
  </si>
  <si>
    <t>p</t>
  </si>
  <si>
    <t xml:space="preserve">Soal </t>
  </si>
  <si>
    <t>1-p</t>
  </si>
  <si>
    <t>p*(1-p)</t>
  </si>
  <si>
    <t>Total</t>
  </si>
  <si>
    <t>Skor</t>
  </si>
  <si>
    <t>Jumlah Skor</t>
  </si>
  <si>
    <t>X bar</t>
  </si>
  <si>
    <t>X-Xbar</t>
  </si>
  <si>
    <t>(X-Xbar)^2</t>
  </si>
  <si>
    <t>variance</t>
  </si>
  <si>
    <t>st dev</t>
  </si>
  <si>
    <t>Tinggi</t>
  </si>
  <si>
    <t>1. Hal-hal yang mempengaruhi cakupan program audit adalah …</t>
  </si>
  <si>
    <t>2. Manakah dari berikut ini yang merupakan manfaat terbesar dari program audit internal bagi suatu organisasi?</t>
  </si>
  <si>
    <t>3. Manakah dari berikut ini yang merupakan peran paling mendasar dari fungsi audit?</t>
  </si>
  <si>
    <t>4. Personal behavior yang diperlukan untuk menjadi auditor yang ideal, kecuali …</t>
  </si>
  <si>
    <t>5. Pengetahuan umum dan keahlian auditor mencakup, kecuali …</t>
  </si>
  <si>
    <t>6. Kriteria independen auditor mencakup kebebasan dari …</t>
  </si>
  <si>
    <t>7. Auditor dapat menggunakan flowchart dalam melaksanakan kegiatan untuk …</t>
  </si>
  <si>
    <t>8. Berikut merupakan komponen yang umum diidentifikasi pada diagram sebab akibat, kecuali …</t>
  </si>
  <si>
    <t>9. Alat statisitik mana yang tergolong kualitatif?</t>
  </si>
  <si>
    <t>10. Variasi dalam proses dibagi menjadi 2 yaitu, variasi umum dan variasi khusus. Variasi umum adalah …</t>
  </si>
  <si>
    <t>11. Apa yang dimaksud dengan confidence level dalam sampling?</t>
  </si>
  <si>
    <t>12. Jika pendamping audit untuk suatu area berulang kali terlambat atau tidak tersedia, pilihan terbaik apa yang tersedia bagi auditor?</t>
  </si>
  <si>
    <t>13. Dalam pelaksanaan audit, auditor dapat menggunakan checklist sebagai alat bantu dalam pelaksanaan audit. Beberapa fungsi dari checklist audit adalah, kecuali …</t>
  </si>
  <si>
    <t>14. Kegiatan membandingkan dokumen lower – tier dengan dokumen ­higher – tier disebut juga dengan …</t>
  </si>
  <si>
    <t>15. Bukti objektif yang mendukung obervasi audit harus …</t>
  </si>
  <si>
    <t>16. Apakah singkatan dari PLOR dalam penentuan status temuan?</t>
  </si>
  <si>
    <t>17. Jenis temuan audit yang dapat disampaikan pada saat rapat penutupan / closing meeting yaitu:</t>
  </si>
  <si>
    <t>18. Sebuah laporan audit harus memuat …</t>
  </si>
  <si>
    <t>19. Dalam menyusun laporan audit, komponen berikut wajib ada, kecuali …</t>
  </si>
  <si>
    <t>20. Dalam mendistribusikan laporan audit, hal berikut harus dipastikan.</t>
  </si>
  <si>
    <t>21. Manakah dari berikut ini yang merupakan teknik pelaporan audit untuk memprioritaskan temuan audit?</t>
  </si>
  <si>
    <t>22. Apa yang harus dilakukan auditor apabila rencana tindakan korektif tidak dapat diterima?</t>
  </si>
  <si>
    <t>23. Verifikasi kecukupan atau efektivitas tindak lanjut audit dilakukan saat …</t>
  </si>
  <si>
    <t>24. Berikut merupakan manfaat dari penerapan SMOP, kecuali …</t>
  </si>
  <si>
    <t>25. Kerangka kerja dari ISO 21001:2018 mengikuti siklus PDCA. Klausul yang berperan sebagai poros acuan dari berjalannya siklus ini adalah klausul …</t>
  </si>
  <si>
    <t>26. Bertujuan untuk menjamin pemenuhan prasyarat ISO 21001:2018 tetap berjalan dengan mempertimbangkan berbagai kemungkinan adalah …</t>
  </si>
  <si>
    <t>27. Penciptaan kesatuan tujuan dan arahan serta keterlibatan orang-orang memungkinkan organisasi menyelaraskan strategi, kebijakan, proses, dan sumber daya untuk mencapai tujuannya. Menunjukkan pentingnya prinsip … untuk penerapan SMOP</t>
  </si>
  <si>
    <t>28. Klausul 4.1 ISO 21001:2018 mengatakan bahwa organisasi pendidikan harus mendeskripsikan isu internal dan eksternal yang relevan dengan tujuan, tanggung jawab sosial dan arahan strategisnya. Apa maksudnya?</t>
  </si>
  <si>
    <t>29. Klausul 6.1.1 ISO 21001:2018 mengatakan bahwa saat merencanakan SMOP, organisasi harus mempertimbangkan permasalahan yang disebutkan dalam 4.1 dan persyaratan yang disebutkan dalam 4.2 dan 4.4 serta menentukan risiko dan peluang yang perlu ditangani. Apa maksudnya?</t>
  </si>
  <si>
    <t>30. Siklus SPMI adalah PPEPP. Apa itu?</t>
  </si>
  <si>
    <t>31. Menetapkan pengelola unit penjaminan mutu merupakan bentuk pemenuhan siklus SPMI …</t>
  </si>
  <si>
    <t>32. Survei kepuasan pihak berkepentingan merupakan bentuk pemenuhan siklus SPMI …</t>
  </si>
  <si>
    <t>33. Berikut adalah bentuk pemenuhan siklus pengendalian SPMI. Kecuali …</t>
  </si>
  <si>
    <t>34. Melakukan benchmarking merupakan bentuk pemenuhan siklus SPMI …</t>
  </si>
  <si>
    <t>35. Klausul 9.3 ISO 21001:2018 mensyaratkan adanya rapat tinjauan manajemen. Hal ini selaras dengan penerapan siklus SPMI …</t>
  </si>
  <si>
    <t>36. Bagaimana cara mengintegrasikan prasyarat ISO 21001:2018 dengan SPMI sesuai anjuran ISO 21001:2018?</t>
  </si>
  <si>
    <t>37. Matriks SWOT disusun berdasarkan isu internal dan eksternal sebagai input. Isu internal dinyatakan dalam bentuk strength dan weakness, sedangkan isu eksternal dalam bentuk opportunity dan threat. Upaya melakukan promosi dengan memanfaatkan jaringan perguruan tinggi untuk memenangkan persaingan pasar merupakan bentuk strategi yang memanfaatkan kombinasi …</t>
  </si>
  <si>
    <t>38. Akses pendidikan berkualitas, fasilitas akademik yang memadai, dan kegiatan konseling merupakan kebutuhan dari …</t>
  </si>
  <si>
    <t>39. Klausul ISO berikut dapat menjadi input dalam penyusunan latar belakang SPMI.</t>
  </si>
  <si>
    <t>40. Mengizinkan pendaftaran di dua program atau organisasi pendidikan berbeda merupakan bentuk komitmen pimpinan organisasi untuk …</t>
  </si>
  <si>
    <t>41. Klausul berikut merupakan input dari penyusunan kebijakan organisasi, kecuali …</t>
  </si>
  <si>
    <t>42. Penyusunan Sasaran Organisasi yang baik adalah sebagai berikut berikut, kecuali …</t>
  </si>
  <si>
    <t>43. Salah satu hal yang harus dipertimbangkan dalam menetapkan kriteria risiko adalah</t>
  </si>
  <si>
    <t>44. Manajemen risiko harus memuat sifat-sifat berikut, kecuali …</t>
  </si>
  <si>
    <t>45. Berikut adalah terkait dengan persyaratan klausul 7.2 tentang penetapan kompetensi sumber daya manusia, kecuali …</t>
  </si>
  <si>
    <t>46. Dalam organisasi pendidikan, fasilitas yang diatur oleh ISO 21001:2018 minimal harus mencakup berikut, kecuali …</t>
  </si>
  <si>
    <t>47. Dalam memberikan fasilitas, organisasi pendidikan diwajibkan untuk menjamin keamanan dari fasilitas tersebut. Prasyarat ini ditetapkan pada ISO 21001:2018 klausul …</t>
  </si>
  <si>
    <t>48. Lingkungan dalam organisasi pendidikan menurut ISO 21001:2018 dapat berupa lingkungan fisik maupun psikososial. Berikut merupakan contoh lingkungan fisik organisasi, kecuali …</t>
  </si>
  <si>
    <t>49. Jenis sumber pengetahuan organisasi yang diperoleh dari pengalaman adalah …</t>
  </si>
  <si>
    <t>50. Menguasai konsep teoretis bidang pengetahuan dan keterampilan tertentu secara umum merupakan prasyarat kompetensi lulusan program studi …</t>
  </si>
  <si>
    <t>51. Pelaksanaan proses pembelajaran harus fleksibel, apa maksudnya?</t>
  </si>
  <si>
    <t>52. Program studi yang dapat menerapkan kurikulum yang diselenggarakan bersama dunia usaha, dunia industri, dan dunia kerja dalam sistem ganda adalah …</t>
  </si>
  <si>
    <t xml:space="preserve">53. Penyediaan akses sarana dan prasarana dilakukan dengan memenuhi ketentuan berikut, kecuali … </t>
  </si>
  <si>
    <t xml:space="preserve">54. Pembiayaan pendidikan meliputi biaya investasi dan biaya operasional. Berikut termasuk kedalam biaya operasional, kecuali … </t>
  </si>
  <si>
    <t xml:space="preserve">55. Pernyataan berikut benar terkait luaran penelitian, kecuali … </t>
  </si>
  <si>
    <t>56. Kegiatan tinjauan, verifikasi, dan validasi desain dan pengembangan produk dan layanan Pendidikan merupakan persyaratan ISO 21001:2018, klausul …</t>
  </si>
  <si>
    <t>57. Rencana Pembelajaran Semester mata kuliah XYZ belum mencantumkan keterkaitan antara Capaian Pembelajaran Mata Kuliah dengan Capaian Pembelajaran Lulusan. Hal ini tidak sesuai dengan persyaratan ISO 21001:2018 klausul …</t>
  </si>
  <si>
    <t>58. Peserta didik tidak diberi akses terkait dengan penilaian dosen terhadap jawaban ujian tengah dan akhir semester. Hal ini tidak sesuai dengan persyaratan ISO 21001:2018 klausul …</t>
  </si>
  <si>
    <t>59. Sebuah pendidikan vokasi memiliki dosen yang memiliki latar belakang pendidikan tidak linear dengan jurusan yang diampu. Namun, dosen tersebut merupakan praktisi perusahaan di bidang yang linear dengan jurusan yang diampu. Apakah hal tersebut diperbolehkan?</t>
  </si>
  <si>
    <t>60. Salah satu proses yang harus diatur dalam mengelola layanan pendidikan adalah proses penerimaan peserta didik baru. Dalam menyusun proses tersebut organisasi pendidikan dapat mengacu pada klausul …</t>
  </si>
  <si>
    <t>61. Rencana strategis perguruan tinggi, merupakan bentuk pemenuhan perencanaan pengembangan jangka …</t>
  </si>
  <si>
    <t>62. Sebuah organisasi pendidikan perlu melakukan evaluasi terhadap peserta didik dengan melakukan penilaian formatif dan sumatif. Bukti bahwa organisasi pendidikan telah melakukan penilaian formatif adalah …</t>
  </si>
  <si>
    <t>63. Prasyarat layanan pendidikan salah satunya bisa diperoleh dari analisis kebutuhan peserta didik. Bentuk upaya analisis kebutuhan peserta didik berkebutuhan khusus adalah sebagai berikut, kecuali …</t>
  </si>
  <si>
    <t>64. ISO 21001:2018 mensyaratkan bahwa organisasi pendidikan harus menunjukkan fleksibilitas dalam memenuhi kebutuhan dari peserta didik berkebutuhan khusus dengan pendekatan sebagai berikut, kecuali …</t>
  </si>
  <si>
    <t>65. ISO 21001:2018 menharuskan organisasi pendidikan untuk mengkomunikasikan persyaratan terkait produk dan layanan pendidikan kepada pihak berkepentingan. Minimal informasi berikut harus dipahami oleh pihak berkepentingan, kecuali …</t>
  </si>
  <si>
    <t>66. Ketika terdapat perubahan terhadap persyaratan pada produk dan layanan, organisasi pendidikan harus memastikan …</t>
  </si>
  <si>
    <t>67. Klausul 8 ISO 21001:2018 mensyaratkan organsiasi pendidikan untuk menentukan proses penerimaan peserta didik baru. Dalam menenyusun proses ini, organisasi pendidikan dapat mengacu pada klausul …</t>
  </si>
  <si>
    <t>68. ISO 21001:2018 mensyaratkan organisasi pendidikan untuk memastikan identifikasi dan ketertelusuran dari …</t>
  </si>
  <si>
    <t>69. Apa yang harus dilakukan oleh organisasi pendidikan apabila terjadi kehilangan atau kerusakan pada properti milik pihak berkepentingan?</t>
  </si>
  <si>
    <t>70. Apa yang harus dilakukan oleh organisasi pendidikan ketika ada ketidaksesuaian?</t>
  </si>
  <si>
    <t>71. Hal berikut harus dipastikan oleh organisasi pendidikan ketika melakukan kontrol terhadap produk dan layanan yang disediakan oleh pihak eksternal, kecuali …</t>
  </si>
  <si>
    <t>72. Informasi berikut harus disampaikan kepada pihak eksternal ketika organisasi pendidikan ingin menggunakan produk dan layanannya.</t>
  </si>
  <si>
    <t>73. Tujuan dilakukan penelitian pada organisasi pendidikan tinggi adalah …</t>
  </si>
  <si>
    <t>74. Input dari pelaksanaan penelitian pada organisasi pendidikan tinggi adalah …</t>
  </si>
  <si>
    <t>75. Organisasi pendidikan diharuskan untuk dapat menangani apabila terjadi komplain. ISO yang dapat digunakan sebagai acuan penanganan komplain adalah …</t>
  </si>
  <si>
    <t>76. Organisasi pendidikan harus menentukan proses apa saja yang perlu dievaluasi. ISO 21001:2018 menyediakan daftar proses yang terdapat dalam organisasi pendidikan yang disediakan dalam lampiran E nomor …</t>
  </si>
  <si>
    <t>77. ISO 21001:2018 menyediakan daftar tools yang dapat digunakan untuk evaluasi pada lampiran E nomor …</t>
  </si>
  <si>
    <t>78. Apabila organisasi pendidikan ingin memperoleh feed back lengkap terkait tingkat kepuasan melalui diskusi dengan pihak berkepentingan, maka tools apa yang lebih tepat diterapkan?</t>
  </si>
  <si>
    <t>79. Apakah seorang auditor internal boleh mengaudit departemennya sendiri?</t>
  </si>
  <si>
    <t>80. Dalam menentukan auditor internal, organisasi pendidikan harus dapat menjamin adanya …</t>
  </si>
  <si>
    <t>81. Dalam melaksanakan kegiatan audit, organisasi pendidikan dapat mengacu pada …</t>
  </si>
  <si>
    <t>82. ISO 21001:2018 mengharuskan organisasi pendidikan melakukan rapat tinjauan manajemen. hal berikut harus dibahas dalam rapat tinjauan manajemen, kecuali …</t>
  </si>
  <si>
    <t>83. Output dari rapat tinjauan manajemen paling sedikit harus mencakup hal berikut, kecuali …</t>
  </si>
  <si>
    <t>84. Mengambil tindakan dan melakukan perbaikan merupakan bentuk … dari penanganan ketidaksesuaian</t>
  </si>
  <si>
    <t>85. Bagaimana organisasi pendidikan membuktikan bahwa telah melakukan tindakan perbaikan pada ketidaksesuaian?</t>
  </si>
  <si>
    <t>86. Untuk menentukan tindakan perbaikan, maka organisasi pendidikan harus mempertimbangkan input dari klausul …</t>
  </si>
  <si>
    <t>87. Upaya peningkatan dapat berbentuk sebagai berikut, kecuali …</t>
  </si>
  <si>
    <t>88. Analisis terhadap peluang perbaikan harus dapat memenuhi kebutuhan dari pihak berikut, kecuali …</t>
  </si>
  <si>
    <t>89. Ketika melakukan pengembangan terhadap pengembangan standar, maka prosedur apa yang digunakan sebagai acuan?</t>
  </si>
  <si>
    <t>90. Berikut merupakan definisi audit yaitu ...</t>
  </si>
  <si>
    <t>91. Audit yang dilakukan oleh organisasi itu sendiri disebut dengan …</t>
  </si>
  <si>
    <t>92. Hal – hal yang sebaiknya dihindari ketika menjadi auditor adalah, kecuali …</t>
  </si>
  <si>
    <t>93. Manakah dari perilaku berikut yang paling tidak penting untuk ditunjukkan oleh auditor?</t>
  </si>
  <si>
    <t>94. Anggota tim audit memiliki tanggung jawab untuk …</t>
  </si>
  <si>
    <t>95. Siapa yang bertugas mempersiapkan rencana tindakan perbaikan?</t>
  </si>
  <si>
    <t>96. Manakah dari berikut ini yang merupakan manfaat terbesar dari program audit internal bagi suatu organisasi?</t>
  </si>
  <si>
    <t>97. Jejak audit diperlukan untuk …</t>
  </si>
  <si>
    <t>98. Manakah dari berikut ini yang paling penting untuk disampaikan auditor pada wawancara audit awal?</t>
  </si>
  <si>
    <t>99. Manakah dari permintaan auditor berikut yang kemungkinan besar akan memperoleh bukti paling obyektif untuk verifikasi?</t>
  </si>
  <si>
    <t>100. Analisis akar masalah / root cause analysis digunakan untuk …</t>
  </si>
  <si>
    <t>Tujuan, lingkup dan jangka waktu pelaksanaan audit</t>
  </si>
  <si>
    <t>Kriteria audit, durasi audit, alokasi sumber daya, dan ruang lingkup</t>
  </si>
  <si>
    <t>Mengelola audit dengan lingkup besar</t>
  </si>
  <si>
    <t>Persiapan</t>
  </si>
  <si>
    <t>Disetujui oleh klien</t>
  </si>
  <si>
    <t>Pihak yang diaudit akan memiliki satu orang yang dapat diajak berinteraksi dan memberikan komentar.</t>
  </si>
  <si>
    <t>Menerbitkan jadwal audit, menerbitkan laporan audit tepat waktu, dan menilai efektivitas proses audit</t>
  </si>
  <si>
    <t>Menyajikan ringkasan hasil audit.</t>
  </si>
  <si>
    <t>Risiko bawaan yang lebih tinggi dan tingkat kinerja yang lebih rendah</t>
  </si>
  <si>
    <t>Perencanaan</t>
  </si>
  <si>
    <t>Dapat turut serta dalam kegiatan audit di bawah arahan dan bimbingan auditor</t>
  </si>
  <si>
    <t>1. Sebuah project charter harus memuat ...</t>
  </si>
  <si>
    <t>2. Teknik penyusunan project charter salah satunya adalah …</t>
  </si>
  <si>
    <t>3. Dalam menyusun rencana implementasi standar, seorang implementer harus mampu …</t>
  </si>
  <si>
    <t>4. Besaran lingkup implementasi standar ditentukan oleh …</t>
  </si>
  <si>
    <t>8. Seorang lead implementer harus memiliki kemampuan komunikasi sebagai berikut.</t>
  </si>
  <si>
    <t>9. Teknik analisis risiko terdapat 2 macam yaitu kualitatif dan kuantitatif. Teknik analisis risiko secara kualitatif dapat dilakukan dengan …</t>
  </si>
  <si>
    <t>10. Aktivitas manajemen perubahan dalam implementasi standar yang dapat dilakukan antara lain …</t>
  </si>
  <si>
    <t>12. Implementasi standar harus mempertimbangkan kebutuhan dan ekspektasi pihak berkepentingan. Dalam organisasi pendidikan, minimal harus mempertimbangkan kebutuhan dan harapan dari …</t>
  </si>
  <si>
    <t>13. Dalam melakukan perubahan budaya organisasi sebagai dampak penerapan standar, maka harus terdapat prosedur …</t>
  </si>
  <si>
    <t>14. Organisasi pendidikan harus menetapkan tujuan dari sistem, dan prosesnya pada siklus PDCA. Tahapan ini merupakan tahap …</t>
  </si>
  <si>
    <t>15. Organisasi pendidikan diminta untuk mengambil tindakan untuk meningkatkan performa jika dibutuhkan pada siklus PDCA. Tahapan ini merupakan tahap …</t>
  </si>
  <si>
    <t>17. Penerapan SMOP dapat membantu organisasi pendidikan dalam mencapai visinya dengan …</t>
  </si>
  <si>
    <t>18. Bermanfaat untuk meningkatkan proses pengambilan keputusan adalah prinsip SMOP yaitu …</t>
  </si>
  <si>
    <t>19. Yang dimaksud dengan peserta didik berkebutuhan khusus dalam ISO 21001:2018 adalah …</t>
  </si>
  <si>
    <t>20. Dokumen kebijakan SPMI merupakan bentuk pemenuhan siklus SPMI …</t>
  </si>
  <si>
    <t>21. Dokumen survei kepuasan pemangku kepentingan merupakan bentuk pemenuhan siklus SPMI …</t>
  </si>
  <si>
    <t>22. Rapat tinjauan manajemen merupakan bentuk pemenuhan siklus SPMI …</t>
  </si>
  <si>
    <t>23. SK Auditor Mutu Internal merupakan bentuk pemenuhan siklus SPMI …</t>
  </si>
  <si>
    <t>24. Berikut adalah cara yang tepat untuk melakukan integrasi antara ISO 21001:2018 dengan SPMI …</t>
  </si>
  <si>
    <t>25. Risiko di dalam ISO 21001:2018 adalah …</t>
  </si>
  <si>
    <t>26. Melakukan benchmarking merupakan bentuk penerapan siklus SPMI …</t>
  </si>
  <si>
    <t>27. Dokumen yang berisi uraian garis besar tentang bagaimana perguruan tinggi memahami, merancang, dan mengimplementasikan SPMI adalah …</t>
  </si>
  <si>
    <t>28. Dokumen yang berisi petunjuk penetapan, pelaksanaan, evaluasi, pengendalian, dan peningkatan adalah …</t>
  </si>
  <si>
    <t>29. Dokumen kebijakan SPMI harus paling sedikit memuat …</t>
  </si>
  <si>
    <t>30. Latar belakang SPMI dapat disusun dengan mempertimbangkan …</t>
  </si>
  <si>
    <t>31. Memberi petunjuk tentang bagaimana standar SPMI dapat dipenuhi, adalah manfaat dari dokumen …</t>
  </si>
  <si>
    <t>32. Format ABCD dalam penyusunan dokumen standar SPMI adalah …</t>
  </si>
  <si>
    <t>33. Format KPI dalam penyusunan dokumen standar SPMI terdiri dari komponen …</t>
  </si>
  <si>
    <t>34. Dekan dan Ketua Jurusan melakukan rekrutasi, pembinaan dan pengembangan dosen agar tercapai rasio dosen-mahasiswa sebesar 1:45 paling lambat akhir tahun 2017. Pernyataan tersebut mengikuti format penyusunan dokumen standar SPMI …</t>
  </si>
  <si>
    <t>35. dokumen yang berisi standar Dikti untuk mewujudkan visi perguruan tinggi adalah dokumen SPMI …</t>
  </si>
  <si>
    <t>36. Dokumen SPMI yang tidak dapat distandarisasi adalah dokumen …</t>
  </si>
  <si>
    <t>37. Visi organsiasi pendidikan dapat menjadi input dalam penyusunan …</t>
  </si>
  <si>
    <t>38. Dalam menyusun garis besar kebijakan SPMI harus memuat …</t>
  </si>
  <si>
    <t>39. Dalam menerapkan SPMI, organisasi pendidikan wajib memiliki dokumen manual SPMI minimal sejumal …</t>
  </si>
  <si>
    <t>40. Manual SPMI berisi prosedur yang dibutuhkan dalam siklus SPMI. Prosedur yang baik harus memuat minimal …</t>
  </si>
  <si>
    <t>41. Rancangan manual SPMI pada PTS ditetapkan oleh pemimpin PTS dengan pertimbangan …</t>
  </si>
  <si>
    <t>42. Standar SPMI terdiri dari SN Dikti dan standar Dikti. SN Dikti terdiri dari …</t>
  </si>
  <si>
    <t>43. Indikator pencapaian standar SPMI yang baik berisi …</t>
  </si>
  <si>
    <t>47. Pilihlah pernyataan berikut yang benar tentang kebijakan SMOP!</t>
  </si>
  <si>
    <t>49. Pernyataan berikut yang benar terkait risiko …</t>
  </si>
  <si>
    <t>50. Alasan ISO 21001:2018 mensyaratkan adanya perencanaan perubahan, kecuali ...</t>
  </si>
  <si>
    <t>51. Sasaran mutu yang baik harus mengikuti prinsip SMART, yaitu …</t>
  </si>
  <si>
    <t>52. Tuntutan kerja, kejelasan peran, dan penghargaan, merupakan bentuk perwujudan dari …</t>
  </si>
  <si>
    <t>54. Dalam kaitannya dengan mengelola personel, organsiasi pendidikan harus mendokumentasikan …</t>
  </si>
  <si>
    <t>55. Dalam menyelenggarakan organisasi pendidikan, minimal harus terdapat fasilitas …</t>
  </si>
  <si>
    <t>56. Apa yang harus dilakukan ketika didapati ada hasil pengukuran yang tidak sesuai?</t>
  </si>
  <si>
    <t>57. Proses desain dan pengembangan layanan pendidikan dapat bersifat iterative. Apa maksudnya?</t>
  </si>
  <si>
    <t>59. ISO 21001:2018 mensyaratkan organisasi pendidikan untuk melakukan analisis kebutuhan dalam menentukan produk dan layanan pendidikan, terdapat beberapa faktor yang harus dipertimbangkan. Pilihlah jawaban yang benar terkait faktor tersebut.</t>
  </si>
  <si>
    <t>60. Terdapat 3 hal yang direncanakan dalam proses pembelajaran, yaitu …</t>
  </si>
  <si>
    <t>62. Standar pengelolaan memuat kriteria minimal mengenai perencanaan, pelaksanaan, serta pengawasan kegiatan pendidikan untuk mencapai standar kompetensi lulusan. Perencanaan kegiatan pendidikan yang dimaksud adalah …</t>
  </si>
  <si>
    <t>65. Kompetensi dosen untuk pembelajaran peserta didik merupakan kompetensi …</t>
  </si>
  <si>
    <t>66. Dalam melaksanakan penelitian, perguran tingi harus menetapkan …</t>
  </si>
  <si>
    <t>69. Untuk memastikan ketersediaan pendanaan secara berkelanjutan, organisasi harus menyusun …</t>
  </si>
  <si>
    <t>70. Informasi minimum apa saja yang harus disediakan organisasi pendidikan ketika melakukan penerimaan peserta didik baru?</t>
  </si>
  <si>
    <t>71. Dalam menyusun capaian pembelajaran lulusan, organisasi pendidikan harus memperhatikan …</t>
  </si>
  <si>
    <t>72. Siapa yang bertugas menyusun kompetensi utama lulusan?</t>
  </si>
  <si>
    <t>74. Organisasi pendidikan harus memastikan ketertelusuran layanan yang terdiri dari …</t>
  </si>
  <si>
    <t>75. Properti pihak berkepentingan yang harus dipelihara oleh organisasi pendidikan dapat berupa …</t>
  </si>
  <si>
    <t>76. Dalam memelihara properti pihak berkepentingan organisasi harus menetapkan prosedur untuk …</t>
  </si>
  <si>
    <t>77. Untuk menjamin perlindungan dan transparansi data, maka organisasi harus menyusun prosedur untuk menentukan …</t>
  </si>
  <si>
    <t>78. Untuk mengendalikan proses, produk, maupun layanan yang disediakan pihak eksternal, maka organisasi harus memberikan informasi kepada pihak eksternal antara lain …</t>
  </si>
  <si>
    <t>79. Dalam memenuhi persyaratan dari peserta didik berkebutuhan khusus, organisasi pendidikan harus …</t>
  </si>
  <si>
    <t>80. Ketika muncul ketidaksesuaian output, organisasi pendidikan harus menyusun informasi terdokumentasi yang …</t>
  </si>
  <si>
    <t>81. Untuk mengendalikan layanan yang diberikan oleh pihak eksternal, organisasi pendidikan harus …</t>
  </si>
  <si>
    <t>83. Input dari pengabdian masyarakat dalam organisasi pendidikan antara lain …</t>
  </si>
  <si>
    <t>84. Organsiasi pendidikan harus melakukan pemantauan, pengukuran, dan evaluasi efektivitas penerapan standar. Dalam kasus integrasi ISO 21001:2018 dengan SPMI, kriteria yang digunakan untuk menilai efektivitas tersebut tertuang dalam dokumen …</t>
  </si>
  <si>
    <t>85. Organisasi pendidikan harus memantau kepuasan dari pihak berkepentingan. Untuk memperoleh angka kepuasan pihak berkepentingan yang dapat mewakili penilaian dari populasi yang ada, maka metode yang paling tepat adalah …</t>
  </si>
  <si>
    <t>86. Organisasi pendidikan harus menangani kritik dan saran dari pihak berkepentingan, maka dari itu, organisasi pendidikan harus menetapkan prosedur yang mencakup salah satunya …</t>
  </si>
  <si>
    <t>88. Mengapa organisasi pendidikan tidak diperbolehkan memilih auditor internal untuk mengaudit divisinya sendiri?</t>
  </si>
  <si>
    <t>89. Ketika melakukan audit terhadap penerapan SPMI terintegrasi ISO 21001:2018, apa yang berubah dibandingkan dengan melakukan audit ISO 21001:2018 saja?</t>
  </si>
  <si>
    <t>90. Informasi terdokumentasi apa saja yang harus disusun organisasi pendidikan terkait dengan audit internal?</t>
  </si>
  <si>
    <t>91. Cara pandang auditor yang tidak memihak dalam melakukan audit, merupakan syarat yang harus dipenuhi auditor untuk …</t>
  </si>
  <si>
    <t>92. Auditor tidak boleh membiarkan pertimbangan auditnya mendapat pengaruh dari pihak lain, merupakan syarat yang harus dipenuhi auditor untuk …</t>
  </si>
  <si>
    <t>94. Ketika organisasi pendidikan mengevaluasi tindakan untuk mengeliminasi penyebab ketidaksesuaian, hal ini harus dapat menjamin bahwa ketidaksesuaian ini tidak akan muncul lagi dimanapun dengan …</t>
  </si>
  <si>
    <t>95. Informasi terdokumentasi terkait apa saja yang harus disusun oleh organisasi pendidikan berkaitan dengan ketidaksesuaian?</t>
  </si>
  <si>
    <t>96. Apa saja yang perlu ditingkatkan oleh organisasi pendidikan berkaitan dengan SMOP?</t>
  </si>
  <si>
    <t>97. Dalam melakukan peningkatan berkelanjutan, apa saja yang dapat menjadi input bagi organisasi pendidikan?</t>
  </si>
  <si>
    <t>98. Pengembangan produk dan layanan pendidikan harus dapat …</t>
  </si>
  <si>
    <t>99. Materi pembelajaran pendidikan profesi diutamakan untuk …</t>
  </si>
  <si>
    <t>100. Sumber belajar yang dimiliki organisasi pendidikan, minimum harus …</t>
  </si>
  <si>
    <t>5. Tujuan penerapan ­time management dalam implementasi standar adalah …</t>
  </si>
  <si>
    <t>6. Salah satu kebutuhan dalam implementasi standar adalah biaya. Teknik berikut dapat diterapkan dalam menetapkan estimasi biaya implementasi standar, kecuai …</t>
  </si>
  <si>
    <t>7. Bentuk aktivitas komunikasi implementasi standar dapat dilakukan dengan beberapa teknik, salah satunya adalah secara formal dan informal. Bentuk komunikasi formal antara lain sebagai berikut, kecuali …</t>
  </si>
  <si>
    <t>11. Dalam melakukan manajemen kualitas terdapat quality assurance dan quality control. Kegiatan berikut termasuk dalam quality assurance.</t>
  </si>
  <si>
    <t>16. Penerapan pendekatan proses pada SMOP memungkinkan organisasi untuk memperoleh keuntunngan berikut, kecuali …</t>
  </si>
  <si>
    <t>44. ISO 21001:2018 mengharuskan organisasi pendidikan untuk meninjau isu internal dan eksternal organisasi. Berikut adalah beberapa contoh isu internal organisasi, kecuali …</t>
  </si>
  <si>
    <t>45. Berikut adalah tujuan analisis menggunakan Matriks SWOT, kecuali …</t>
  </si>
  <si>
    <t>46. Dalam menetapkan peta proses bisnis, organisasi pendidikan harus menetapkan hal-hal berikut, kecuali …</t>
  </si>
  <si>
    <t>48. Penyusunan struktur organisasi, tanggung jawab, dan wewenang dalam perwujudan SMOP harus mempertimbangkan adanya personel organisasi yang memiiliki tanggung jawab sebagai berikut, kecuali …</t>
  </si>
  <si>
    <t>53. Tujuan ISO 21001:2018 mensyaratkan adanya pengelolaan sumber daya pengetahuan adalah untuk mencegah adanya tacid knowledge. Berikut benar terkait tacid knowledge kecuali …</t>
  </si>
  <si>
    <t>58. Ketika menentukan persyaratan produk dan layanan pendidikan, organisasi harus memastikan bahwa persyaratan produk dan layanan pendidikan yang telah ditetapkan memuat komponen berikut, kecuali …</t>
  </si>
  <si>
    <t>61. Bentuk penilaian hasil belajar dapat berupa penilaian formatif dan sumatif, tujuan penilaian formatif adalah sebagai berikut, kecuali …</t>
  </si>
  <si>
    <t>63. Standar pengelolaan memuat kriteria minimal mengenai perencanaan, pelaksanaan, serta pengawasan kegiatan pendidikan untuk mencapai standar kompetensi lulusan. pelaksanaan kegiatan pendidikan minimal meliputi pengelolaan sebagai berikut, kecuali …</t>
  </si>
  <si>
    <t>64. Standar pengelolaan memuat kriteria minimal mengenai perencanaan, pelaksanaan, serta pengawasan kegiatan pendidikan untuk mencapai standar kompetensi lulusan. Pengawasan kegiatan pendidikan minimal meliputi pengawasan sebagai berikut, kecuali …</t>
  </si>
  <si>
    <t>67. Organisasi pendidikan harus menyediakan sarana dan prasarana untuk peserta didik dengan ketentuan sebagai berikut, kecuali …</t>
  </si>
  <si>
    <t>68. Sumber pengetahuan organisasi dapat berasal dari internal maupun eksternal. Berikut adalah sumber pengetahuan organisasi yang berasal dari internal, kecuali …</t>
  </si>
  <si>
    <t>73. Hal berikut benar terkait capaian pembelajaran lulusan, kecuali …</t>
  </si>
  <si>
    <t>82. Berikut benar mengenai standar luaran penelitian dalam organisasi pendidikan, kecuali …</t>
  </si>
  <si>
    <t>87. Feedback apa saja yang harus dikumpulkan oleh organisasi pendidikan dari pihak berkepentingan?</t>
  </si>
  <si>
    <t>93. Dalam menyusun notulen rapat tinjauan manajemen, minimal harus terdapat poin berikut, kecuali …</t>
  </si>
  <si>
    <t>1. Pendekatan sistem pendidikan dan metode pembelajaran dimana luaran menjadi fokus dan hasilnya dapat dilihat dari proses belajar (pengetahuan yang berorientasi pada hasil, kemampuan dan perilaku) adalah</t>
  </si>
  <si>
    <t>2. Prinsip-prinsip Outcome Based Education (OBE) dalam kegiatan pembelajaran adalah</t>
  </si>
  <si>
    <t>3. Fokus pembelajaran Outcome Based Education (OBE) dibawah yang tidak sesuai adalah</t>
  </si>
  <si>
    <t>4. Manfaat yang dapat diperoleh dengan menerapkan OBE pada organisasi Pendidikan tinggi adalah</t>
  </si>
  <si>
    <t>5. Apa perbedaan utama antara pembelajaran berorientasi luaran (OBE) dan sistem pembelajaran tradisional?</t>
  </si>
  <si>
    <t>6. Dasar-dasar implementasi pembelajaran Outcome Based Education (OBE) adalah</t>
  </si>
  <si>
    <t>7. Urutan tahapan di dalam implementasi Outcome Based Education (OBE) adalah</t>
  </si>
  <si>
    <t>8. Apa yang dimaksud dengan tahapan "pengukuran dan evaluasi" dalam implementasi pembelajaran OBE?</t>
  </si>
  <si>
    <t>9. Apa yang dimaksud dengan tujuan unit kerja dalam konteks pengembangan kompetensi?</t>
  </si>
  <si>
    <t>10. Apa yang dimaksud dengan Capaian Pembelajaran Lulusan (CPL)</t>
  </si>
  <si>
    <t>11. Mengapa penting untuk mengukur Capaian Pembelajaran Lulusan (CPL) dari aspek keilmuan, keterampilan, dan sikap?</t>
  </si>
  <si>
    <t>12. Penyusunan CPL berdasarkan pada</t>
  </si>
  <si>
    <t>13. Poin yang harus diperhatikan dalam penyusunan capaian pembelajaran lulusan meliputi</t>
  </si>
  <si>
    <t>14. Bagaimana Capaian Pembelajaran Lulusan (CPL) dan Indikator Kinerja (IK) dapat disesuaikan dengan tujuan unit kerja</t>
  </si>
  <si>
    <t>15. Bagaimana hubungan antara Capaian Pembelajaran Lulusan (CPL) dan Capaian Pembelajaran Mata Kuliah (CPMK)?</t>
  </si>
  <si>
    <t>16. Mengapa penting untuk melakukan pemetaan hubungan antara CPL, IK, dan CPMK</t>
  </si>
  <si>
    <t>17. Apa yang akan dilakukan setelah hasil analisis CPL dan IK disusun secara spesifik menjadi CPMK</t>
  </si>
  <si>
    <t>18. Bagaimana cara menghitung pemenuhan Capaian Pembelajaran Lulusan (CPL)</t>
  </si>
  <si>
    <t>19. Kapan suatu Capaian Pembelajaran Lulusan (CPL) diberi predikat "Sangat Baik"</t>
  </si>
  <si>
    <t>20. Syarat dalam perumusan CPMK dan Sub-CPMK adalah</t>
  </si>
  <si>
    <t>21. Karakteristik perumusan CPMK dan Sub-CPMK adalah</t>
  </si>
  <si>
    <t>22. Mengapa penting untuk menyusun materi pembelajaran (sub-CPMK) berdasarkan Capaian Pembelajaran Mata Kuliah (CPMK)</t>
  </si>
  <si>
    <t>23. Pelaksanaan pembelajaran Outcome Based Education (OBE) untuk pemenuhan Capaian Pembelajaran Lulusan (CPL) diutamakan pada pendekatan</t>
  </si>
  <si>
    <t>24. Dalam pembelajaran proyek berbasis kelompok (team based project), mahasiswa belajar dengan cara</t>
  </si>
  <si>
    <t>25. Mengapa pendekatan Student Centered Learning (SCL) dan metode pembelajaran seperti studi kasus dan pembelajaran proyek berbasis kelompok diutamakan dalam memfasilitasi pemenuhan Capaian Pembelajaran Lulusan (CPL)</t>
  </si>
  <si>
    <t>26. Tujuan utama dari Rencana Pembelajaran Semester (RPS) adalah</t>
  </si>
  <si>
    <t>27. Tujuan utama dari Rencana Pembelajaran Semester (RPS) adalah</t>
  </si>
  <si>
    <t>28. Mengapa penting untuk menyusun Rencana Pembelajaran Semester (RPS) berdasarkan CPL</t>
  </si>
  <si>
    <t>29. Karakteristik proses pembelajaran SN-Dikti untuk mencapai CPL adalah</t>
  </si>
  <si>
    <t>30. Capaian pembelajaran lulusan diraih melalui proses Pembelajaran yang terintegrasi untuk memenuhi capaian pembelajaran lulusan secara keseluruhan dalam satu kesatuan program melalui pendekatan antardisiplin dan multidisiplin merupakan karakteristik proses pembelajaran</t>
  </si>
  <si>
    <t>31. Apa yang menjadi landasan utama dalam penyusunan Rencana Pembelajaran Semester (RPS) menurut Permendikbud 53 Tahun 2023</t>
  </si>
  <si>
    <t>32. Elemen Rencana Pembelajaran Semester (RPS) menurut Standar Nasional Pendidikan Tinggi (SN Dikti) adalah</t>
  </si>
  <si>
    <t>33. Dibawah ini yang tidak termasuk pihak berwenang untuk menetapkan dan mengesahkan Rencana Pembelajaran Semester adalah</t>
  </si>
  <si>
    <t>34. Tujuan Pembuatan Modul yang benar dibawah ini kecuali</t>
  </si>
  <si>
    <t>35. Komponen yang termuat dalam bahan/modul ajar pembelajaran adalah</t>
  </si>
  <si>
    <t>36. Untuk menghasilkan bahan/ modul ajar yang mampu meningkatkan motivasi belajar, pengembangan modul harus memperhatikan karakteristik yang diperlukan sebagai modul yaitu:</t>
  </si>
  <si>
    <t>37. Bahan/modul ajar pembelajaran disusun berdasarkan prinsip-prinsip pengembangan suatu modul, meliputi</t>
  </si>
  <si>
    <t>38. Apa yang dimaksud dengan referensi teknis dalam penyusunan bahan/modul ajar pembelajaran</t>
  </si>
  <si>
    <t>39. Mengapa penting untuk menghimpun referensi teknis dan non-teknis dari berbagai sumber dalam penyusunan bahan/modul ajar pembelajaran</t>
  </si>
  <si>
    <t>40. Apa yang dimaksud dengan referensi non-teknis dalam penyusunan bahan/modul ajar pembelajaran</t>
  </si>
  <si>
    <t>41. Apa yang dimaksud dengan sistematika penulisan bahan/modul ajar pembelajaran</t>
  </si>
  <si>
    <t>42. Mengapa penting untuk menyesuaikan sistematika penulisan bahan/modul ajar pembelajaran dengan pedoman penulisan yang berlaku</t>
  </si>
  <si>
    <t>43. Apa yang dimaksud dengan penyesuaian bahan/modul ajar pembelajaran dengan CPL pembelajaran</t>
  </si>
  <si>
    <t>44. Mengapa penting untuk merujuk kepada ketentuan sistematika yang diatur dalam pedoman penulisan yang berlaku saat menyusun Buku Informasi, Buku Kerja, dan Buku Penilaian</t>
  </si>
  <si>
    <t>45. Mengapa penting untuk melakukan perbaikan draf bahan/modul ajar pembelajaran kerja berdasarkan perkembangan IPTEK</t>
  </si>
  <si>
    <t>46. Apa yang dimaksud dengan kebutuhan stakeholder dalam konteks perbaikan draf bahan/modul ajar pembelajaran kerja</t>
  </si>
  <si>
    <t>47. Mengapa penggunaan metode yang tepat penting dalam penyusunan bahan/modul ajar pembelajaran kerja</t>
  </si>
  <si>
    <t>48. Apa yang dimaksud dengan pengorganisasian materi yang disempurnakan dalam penyusunan bahan/modul ajar pembelajaran kerja</t>
  </si>
  <si>
    <t>49. Mengapa penting untuk menjaga tata tulis yang baik dalam penyusunan bahan/modul ajar pembelajaran kerja</t>
  </si>
  <si>
    <t>50. Apa yang dilakukan setelah bahan/modul ajar pembelajaran ditetapkan oleh pimpinan</t>
  </si>
  <si>
    <t>51. Sebuah pendekatan atau paradigma pembelajaran yang meletakan mahasiswa pada pusat proses pembelajaran (the center of the learning process) adalah</t>
  </si>
  <si>
    <t>52. Berdasarkan Indikator Kinerja Utama (IKU) 7: Kelas yang Kolaboratif dan Partisipatif kriteria metode pembelajaran yang digunakan adalah</t>
  </si>
  <si>
    <t>53. Bagaimana cara menetapkan metode pembelajaran yang efektif sesuai dengan karakteristik mata kuliah</t>
  </si>
  <si>
    <t>54. Elemen student-centered lerarning (SCL) adalah</t>
  </si>
  <si>
    <t>55. Manfaat dari penggunaan media pembelajaran adalah</t>
  </si>
  <si>
    <t>56. Apa yang menjadi fokus utama saat mendesain media pembelajaran untuk mendukung CPMK</t>
  </si>
  <si>
    <t>57. Bagaimana media pembelajaran dapat membantu mencapai CPMK</t>
  </si>
  <si>
    <t>58. Apa yang harus dipertimbangkan saat menyusun media pembelajaran untuk mendukung metode pembelajaran tertentu</t>
  </si>
  <si>
    <t>59. Mengapa validasi media pembelajaran oleh pihak yang berwenang penting</t>
  </si>
  <si>
    <t>60. Bagaimana proses validasi media pembelajaran biasanya dilakukan oleh pihak yang berwenang</t>
  </si>
  <si>
    <t>61. Mengapa penting untuk memilih pembelajaran berbasis TIK yang sesuai dengan CPMK dan CPL</t>
  </si>
  <si>
    <t>62. Apa yang harus dipertimbangkan saat menentukan ketersediaan peralatan TIK untuk mendukung pencapaian CPMK dan CPL</t>
  </si>
  <si>
    <t>63. Mengapa penting untuk menyesuaikan peralatan TIK dengan CPMK dan CPL</t>
  </si>
  <si>
    <t>64. Bagaimana cara menentukan kesesuaian pembelajaran berbasis TIK dengan CPL</t>
  </si>
  <si>
    <t>65. Mengapa penggunaan peralatan pembelajaran berbasis kombinasi TIK penting dalam proses pembelajaran</t>
  </si>
  <si>
    <t>66. Mengapa penting bagi penyelenggara pembelajaran untuk menentukan penggunaan peralatan pembelajaran berbasis kombinasi TIK</t>
  </si>
  <si>
    <t>67. Mengapa penting bagi media pembelajaran inovatif untuk disusun secara efektif</t>
  </si>
  <si>
    <t>68. Komponen dan ciri-ciri metode pembelajaran inovatif melibatkan berbagai aspek yang berfokus pada meningkatkan efektivitas dan keterlibatan siswa dalam proses pembelajaran. Berikut ini adalah beberapa komponen dan ciri-ciri penting metode pembelajaran inovatif adalah</t>
  </si>
  <si>
    <t>69. Apa yang menjadi fokus utama saat memvalidasi media pembelajaran inovatif</t>
  </si>
  <si>
    <t>70. Bagaimana proses validasi media pembelajaran inovatif biasanya dilakukan oleh pihak yang berwenang</t>
  </si>
  <si>
    <t>71. Implementasi metode pembelajaran inovatif yang efektif melibatkan beberapa langkah penting untuk memastikan keberhasilannya. Berikut adalah beberapa langkah yang dapat diambil kecuali adalah</t>
  </si>
  <si>
    <t>72. Apa yang dimaksud dengan "materi pembelajaran" dalam konteks Outcome-Based Education (OBE)?</t>
  </si>
  <si>
    <t>73. Berapa beban belajar dalam sistem SKS yang biasanya diimplementasikan dalam kurikulum pembelajaran tingkat perguruan tinggi</t>
  </si>
  <si>
    <t>74. Bentuk-bentuk pelaksanaan pembelajaran yang dapat secara efektif memfasilitasi pemenuhan capaian pembelajaran lulusan adalah</t>
  </si>
  <si>
    <t>75. Jumlah, jenis, dan spesifikasi sarana ditetapkan berdasarkan rasio penggunaan sarana sesuai dengan karakteristik metode dan bentuk pembelajaran, serta harus menjamin terselenggaranya proses pembelajaran dan pelayanan administrasi akademik. Standar sarana pembelajaran paling sedikit terdiri atas</t>
  </si>
  <si>
    <t>76. Standar pengelolaan pembelajaran harus mengacu pada</t>
  </si>
  <si>
    <t>77. Mengapa penting untuk mengidentifikasi tempat pembelajaran sesuai dengan kebutuhan pembelajaran</t>
  </si>
  <si>
    <t>78. Apa yang dimaksud dengan tempat pembelajaran yang sesuai dengan metode pembelajaran</t>
  </si>
  <si>
    <t>79. Cakupan penilaian pembelajaran untuk pemenuhan capaian pembelajaran lulusan adalah</t>
  </si>
  <si>
    <t>80. Tujuan utama dari penilaian hasil pembelajaran mahamahasiswa berdasarkan CPMK dan CPL adalah</t>
  </si>
  <si>
    <t>81. Salah satu ciri dari perangkat penilaian pembelajaran OBE adalah</t>
  </si>
  <si>
    <t>82. Instrument yang digunakan untuk menilai setiap kriteria/dimensi secara terpisah, selanjutnya mengkombinasikan penilaian dari setiap kriteria untuk memberikan penilaian terhadap mutu kinerja secara keseluruhan adalah</t>
  </si>
  <si>
    <t>83. Prinsip penilaian yang terintegrasi untuk mengukur capaian pembelajaran lulusan adalah</t>
  </si>
  <si>
    <t>84. Mekanisme penilaian capaian pembelajaran lulusan adalah</t>
  </si>
  <si>
    <t>85. Mengapa penting untuk menganalisis hasil penilaian CPMK dan CPL</t>
  </si>
  <si>
    <t>86. Bagaimana cara merencanakan perbaikan proses pembelajaran berdasarkan hasil penilaian CPMK dan CPL</t>
  </si>
  <si>
    <t>87. Apa yang dimaksud dengan validasi dalam konteks penyusunan laporan penilaian pembelajaran</t>
  </si>
  <si>
    <t>88. Tujuan utama dari penyusunan dan validasi laporan penilaian pembelajaran adalah</t>
  </si>
  <si>
    <t>89. Langkah apa yang perlu dilakukan dalam merancang program pembelajaran OBE</t>
  </si>
  <si>
    <t>90. Mengapa penting untuk menyusun rencana tindak lanjut berdasarkan hasil penilaian pembelajaran OBE</t>
  </si>
  <si>
    <t>91. Apa yang menjadi tujuan utama dari pengembangan program pembelajaran Outcome Based Education (OBE)</t>
  </si>
  <si>
    <t>92. Langkah apa yang perlu diambil untuk mengidentifikasi pengembangan program pembelajaran OBE</t>
  </si>
  <si>
    <t>93. Apa manfaat dari validasi rencana tindak lanjut oleh pihak yang berwenang</t>
  </si>
  <si>
    <t>94. Apa yang menjadi tujuan utama dari proses verifikasi materi pengembangan program pembelajaran</t>
  </si>
  <si>
    <t>95. Apa peran pihak yang berwenang dalam proses validasi materi pembelajaran</t>
  </si>
  <si>
    <t>96. Mengapa penting untuk mengidentifikasi kekuatan dan kelemahan program pembelajaran OBE</t>
  </si>
  <si>
    <t>97. Apa yang dilakukan setelah kekuatan dan kelemahan program pembelajaran OBE diidentifikasi</t>
  </si>
  <si>
    <t>98. Apa yang menjadi fokus utama dalam pengembangan program pembelajaran Outcome Based Education (OBE) untuk peningkatan mutu dan luaran pembelajaran</t>
  </si>
  <si>
    <t>99. Manakah dari berikut ini yang bukan merupakan langkah dalam pengembangan program pembelajaran untuk peningkatan mutu dan luaran pembelajaran</t>
  </si>
  <si>
    <t>100. Mengapa penting untuk melakukan verifikasi terhadap materi pengembangan program pembelajaran (RPS dan bahan/modul ajar)</t>
  </si>
  <si>
    <t>1. Mekanisme penyusunan VMTS UUPS melibatkan para pemangku kepentingan baik internal dan eksternal. Dibawah ini yang tidak termasuk pemangku kepentingan internal adalah</t>
  </si>
  <si>
    <t>2. Hal-hal yang harus diperhatikan dalam menyusunan strategi yang efektif untuk mencapai tujuan adalah</t>
  </si>
  <si>
    <t>3. Mekanisme penyusunan rencana strategis Perguruan Tinggi untuk mencapai tujuan organisasi mencakup beberapa aspek. dibawah ini yang merupakan aspek penyusunan renstra adalah</t>
  </si>
  <si>
    <t>4. Tujuan dari budaya mutu untuk perbaikan mutu secara terus menerus adalah membentuk suatu lingkungan organisasi yang memiliki aspek dibawah ini kecuali</t>
  </si>
  <si>
    <t>5. Strategi untuk membangun budaya mutu organisasi Pendidikan tinggi adalah</t>
  </si>
  <si>
    <t>6. Mengapa komitmen diperlukan dalam mengembangkan budaya baru di perguruan tinggi</t>
  </si>
  <si>
    <t>7. Apa yang dapat dilakukan organisasi untuk mendukung kebutuhan stakeholder dalam posisi produk dan layanan pendidikan</t>
  </si>
  <si>
    <t>8. Mengapa penting bagi organisasi untuk mengidentifikasi posisi mereka terhadap pesaing dalam menentukan strategi bisnis di masa yang akan datang</t>
  </si>
  <si>
    <t>9. Bagaimana organisasi dapat menggunakan pemahaman mereka tentang posisi mereka terhadap pesaing untuk merancang strategi bisnis yang efektif</t>
  </si>
  <si>
    <t>10. Opportunity dan Threat adalah hal eksternal yang mempengaruhi proses bisnis Organisasi. Organisasi dapat memanfaatkan peluang dan melindunginya dari ancaman. Dibawah ini yang tidak termasuk contoh isu eksternal adalah</t>
  </si>
  <si>
    <t>11. Mengapa penting untuk mengidentifikasi kondisi objektif internal sebagai kondisi awal untuk melakukan perubahan di organisasi pendidikan</t>
  </si>
  <si>
    <t>12. Mengapa penting untuk mengidentifikasi kondisi objektif eksternal sebagai kondisi awal untuk melakukan perubahan di organisasi pendidikan</t>
  </si>
  <si>
    <t>13. Apa manfaat yang dapat diperoleh organisasi pendidikan dari pemahaman yang baik tentang kondisi objektif internal dan eksternal sebagai kondisi awal untuk melakukan perubahan</t>
  </si>
  <si>
    <t>14. Mengapa penting untuk mengembangkan peta proses bisnis berdasarkan hasil analisis SWOT, visi, misi, tujuan, dan strategi organisasi pendidikan</t>
  </si>
  <si>
    <t>15. Mengapa penting untuk menetapkan pemetaan proses bisnis yang selaras dengan core bisnis organisasi</t>
  </si>
  <si>
    <t>16. Apa manfaat utama dari penyusunan roadmap dan masterplan dalam konteks monitoring pencapaian target organisasi</t>
  </si>
  <si>
    <t>17. Mengapa penting untuk mengidentifikasi ruang lingkup dan tujuan organisasi sebelum merancang desain organisasi</t>
  </si>
  <si>
    <t>18. Organisasi harus memantau dan meninjau hasil identifikasi terhadap pihak yang berkepentingan untuk memastikan bahwa organisasi telah memenuhi harapan dan kebutuhan dari pihak yang berkepentingan. Hal yang perlu dipertimbangkan dalam pembuatan identifikasi pihak berkepentingan adalah</t>
  </si>
  <si>
    <t>19. Apa yang bisa menjadi hasil dari tidak memperhatikan ruang lingkup dan tujuan organisasi dalam merancang struktur organisasi</t>
  </si>
  <si>
    <t>20. Mengapa penting untuk mengidentifikasi tugas dan fungsi jabatan dengan mengacu kepada job description dalam sebuah organisasi</t>
  </si>
  <si>
    <t>21. Bagaimana standar kompetensi yang ditetapkan berdasarkan hasil pemetaan dapat membantu dalam pengembangan personel</t>
  </si>
  <si>
    <t>22. Pimpinan harus memastikan bahwa tanggung jawab dan wewenang untuk peran yang relevan ditentukan dan dikomunikasikan dalam organisasi bertujuan untuk</t>
  </si>
  <si>
    <t>23. Apa yang bisa menjadi hasil dari tidak memperhatikan standar kompetensi yang diperlukan untuk mendukung tugas dan fungsi jabatan di perguruan tinggi</t>
  </si>
  <si>
    <t>24. Metode apa yang dapat digunakan untuk penempatan sumber daya pelaksanaan kegiatan dalam konteks pencapaian target di sebuah organisasi pendidikan</t>
  </si>
  <si>
    <t>25. Bagaimana penempatan sumber daya pelaksanaan kegiatan dapat berkontribusi terhadap pencapaian target dalam sebuah organisasi pendidikan di perguruan tinggi</t>
  </si>
  <si>
    <t>26. Apa yang dimaksud dengan ketercapaian target proses bisnis pada perguruan tinggi</t>
  </si>
  <si>
    <t>27. Bagaimana proses pengukuran ketercapaian target proses bisnis pada perguruan tinggi biasanya dilakukan</t>
  </si>
  <si>
    <t>28. Apa yang biasanya menjadi hasil dari umpan balik yang diperoleh dari pihak terkait terhadap hasil pengukuran tindakan strategi bisnis perguruan tinggi</t>
  </si>
  <si>
    <t>29. Apa yang bisa menjadi konsekuensi dari tidak mengambil kesimpulan akhir dari evaluasi rencana strategi berdasarkan rencana, tindakan, dan monitoring strategi secara terintegrasi</t>
  </si>
  <si>
    <t>30. Mengapa penting untuk menyusun rencana tindak lanjut berdasarkan evaluasi yang telah ditetapkan di perguruan tinggi</t>
  </si>
  <si>
    <t>31. Apa yang bisa menjadi konsekuensi dari tidak melakukan verifikasi dan validasi rencana tindak lanjut setelah penyusunannya</t>
  </si>
  <si>
    <t>32. Tata pamong PT yang efektif terjadi jika PT dalam menyelenggarakan aktivitasnya menerapkan prinsip tata pamong, yaitu</t>
  </si>
  <si>
    <t>33. Instrumen dan perangkat pendukung dalam melaksanakan pekerjaan pada organisasi Pendidikan tinggi adalah</t>
  </si>
  <si>
    <t>34. Efektivitas, efisiensi, dan produktivitas dalam konteks pengelolaan perguruan tinggi dapat dicapai dengan cara</t>
  </si>
  <si>
    <t>35. Salah satu fungsi utama aturan etika dalam organisasi pendidikan adalah:</t>
  </si>
  <si>
    <t>36. Salah satu tujuan standar kriteria pengangkatan pimpinan adalah</t>
  </si>
  <si>
    <t>37. Prosedur layanan organisasi pendidikan yang efektif harus mencakup semua kecuali</t>
  </si>
  <si>
    <t>38. Mengapa penting bagi individu untuk terus meningkatkan kualifikasi dan kemampuan mereka sesuai dengan kebutuhan kompetensi jabatan</t>
  </si>
  <si>
    <t>39. Mengapa penting untuk melibatkan pemangku kepentingan dalam penetapan program organisasi perguruan tinggi</t>
  </si>
  <si>
    <t>40. Bentuk penerapan prinsip akuntabilitas dalam penyelenggaraan organisasi Pendidikan tinggi adalah kecuali</t>
  </si>
  <si>
    <t>41. Mengapa mekanisme sistem pengendalian internal penting dalam organisasi pendidikan</t>
  </si>
  <si>
    <t>42. Bagaimana sistem informasi manajemen dapat membantu dalam meningkatkan transparansi penyelenggaraan organisasi pendidikan</t>
  </si>
  <si>
    <t>43. Mengapa penting bagi organisasi pendidikan untuk memastikan bahwa kegiatan dan layanan terbuka untuk semua pihak yang terlibat</t>
  </si>
  <si>
    <t>44. Apa keuntungan dari melaksanakan proses rekrutmen dan seleksi personel secara terbuka dalam organisasi pendidikan</t>
  </si>
  <si>
    <t>45. Bagaimana proses identifikasi dan pembagian beban kerja organisasi pendidikan dapat dilakukan dengan adil</t>
  </si>
  <si>
    <t>46. Apa yang dapat dilakukan organisasi pendidikan untuk memastikan bahwa standar kompetensi untuk jabatan struktural diterapkan secara efektif</t>
  </si>
  <si>
    <t>47. Mengapa penting untuk menentukan persyaratan dan kriteria yang jelas untuk reward dan punishment dalam organisasi pendidikan</t>
  </si>
  <si>
    <t>48. Bagaimana pemberian reward dan punishment dapat dilaksanakan sesuai dengan hasil evaluasi kinerja personel</t>
  </si>
  <si>
    <t>49. Apa yang dimaksud dengan aksesibilitas mahasiswa berkebutuhan khusus dalam konteks layanan pendidikan</t>
  </si>
  <si>
    <t>50. Elemen apa yang paling penting dalam menyusun layanan pendidikan untuk mahasiswa berkebutuhan khusus</t>
  </si>
  <si>
    <t>51. Mengapa penting untuk menyusun perangkat evaluasi perguruan tinggi berdasarkan metode evaluasi yang digunakan</t>
  </si>
  <si>
    <t>52. Mengapa penting bagi perguruan tinggi untuk mempertanggungjawabkan keputusan yang diambil dalam evaluasi kinerja mereka</t>
  </si>
  <si>
    <t>53. Mengapa format laporan hasil evaluasi harus disusun sesuai informasi yang diperlukan oleh pihak yang berkepentingan</t>
  </si>
  <si>
    <t>54. Mengapa penting untuk mengidentifikasi karakteristik pemimpin organisasi perguruan tinggi</t>
  </si>
  <si>
    <t>55. Bagaimana pemimpin organisasi perguruan tinggi dapat menentukan jenis pola kepemimpinan yang efektif berdasarkan budaya organisasi</t>
  </si>
  <si>
    <t>56. Mengapa penting untuk mengidentifikasi dan menetapkan kompetensi dan kriteria jabatan dalam sebuah organisasi Pendidikan Tinggi</t>
  </si>
  <si>
    <t>57. Apa manfaat memiliki seorang pimpinan yang memenuhi kriteria unjuk kerja dalam bidangnya bagi organisasi Pendidikan Tinggi</t>
  </si>
  <si>
    <t>58. Apa yang merupakan langkah pertama dalam mengembangkan pola kepemimpinan efektif di perguruan tinggi</t>
  </si>
  <si>
    <t>59. Apa yang dimaksud dengan pola kepemimpinan operasional di perguruan tinggi</t>
  </si>
  <si>
    <t>60. Apa yang dimaksud dengan standar dalam konteks penerapan pola kepemimpinan operasional</t>
  </si>
  <si>
    <t>61. Salah satu aspek penting dalam penerapan pola kepemimpinan organisasional adalah</t>
  </si>
  <si>
    <t>62. Kepemimpinan publik berkaitan dengan kemampuan menjalin kerjasama. Untuk itu, setiap pimpinan harus menjadi bagian dari sebuah komunitas sosial, asosiasi, ataupun organisasi massa non politik. Dampak yang diharapkan dari adanya kepemimpinan publik untuk organisasi Pendidikan tinggi adalah</t>
  </si>
  <si>
    <t>63. Apa yang menjadi fokus utama dalam pengukuran dan evaluasi pola kepemimpinan perguruan tinggi</t>
  </si>
  <si>
    <t>64. Apa manfaat dari menganalisis umpan balik dari hasil pengukuran kepuasan terkait dengan pola kepemimpinan</t>
  </si>
  <si>
    <t>65. Apa yang harus menjadi fokus utama dalam rencana tindak lanjut pola kepemimpinan</t>
  </si>
  <si>
    <t>66. Apa yang dilakukan dalam proses validasi rencana tindak lanjut pola kepemimpinan perguruan tinggi</t>
  </si>
  <si>
    <t>67. Apa yang harus dilakukan jika terdapat perbedaan pendapat antara anggota organisasi dalam menentukan rancangan program kegiatan</t>
  </si>
  <si>
    <t>68. Mengapa penting untuk melakukan manajemen risiko dalam perencanaan program</t>
  </si>
  <si>
    <t>69. Apa yang menjadi dasar penentuan jenis/bentuk program kegiatan dalam perencanaan</t>
  </si>
  <si>
    <t>70. Faktor-faktor apa yang mungkin dipertimbangkan dalam menetapkan prioritas jenis kegiatan perguruan tinggi</t>
  </si>
  <si>
    <t>71. Mengapa penting untuk memilih metode yang tepat dalam pelaksanaan kegiatan kerja</t>
  </si>
  <si>
    <t>72. Mengapa penting untuk memiliki mekanisme/prosedur pencapaian tujuan kegiatan kerja</t>
  </si>
  <si>
    <t>73. Mengapa penting untuk memiliki instrumen monitoring yang efektif</t>
  </si>
  <si>
    <t>74. Bagaimana evaluasi keberhasilan kegiatan berbeda dari monitoring kegiatan</t>
  </si>
  <si>
    <t>75. Apa yang menjadi langkah-langkah umum dalam melakukan evaluasi keberhasilan kegiatan</t>
  </si>
  <si>
    <t>76. Mengapa penting untuk memiliki timeline dalam pelaporan pelaksanaan kegiatan</t>
  </si>
  <si>
    <t>77. Bagaimana cara memastikan bahwa format laporan hasil kegiatan sesuai dengan informasi yang diperlukan oleh pihak yang berkepentingan</t>
  </si>
  <si>
    <t>78. Mengapa penting untuk mematuhi etika dan integritas dalam sebuah organisasi pendidikan</t>
  </si>
  <si>
    <t>79. Mengapa penting bagi sivitas akademik untuk memahami dan menginternalisasi nilai-nilai etika yang terkandung dalam kode etik institusi</t>
  </si>
  <si>
    <t>80. Apa yang dimaksud dengan komitmen pribadi pemimpin dalam konteks memberikan contoh keteladanan terkait integritas akademik</t>
  </si>
  <si>
    <t>81. Mengapa integritas akademik penting dalam konteks perguruan tinggi</t>
  </si>
  <si>
    <t>82. Mengapa kebebasan akademik dianggap penting dalam konteks perguruan tinggi</t>
  </si>
  <si>
    <t>83. Apa yang dimaksud dengan otonomi keilmuan</t>
  </si>
  <si>
    <t>84. Mengapa toleransi dan menghargai perbedaan pendapat sangat penting dalam pertemuan akademis</t>
  </si>
  <si>
    <t>85. Apa yang harus dilakukan oleh personel untuk memastikan pelaksanaan tugas dan kewajiban sebagaimana yang telah ditentukan dalam surat pengangkatannya</t>
  </si>
  <si>
    <t>86.Apa yang harus dilakukan jika seorang personel ingin melakukan kegiatan di luar organisasi yang menggunakan nama organisasi, tetapi tidak yakin apakah izin diperlukan</t>
  </si>
  <si>
    <t>87. Bagaimana cara terbaik untuk memastikan izin yang diperlukan telah diperoleh sebelum melaksanakan kegiatan di luar organisasi yang melibatkan penggunaan nama organisasi</t>
  </si>
  <si>
    <t>88. Mengapa penting untuk memiliki budaya kerja yang menekankan integritas dan kejujuran</t>
  </si>
  <si>
    <t>89. Apa yang dapat dilakukan oleh individu untuk mencegah diri dari terlibat dalam tindakan suap</t>
  </si>
  <si>
    <t>90. Mengapa penting bagi personel perguruan tinggi untuk tidak mengizinkan adanya pengaruh keuangan komersial atau tekanan untuk kompromi ketidakberpihakan</t>
  </si>
  <si>
    <t>91. Bagaimana penyelesaian masalah terkait ketidakberpihakan dapat dilakukan dengan tetap menjaga integritas organisasi</t>
  </si>
  <si>
    <t>92. Apa yang harus dilakukan jika seseorang mencoba untuk mengambil-alih atau merusak aset organisasi perguruan tinggi</t>
  </si>
  <si>
    <t>93. Mengapa penting untuk melaksanakan peminjaman aset/fasilitas organisasi dengan tanggung jawab dan memenuhi prinsip kewajaran</t>
  </si>
  <si>
    <t>94. Apa yang harus dilakukan sebelum memberikan atau memberitahukan informasi rahasia kepada pihak yang berkepentingan</t>
  </si>
  <si>
    <t>95. Apa yang harus dilakukan setelah mengidentifikasi dan mengklasifikasikan jenis pelanggaran dalam organisasi perguruan tinggi</t>
  </si>
  <si>
    <t>96. Mengapa penting untuk menegakkan sanksi sesuai dengan bobot pelanggaran yang ditetapkan</t>
  </si>
  <si>
    <t>97. Mengapa penting untuk memberlakukan sanksi sesuai dengan peraturan perundang-undangan terhadap personel yang melakukan pelanggaran terhadap kode etik</t>
  </si>
  <si>
    <t>98. Apa yang harus menjadi dasar pertimbangan organisasi dalam memberlakukan sanksi terhadap pelanggaran kode etik</t>
  </si>
  <si>
    <t>99. Apa yang dapat menjadi konsekuensi jika organisasi tidak konsisten dalam memberlakukan sanksi terhadap pelanggaran kode etik</t>
  </si>
  <si>
    <t>100. Apa yang dapat dilakukan untuk mencegah pelanggaran kode etik di organisasi perguruan tinggi</t>
  </si>
  <si>
    <t>1. Prinsip-prinsip dasar apa yang harus diikuti dalam melaksanakan audit sesuai ISO 19011</t>
  </si>
  <si>
    <t>2. Apa yang dimaksud dengan audit mutu</t>
  </si>
  <si>
    <t>3. Salah satu prinsip dasar audit adalah</t>
  </si>
  <si>
    <t>4. Perbedaan utama antara audit internal dan eksternal adalah</t>
  </si>
  <si>
    <t>5. Bukti audit sebaiknya dapat diverifikasi, didasarkan pada sampel dari informasi yang didapatkan selama pelaksanaan audit adalah prinsip</t>
  </si>
  <si>
    <t>6. Auditor bertindak dengan yang bebas dari bias dan konflik kepentingan adalah prinsip</t>
  </si>
  <si>
    <t>7. Melindungi informasi yang diperoleh, penanganan yang tepat atas informasi sensitif atau rahasia adalah prinsip</t>
  </si>
  <si>
    <t>8. Menerapkan ketekunan dan pertimbangan dalam audit, kemampuan untuk mengambil bertimbangan secara ilmiah adalah prinsip</t>
  </si>
  <si>
    <t>9. Apa yang dimaksud dengan program audit menurut ISO 19011</t>
  </si>
  <si>
    <t>10. Apa yang termasuk dalam elemen-elemen utama dari program audit</t>
  </si>
  <si>
    <t>11. Manfaat utama dari memiliki program audit yang terstruktur adalah</t>
  </si>
  <si>
    <t>12. Siapa yang bertanggung jawab atas penyusunan program audit</t>
  </si>
  <si>
    <t>13. Bagaimana cara menentukan sumber daya yang dibutuhkan dalam program audit</t>
  </si>
  <si>
    <t>14. Tujuan utama dari program audit adalah</t>
  </si>
  <si>
    <t>15. Bagaimana cara menentukan cakupan audit</t>
  </si>
  <si>
    <t>16. Mengapa penting untuk menentukan ruang lingkup audit</t>
  </si>
  <si>
    <t>17. Apa yang dimaksud dengan lingkup audit menurut ISO 19011</t>
  </si>
  <si>
    <t>18. Lingkup audit dapat mencakup</t>
  </si>
  <si>
    <t>19. Apa yang dimaksud dengan kriteria audit dalam menentukan lingkup audit</t>
  </si>
  <si>
    <t>20. Bagaimana proses penentuan lingkup audit biasanya dilakukan</t>
  </si>
  <si>
    <t>21. Apa yang dimaksud dengan risiko audit</t>
  </si>
  <si>
    <t>22. Apa yang dilakukan jika terjadi perubahan signifikan dalam lingkup audit</t>
  </si>
  <si>
    <t>23. Apa yang dimaksud dengan manajemen risiko audit</t>
  </si>
  <si>
    <t>24. Mengapa manajemen risiko audit penting dalam proses audit</t>
  </si>
  <si>
    <t>25. Apa yang dimaksud dengan risiko audit</t>
  </si>
  <si>
    <t>26. Siapa yang seharusnya menjadi auditor dalam sebuah laboratorium</t>
  </si>
  <si>
    <t>27. Apa yang harus dilakukan jika auditor yang diinginkan tidak tersedia</t>
  </si>
  <si>
    <t>28. Apa yang harus diperhatikan saat menilai pengalaman seorang auditor</t>
  </si>
  <si>
    <t>29. Apa yang harus dipertimbangkan saat memilih auditor internal</t>
  </si>
  <si>
    <t>30. Kualifikasi yang dipersyaratkan dalam pemilihan auditor internal ... kecuali</t>
  </si>
  <si>
    <t>31. Apa yang dimaksud dengan audit menurut ISO 19011</t>
  </si>
  <si>
    <t>32. Apa tujuan dari sebuah audit menurut ISO 19011</t>
  </si>
  <si>
    <t>33. Proses yang sistematik, mandiri dan terdokumentasi untuk memperoleh bukti objektif dan mengevaluasi bukti tersebut secara objektif untuk menentukan sejauh mana kriteria audit dipenuhi adalah</t>
  </si>
  <si>
    <t>34. Pengaturan satu atau lebih audit yang direncanakan dalam jangka waktu tertentu dan diarahkan untuk tujuan spesifik adalah</t>
  </si>
  <si>
    <t>35. Kumpulan unsur laboratorium yang saling terkait dan berinteraksi untuk menetapkan kebijakan dan sasaran serta proses untuk mencapai sasaran adalah</t>
  </si>
  <si>
    <t>36. Seperangkat persyaratan yang digunakan sebagai acuan pembanding terhadap bukti objektif adalah</t>
  </si>
  <si>
    <t>37. Sebelum pelaksanaan audit, Ketua tim audit melakukan kontak dilakukan dengan auditi untuk .... kecuali</t>
  </si>
  <si>
    <t>38. Auditor meminta beberapa dokumen dan rekaman untuk tinjauan awal terhadap dokumen-dokumen yang relevan sebelum pelaksanaan audit lapangan.....dikenal dengan istilah</t>
  </si>
  <si>
    <t>39. Apa yang dimaksud dengan menentukan kelayakan audit</t>
  </si>
  <si>
    <t>40. Apa yang harus dilakukan jika kelayakan audit diragukan</t>
  </si>
  <si>
    <t>41. Mengapa penting untuk memastikan kelayakan audit sebelum pelaksanaan audit</t>
  </si>
  <si>
    <t>42. Siapa yang bertanggung jawab untuk menugaskan pekerjaan ke tim audit</t>
  </si>
  <si>
    <t>43. Apa yang harus dipertimbangkan saat menugaskan pekerjaan ke tim audit</t>
  </si>
  <si>
    <t>44. Apa yang dimaksud dengan menugaskan pekerjaan ke tim audit</t>
  </si>
  <si>
    <t>45. Tujuan utama dari melakukan tinjauan terhadap informasi terdokumentasi adalah</t>
  </si>
  <si>
    <t>46. Apa yang harus dipertimbangkan saat melakukan tinjauan terhadap informasi terdokumentasi</t>
  </si>
  <si>
    <t>47. Apa yang dimaksud dengan pemberitahuan audit kepada auditee</t>
  </si>
  <si>
    <t>48. Mengapa penting untuk memberikan pemberitahuan audit kepada auditee sebelum pelaksanaan audit</t>
  </si>
  <si>
    <t>49. Kapan sebaiknya pemberitahuan audit disampaikan kepada auditee</t>
  </si>
  <si>
    <t>50. Siapa yang bertanggung jawab untuk memberikan pemberitahuan audit kepada auditee</t>
  </si>
  <si>
    <t>51. Apa yang harus disertakan dalam pemberitahuan audit kepada auditee</t>
  </si>
  <si>
    <t>52. Rangkaian urutan kegiatan audit dimulai dari rapat pembukaan hingga diakhiri rapat penutupan disebut</t>
  </si>
  <si>
    <t>53. Apa yang harus dilakukan jika jadwal audit bertabrakan dengan kegiatan penting auditee</t>
  </si>
  <si>
    <t>54. Apa yang harus dipertimbangkan saat mengatur waktu dalam pembuatan rencana audit</t>
  </si>
  <si>
    <t>55. Mengapa pengaturan waktu menjadi penting dalam pembuatan rencana audit sesuai ISO 19011</t>
  </si>
  <si>
    <t>56. Siapa yang bertanggung jawab dalam pembuatan rencana audit</t>
  </si>
  <si>
    <t>57. Apa tujuan utama dari pembuatan checklist audit</t>
  </si>
  <si>
    <t>58. Apa yang seharusnya menjadi dasar dalam pembuatan checklist audit</t>
  </si>
  <si>
    <t>59. Mengapa penting untuk memastikan bahwa checklist audit mencakup semua aspek yang relevan</t>
  </si>
  <si>
    <t>60. Siapa yang biasanya bertanggung jawab untuk menyusun checklist audit</t>
  </si>
  <si>
    <t>61. Apa yang harus dilakukan jika ada perubahan dalam persyaratan audit atau kebutuhan organisasi setelah pembuatan checklist audit</t>
  </si>
  <si>
    <t>62. Rapat pembukaan dalam pelaksanaan audit</t>
  </si>
  <si>
    <t>63. Siapa yang biasanya menjadi pembicara utama dalam rapat pembukaan</t>
  </si>
  <si>
    <t>64. Apa yang harus dibahas dalam rapat pembukaan</t>
  </si>
  <si>
    <t>65. Mengapa penting untuk mengadakan rapat pembukaan sebelum memulai audit</t>
  </si>
  <si>
    <t>66. Apa yang harus dilakukan jika auditee tidak dapat menghadiri rapat pembukaan</t>
  </si>
  <si>
    <t>67. Formulir yang TIDAK disiapkan auditor saat pelaksanaan audit</t>
  </si>
  <si>
    <t>68. Metode pengumpulan informasi saat pelaksanaan Audit adalah ... kecuali</t>
  </si>
  <si>
    <t>69. yang TIDAK boleh dilakukan Audior saat mengajukan pertanyaan</t>
  </si>
  <si>
    <t>70. Durasi audit dilihat dari faktor .... kecuali</t>
  </si>
  <si>
    <t>71. Penentuan durasi audit hasil perkalian antara jumlah auditor dengan jumlah hari dikenal dengan istilah</t>
  </si>
  <si>
    <t>72. Apa yang dimaksud dengan temuan audit</t>
  </si>
  <si>
    <t>73. Hasil uji profisiensi menunjukkan hasil yang outlier, namun belum dapat diidentifikasi akar masalah dan tindakan perbaikan ... dapat ditulis sebagai temuan ketidaksesuaian Kategori</t>
  </si>
  <si>
    <t>74. Menuliskan temuan ketidaksesuaian secara jelas mengikuti kaidah PLOR .. jelaskan arti huruf "O"</t>
  </si>
  <si>
    <t>75. Kata kunci dari temuan ketidaksesuaian Kategori 1/Kritis adalah</t>
  </si>
  <si>
    <t>76. Penyimpangan kecil, tidak mempengaruhi laporan pengujian dapat ditulis sebagai temuan ketidaksesuaian Kategori</t>
  </si>
  <si>
    <t>77. . Apa tujuan utama dari rapat penutupan audit</t>
  </si>
  <si>
    <t>78. Mengapa penting untuk mengadakan rapat penutupan setelah audit selesai dilaksanakan</t>
  </si>
  <si>
    <t>79. Apa yang harus dilakukan setelah rapat penutupan audit</t>
  </si>
  <si>
    <t>80. Siapa yang memimpin rapat penutupan</t>
  </si>
  <si>
    <t>81. Tindakan menghargai kerja keras, kerjasama, atau pencapaian auditee selama proses audit dapat berupa .... (kecuali) bertujuan untuk memperkuat hubungan antara auditor dan auditee</t>
  </si>
  <si>
    <t>82. Apa yang dimaksud dengan evaluasi kompetensi auditor</t>
  </si>
  <si>
    <t>83. Apa yang menjadi fokus utama dalam evaluasi kompetensi auditor menurut ISO 19011</t>
  </si>
  <si>
    <t>84. Kapan sebaiknya evaluasi kompetensi auditor dilakukan</t>
  </si>
  <si>
    <t>85. Apa yang harus dilakukan jika hasil evaluasi menunjukkan bahwa auditor belum mencapai tingkat kompetensi yang diharapkan</t>
  </si>
  <si>
    <t>86. Apa yang menjadi manfaat utama dari evaluasi kompetensi auditor</t>
  </si>
  <si>
    <t>87. Apa yang dimaksud dengan meningkatkan kompetensi auditor sesuai ISO 19011</t>
  </si>
  <si>
    <t>88. Proses meningkatkan gaji auditor sebagai penghargaan atas kinerja mereka</t>
  </si>
  <si>
    <t>89. Apa yang dapat dilakukan untuk meningkatkan kompetensi auditor</t>
  </si>
  <si>
    <t>90. Apa manfaat utama dari upaya meningkatkan kompetensi auditor</t>
  </si>
  <si>
    <t>91. Bentuk peningkatan kompetensi dengan memberikan kesempatan kepada seseorang untuk menyaksikan pelaksanaan audit yang beragam maka seseorang tersebut berperan sebagai</t>
  </si>
  <si>
    <t>92. Dalam Peninjauan Temuan Audit, Setiap member auditor akan menyampaikan temuan beserta justifikasinya kepada</t>
  </si>
  <si>
    <t>93. Peryataan yang SALAH dalam penyusunan Rapat Peninjauan Temuan Audit</t>
  </si>
  <si>
    <t>94. Apa yang harus dilakukan jika auditee tidak setuju dengan temuan dalam laporan audit</t>
  </si>
  <si>
    <t>95. Apa yang harus dilakukan jika ada informasi yang sensitif dalam laporan audit</t>
  </si>
  <si>
    <t>96. Apa yang harus termasuk dalam laporan audit</t>
  </si>
  <si>
    <t>97. Mengapa penting untuk melakukan tindak lanjut terhadap temuan audit</t>
  </si>
  <si>
    <t>99. Hasil Audit Internal akan dilaporkan dan menjadi salah satu topik bahasan dalam rapat</t>
  </si>
  <si>
    <t>100. Auditor memberikan opini verifikasi bukti tindak lanjut audit telah cukup dan memadai, maka selanjutnya Auditor akan</t>
  </si>
  <si>
    <t>Soal Mudah</t>
  </si>
  <si>
    <t>Soal Sedang</t>
  </si>
  <si>
    <t>Soal Sukar</t>
  </si>
  <si>
    <t>Asesi</t>
  </si>
  <si>
    <t>98. Siapa yang bertanggung jawab untuk menentukn setiap tindakan perbaikan dan tindakan pencegahan yang diperlukan</t>
  </si>
  <si>
    <t>1. Apa tujuan utama penerapan SPMI terintegrasi dengan ISO 21001:2018 di perguruan tinggi?</t>
  </si>
  <si>
    <t>2. Dokumen utama yang menunjukkan keterkaitan antar standar dalam siklus PPEPP adalah:</t>
  </si>
  <si>
    <t>3. Prinsip utama ISO 21001:2018 yang menekankan keterlibatan aktif pimpinan dan pemangku kepentingan adalah:</t>
  </si>
  <si>
    <t>4. Pendekatan berbasis risiko dalam SPMI bertujuan untuk:</t>
  </si>
  <si>
    <t>5. Langkah pertama dalam merancang peta risiko untuk standar SPMI adalah:</t>
  </si>
  <si>
    <t>6. Manakah yang termasuk output dari proses penetapan standar mutu internal?</t>
  </si>
  <si>
    <t>7. Dalam konteks ISO 21001:2018, siapa yang dimaksud dengan 'relevant interested parties'?</t>
  </si>
  <si>
    <t>8. Audit Mutu Internal dalam siklus PPEPP digunakan pada tahap:</t>
  </si>
  <si>
    <t>9. Metode analisis risiko yang sering digunakan dalam SPMI berbasis risiko adalah:</t>
  </si>
  <si>
    <t>10. Kriteria risiko dalam penilaian risiko SPMI umumnya terdiri atas:</t>
  </si>
  <si>
    <t>11. Dokumen yang menunjukkan komitmen tertinggi terhadap mutu dari pimpinan perguruan tinggi adalah:</t>
  </si>
  <si>
    <t>12. Apa yang dimaksud dengan “continual improvement” dalam konteks ISO 21001 dan SPMI?</t>
  </si>
  <si>
    <t>13. Salah satu indikator efektivitas pelaksanaan standar dalam PPEPP adalah:</t>
  </si>
  <si>
    <t>14. Integrasi ISO 21001 dalam SPMI harus memperhatikan prinsip PDCA, yang dalam konteks SPMI setara dengan:</t>
  </si>
  <si>
    <t>15. Apa fungsi utama dari Evaluasi Diri Program Studi (EDPS) dalam sistem mutu?</t>
  </si>
  <si>
    <t>16. Dalam ISO 21001:2018, pendekatan berbasis risiko ditempatkan pada bagian:</t>
  </si>
  <si>
    <t>17. Penerapan pendekatan risiko di level standar SPMI dilakukan dengan cara:</t>
  </si>
  <si>
    <t>18. Perbedaan antara tindakan korektif dan tindakan preventif dalam PPEPP adalah:</t>
  </si>
  <si>
    <t>19. Apa yang termasuk bagian dari bukti objektif dalam proses audit mutu internal?</t>
  </si>
  <si>
    <t>20. Kriteria keberhasilan implementasi SPMI dalam ISO 21001 salah satunya adalah:</t>
  </si>
  <si>
    <t>21. Fungsi utama dari kebijakan mutu adalah:</t>
  </si>
  <si>
    <t>22. Salah satu hambatan umum dalam implementasi SPMI terintegrasi adalah:</t>
  </si>
  <si>
    <t>23. Manakah kegiatan yang paling tepat dilakukan dalam tahapan pengendalian PPEPP?</t>
  </si>
  <si>
    <t>24. Apa arti dari istilah 'context of the organization' dalam ISO 21001?</t>
  </si>
  <si>
    <t>25. Manakah dari berikut ini yang termasuk bukti penerapan prinsip risk-based thinking dalam SPMI?</t>
  </si>
  <si>
    <t>26. Apa komponen utama dalam proses perencanaan mutu berbasis risiko di ISO 21001?</t>
  </si>
  <si>
    <t>27. Dalam pendekatan PDCA yang diadopsi ISO 21001, 'Check' merujuk pada aktivitas:</t>
  </si>
  <si>
    <t>28. Salah satu manfaat mengintegrasikan ISO 21001 dengan SPMI adalah:</t>
  </si>
  <si>
    <t>29. Apa tujuan utama dari tahapan Penetapan dalam PPEPP?</t>
  </si>
  <si>
    <t>30. Apa peran penting seorang Lead Implementer dalam sistem SPMI?</t>
  </si>
  <si>
    <t>31. Metode 'SWOT Analysis' paling sesuai digunakan dalam tahapan apa dalam SPMI?</t>
  </si>
  <si>
    <t>32. Manakah pernyataan berikut yang mencerminkan 'engagement of people' dalam prinsip manajemen mutu?</t>
  </si>
  <si>
    <t>33. Apa yang menjadi dasar legal formal perguruan tinggi dalam menerapkan SPMI?</t>
  </si>
  <si>
    <t>34. Apa bentuk konkret kegiatan peningkatan mutu dalam PPEPP?</t>
  </si>
  <si>
    <t>35. Jika sebuah standar belum tercapai, maka tindakan yang tepat adalah:</t>
  </si>
  <si>
    <t>36. Salah satu indikator ketercapaian indikator mutu layanan akademik adalah:</t>
  </si>
  <si>
    <t>37. Salah satu syarat ISO 21001 yang spesifik terhadap pendidikan adalah:</t>
  </si>
  <si>
    <t>38. Mengapa penting bagi perguruan tinggi untuk memiliki dokumentasi yang sistematis dalam SPMI?</t>
  </si>
  <si>
    <t>39. Salah satu hal yang membedakan SPMI ISO 21001 dengan pendekatan tradisional adalah:</t>
  </si>
  <si>
    <t>40. Dalam ISO 21001, review manajemen (Management Review) dilakukan dengan tujuan:</t>
  </si>
  <si>
    <t>41. Apa pendekatan terbaik untuk meningkatkan budaya mutu di institusi pendidikan tinggi?</t>
  </si>
  <si>
    <t>42. Apa yang dimaksud dengan 'risk register' dalam konteks manajemen risiko mutu?</t>
  </si>
  <si>
    <t>43. Apa prinsip dasar perumusan kebijakan mutu?</t>
  </si>
  <si>
    <t>44. Apa tujuan utama dari penerapan ISO 21001:2018 di institusi pendidikan?</t>
  </si>
  <si>
    <t>45. Langkah awal dalam implementasi SPMI Terintegrasi adalah:</t>
  </si>
  <si>
    <t>46. Apa metode yang umum digunakan dalam identifikasi risiko di SPMI?</t>
  </si>
  <si>
    <t>47. Dokumen tertinggi dalam sistem manajemen mutu pendidikan adalah:</t>
  </si>
  <si>
    <t>48. Langkah 'Evaluasi' dalam siklus PPEPP bertujuan untuk:</t>
  </si>
  <si>
    <t>49. Siapa yang boleh menjadi auditor dalam audit internal SPMI?</t>
  </si>
  <si>
    <t>50. Contoh tindakan dalam perbaikan berkelanjutan di SPMI adalah:</t>
  </si>
  <si>
    <t>51. Salah satu peran pimpinan dalam ISO 21001 adalah:</t>
  </si>
  <si>
    <t>52. Mengapa penting melakukan evaluasi risiko secara berkala?</t>
  </si>
  <si>
    <t>53. Elemen utama dari pendekatan berbasis risiko dalam SPMI adalah:</t>
  </si>
  <si>
    <t>54. Apa peran dari risk owner dalam SPMI berbasis risiko?</t>
  </si>
  <si>
    <t>55. Risiko akademik yang timbul akibat kurikulum tidak relevan dengan kebutuhan industri disebut:</t>
  </si>
  <si>
    <t>56. Apa tujuan penggunaan SWOT Analysis dalam konteks penyusunan kebijakan mutu SPMI?</t>
  </si>
  <si>
    <t>57. Perbedaan utama antara risiko dan isu dalam SPMI adalah:</t>
  </si>
  <si>
    <t>58. Fungsi utama dari performance indicator dalam ISO 21001 adalah:</t>
  </si>
  <si>
    <t>59. Penerapan pendekatan proses pada SMOP memungkinkan organisasi untuk memperoleh keuntunngan berikut, kecuali …</t>
  </si>
  <si>
    <t>60. Bermanfaat untuk meningkatkan proses pengambilan keputusan adalah prinsip SMOP yaitu</t>
  </si>
  <si>
    <t>61. Yang dimaksud dengan peserta didik berkebutuhan khusus dalam ISO 21001:2018 adalah …</t>
  </si>
  <si>
    <t>62. Dokumen yang berisi uraian garis besar tentang bagaimana perguruan tinggi memahami, merancang, dan mengimplementasikan SPMI adalah …</t>
  </si>
  <si>
    <t>63. Latar belakang SPMI dapat disusun dengan mempertimbangkan …</t>
  </si>
  <si>
    <t>64. Format ABCD dalam penyusunan dokumen standar SPMI adalah …</t>
  </si>
  <si>
    <t>65. dokumen yang berisi standar Dikti untuk mewujudkan visi perguruan tinggi adalah dokumen SPMI …</t>
  </si>
  <si>
    <t>66. Dalam menyusun garis besar kebijakan SPMI harus memuat …</t>
  </si>
  <si>
    <t>67. Indikator pencapaian standar SPMI yang baik berisi …</t>
  </si>
  <si>
    <t>68. Pilihlah pernyataan berikut yang benar tentang kebijakan SMOP!</t>
  </si>
  <si>
    <t>69. Penyusunan struktur organisasi, tanggung jawab, dan wewenang dalam perwujudan SMOP harus mempertimbangkan adanya personel organisasi yang memiiliki tanggung jawab sebagai berikut, kecuali …</t>
  </si>
  <si>
    <t>70. Alasan ISO 21001:2018 mensyaratkan adanya perencanaan perubahan, kecuali ...</t>
  </si>
  <si>
    <t>71. Sasaran mutu yang baik harus mengikuti prinsip SMART, yaitu …</t>
  </si>
  <si>
    <t>72. Tuntutan kerja, kejelasan peran, dan penghargaan, merupakan bentuk perwujudan dari …</t>
  </si>
  <si>
    <t>73. Apa yang harus dilakukan ketika didapati ada hasil pengukuran yang tidak sesuai?</t>
  </si>
  <si>
    <t>74. Proses desain dan pengembangan layanan pendidikan dapat bersifat iterative. Apa maksudnya?</t>
  </si>
  <si>
    <t>75. Ketika menentukan persyaratan produk dan layanan pendidikan, organisasi harus memastikan bahwa persyaratan produk dan layanan pendidikan yang telah ditetapkan memuat komponen berikut, kecuali …</t>
  </si>
  <si>
    <t>76. ISO 21001:2018 mensyaratkan organisasi pendidikan untuk melakukan analisis kebutuhan dalam menentukan produk dan layanan pendidikan, terdapat beberapa faktor yang harus dipertimbangkan. Pilihlah jawaban yang benar terkait faktor tersebut.</t>
  </si>
  <si>
    <t>77. Bentuk penilaian hasil belajar dapat berupa penilaian formatif dan sumatif, tujuan penilaian formatif adalah sebagai berikut, kecuali …</t>
  </si>
  <si>
    <t>78. Standar pengelolaan memuat kriteria minimal mengenai perencanaan, pelaksanaan, serta pengawasan kegiatan pendidikan untuk mencapai standar kompetensi lulusan. pelaksanaan kegiatan pendidikan minimal meliputi pengelolaan sebagai berikut, kecuali …</t>
  </si>
  <si>
    <t>79. Standar pengelolaan memuat kriteria minimal mengenai perencanaan, pelaksanaan, serta pengawasan kegiatan pendidikan untuk mencapai standar kompetensi lulusan. Pengawasan kegiatan pendidikan minimal meliputi pengawasan sebagai berikut, kecuali …</t>
  </si>
  <si>
    <t>80. Dalam melaksanakan penelitian, perguran tingi harus menetapkan …</t>
  </si>
  <si>
    <t>81. Untuk memastikan ketersediaan pendanaan secara berkelanjutan, organisasi harus menyusun …</t>
  </si>
  <si>
    <t>82. Siapa yang bertugas menyusun kompetensi utama lulusan?</t>
  </si>
  <si>
    <t>83. Organisasi pendidikan harus memastikan ketertelusuran layanan yang terdiri dari …</t>
  </si>
  <si>
    <t>84. Untuk mengendalikan proses, produk, maupun layanan yang disediakan pihak eksternal, maka organisasi harus memberikan informasi kepada pihak eksternal antara lain …</t>
  </si>
  <si>
    <t>85. Dalam memenuhi persyaratan dari peserta didik berkebutuhan khusus, organisasi pendidikan harus …</t>
  </si>
  <si>
    <t>86. Untuk mengendalikan layanan yang diberikan oleh pihak eksternal, organisasi pendidikan harus …</t>
  </si>
  <si>
    <t>87. Organsiasi pendidikan harus melakukan pemantauan, pengukuran, dan evaluasi efektivitas penerapan standar. Dalam kasus integrasi ISO 21001:2018 dengan SPMI, kriteria yang digunakan untuk menilai efektivitas tersebut tertuang dalam dokumen …</t>
  </si>
  <si>
    <t>88. Organisasi pendidikan harus memantau kepuasan dari pihak berkepentingan. Untuk memperoleh angka kepuasan pihak berkepentingan yang dapat mewakili penilaian dari populasi yang ada, maka metode yang paling tepat adalah …</t>
  </si>
  <si>
    <t>89. Organisasi pendidikan harus menangani kritik dan saran dari pihak berkepentingan, maka dari itu, organisasi pendidikan harus menetapkan prosedur yang mencakup salah satunya …</t>
  </si>
  <si>
    <t>90. Ketika melakukan audit terhadap penerapan SPMI terintegrasi ISO 21001:2018, apa yang berubah dibandingkan dengan melakukan audit ISO 21001:2018 saja?</t>
  </si>
  <si>
    <t>100. Sumber belajar yang dimiliki organisasi pendidikan, minimum harus…</t>
  </si>
  <si>
    <t>Nama Lengkap</t>
  </si>
  <si>
    <t>Skema</t>
  </si>
  <si>
    <t>Auditor Internal SPMI Terintegrasi ISO 21001:2018</t>
  </si>
  <si>
    <t>Lead Auditor SPMI Terintegrasu ISO 21001:2018</t>
  </si>
  <si>
    <t>Training of Traineer (ToT) Outcome Based Education (OBE)</t>
  </si>
  <si>
    <t>Lead Implementer SPMI Terintegrasi ISO 21001:2018</t>
  </si>
  <si>
    <t>Implementer Tata Kelola Organisasi Perguruan Tinggi</t>
  </si>
  <si>
    <t>Auditor Internal Standar Laboratorium ISO/IEC 17025:2017</t>
  </si>
  <si>
    <t>Lead Implementer Standar Laboratorium ISO/IEC 17025:2017</t>
  </si>
  <si>
    <t>Auditor Internal SPMI Terintegrasu ISO 21001:2018</t>
  </si>
  <si>
    <t>Karsinah, S.E., M.Si</t>
  </si>
  <si>
    <t>Training of Trainee (ToT) Outcome Based Education (OBE)</t>
  </si>
  <si>
    <t>Richatul Jannah, S.E., M.Ak.</t>
  </si>
  <si>
    <t>Ahmad Syahrul Fauzi, S.E., M.Sc</t>
  </si>
  <si>
    <t>Arief Jananto, S.Kom., M.Cs.</t>
  </si>
  <si>
    <t>Dr. Antono Adhi, S.Kom., M.T., M.M.</t>
  </si>
  <si>
    <t>Training of Trainer (ToT) Outcome Based Education (OBE)</t>
  </si>
  <si>
    <t>Pemetaan Skema → Sheet Skema</t>
  </si>
  <si>
    <t>Nama Skema</t>
  </si>
  <si>
    <t>Sheet Skema</t>
  </si>
  <si>
    <t>AIL</t>
  </si>
  <si>
    <t>LAD</t>
  </si>
  <si>
    <t>IMR (Soal Baru)</t>
  </si>
  <si>
    <t>TKO</t>
  </si>
  <si>
    <t>AUI</t>
  </si>
  <si>
    <t>LIM</t>
  </si>
  <si>
    <t>ISO/IEC 17025:2017 Laboratory Standard Lead Implementer</t>
  </si>
  <si>
    <t>ToT</t>
  </si>
  <si>
    <t>Kode Sheet</t>
  </si>
  <si>
    <t>Nilai Akhir</t>
  </si>
  <si>
    <t>Jenis Kelamin</t>
  </si>
  <si>
    <t>Laki-Laki</t>
  </si>
  <si>
    <t>Perempuan</t>
  </si>
  <si>
    <t>Ambang DIF (logit) - Moderat</t>
  </si>
  <si>
    <t>Ambang DIF (logit) - Besar</t>
  </si>
  <si>
    <t>Ambang |t| minimum</t>
  </si>
  <si>
    <t>Kontras DIF Maksimum (data ini)</t>
  </si>
  <si>
    <t>Ringkasan Signifikansi Statistik (t-test)</t>
  </si>
  <si>
    <t>DIF Besar - review</t>
  </si>
  <si>
    <t>DIF Moderat - cek</t>
  </si>
  <si>
    <t>Negligible</t>
  </si>
  <si>
    <t>Ringkasan Kesimpulan Praktis (Kontras)</t>
  </si>
  <si>
    <t>Berpotensi Bias - Tinjau Konten</t>
  </si>
  <si>
    <t>Indikasi Ringan - Pantau</t>
  </si>
  <si>
    <t>Tidak Ada Indikasi Bias</t>
  </si>
  <si>
    <t>N (L)</t>
  </si>
  <si>
    <t>N (P)</t>
  </si>
  <si>
    <t>S (L)</t>
  </si>
  <si>
    <t>S (P)</t>
  </si>
  <si>
    <t>S adj (L)</t>
  </si>
  <si>
    <t>S adj (P)</t>
  </si>
  <si>
    <t>β mentah (L)</t>
  </si>
  <si>
    <t>β mentah (P)</t>
  </si>
  <si>
    <t>β center (L)</t>
  </si>
  <si>
    <t>β center (P)</t>
  </si>
  <si>
    <t>SE (L)</t>
  </si>
  <si>
    <t>SE (P)</t>
  </si>
  <si>
    <t>Kontras DIF</t>
  </si>
  <si>
    <t>SE Gabungan</t>
  </si>
  <si>
    <t>t-stat</t>
  </si>
  <si>
    <t>Klasifikasi DIF</t>
  </si>
  <si>
    <t>Kesimpulan Praktis (Kontras)</t>
  </si>
  <si>
    <t>UJI VALIDITAS DAN RELIABILITAS SKEMA LEAD IMPLEMENTER STANDAR LABORATORIUM ISO/IEC17025:2017</t>
  </si>
  <si>
    <t>UJI VALIDITAS DAN RELIABILITAS SKEMA AUDITOR INTERNAL STANDAR LABORATORIUM ISO/IEC17025:2017</t>
  </si>
  <si>
    <t>UJI VALIDITAS DAN RELIABILITAS SKEMA TRAINING OF TRAINER OUTCOME BASED EDUCATION</t>
  </si>
  <si>
    <t>UJI VALIDITAS DAN RELIABILITAS SKEMA LEAD IMPLEMENTER SPMI TERINTEGRASI ISO 21001:2018</t>
  </si>
  <si>
    <t>UJI VALIDITAS DAN RELIABILITAS SKEMA LEAD AUDITOR SPMI TERINTEGRASI ISO 21001:2018</t>
  </si>
  <si>
    <t>UJI VALIDITAS DAN RELIABILITAS SKEMA AUDITOR INTERNAL SPMI TERINTEGRASI ISO 21001:2018</t>
  </si>
  <si>
    <t>UJI RASCH DIF (Pendekatan PROX) — Skema Training of Trainer (ToT) Outcome Based Education (OBE)</t>
  </si>
  <si>
    <t>UJI RASCH DIF (Pendekatan PROX) — Skema Implementer Tata Kelola Organisasi Perguruan Tinggi</t>
  </si>
  <si>
    <t>UJI RASCH DIF (Pendekatan PROX) — Skema Lead Implementer Standar Laboratorium ISO/IEC 17025:2017</t>
  </si>
  <si>
    <t>UJI RASCH DIF (Pendekatan PROX) — Skema Auditor Internal Standar Laboratorium ISO/IEC 17025:2017</t>
  </si>
  <si>
    <t>UJI RASCH DIF (Pendekatan PROX) — Skema Lead Implementer SPMI Terintegrasi ISO 21001:2018</t>
  </si>
  <si>
    <t>UJI RASCH DIF (Pendekatan PROX) — Skema Lead Implementer SPMI Terintegrasi ISO 21001:2018 Update</t>
  </si>
  <si>
    <t>UJI RASCH DIF (Pendekatan PROX) — Skema Lead Auditor SPMI Terintegrasi ISO 21001:2018</t>
  </si>
  <si>
    <t>UJI VALIDITAS DAN RELIABILITAS SKEMA IMPLEMENTER TATA KELOLA ORGANISASI PERGURUAN TINGGI</t>
  </si>
  <si>
    <t>UJI VALIDITAS DAN RELIABILITAS SKEMA LEAD IMPLEMENTER SPMI TERINTEGRASI ISO 21001:2018 UPDATE</t>
  </si>
  <si>
    <r>
      <rPr>
        <b/>
        <sz val="10"/>
        <color theme="1"/>
        <rFont val="Cambria"/>
        <family val="1"/>
      </rPr>
      <t>Keterangan</t>
    </r>
    <r>
      <rPr>
        <sz val="10"/>
        <color theme="1"/>
        <rFont val="Cambria"/>
        <family val="1"/>
      </rPr>
      <t xml:space="preserve">: 
</t>
    </r>
    <r>
      <rPr>
        <b/>
        <sz val="10"/>
        <color theme="1"/>
        <rFont val="Cambria"/>
        <family val="1"/>
      </rPr>
      <t>Tidak Ada Indikasi Bias</t>
    </r>
    <r>
      <rPr>
        <sz val="10"/>
        <color theme="1"/>
        <rFont val="Cambria"/>
        <family val="1"/>
      </rPr>
      <t xml:space="preserve"> artinya  butir soal telah objektif, netral, serta adil tanpa terpengaruh pandangan pribadi maupun kepentingan kelompok</t>
    </r>
  </si>
  <si>
    <t>UJI RASCH DIF (Pendekatan PROX) — Auditor Internal SPMI Terintegrasi ISO 21001:2018</t>
  </si>
  <si>
    <t>Romasi Lumban Gaol</t>
  </si>
  <si>
    <t>Dr. NLP Dina Susanti, S.Kep.,M.Kep</t>
  </si>
  <si>
    <t>Emy Kholifah R.</t>
  </si>
  <si>
    <t>Dr. Jhon Retei Alfri Sandi,S.Sos.,M.Si</t>
  </si>
  <si>
    <t>Asep Suparman</t>
  </si>
  <si>
    <t>Sri Aprianti Tarigan, S.E., M.E</t>
  </si>
  <si>
    <t>Godlif Sianipar, S.S., MA., Ph.D.</t>
  </si>
  <si>
    <t>Muhammad Husni Mubaroq, S.E., M. Si</t>
  </si>
  <si>
    <t>Dr. dr. Wening Sari, M.Kes</t>
  </si>
  <si>
    <t>Ir. H. Yusrizal, M.Sc., PhD</t>
  </si>
  <si>
    <t>Prof. Dr. Herdiana Dyah Susanti, S.T., M.T.</t>
  </si>
  <si>
    <t>Dr. Muniroh Munawar, S.Pi., M.Pd.</t>
  </si>
  <si>
    <t>Dr. Erna Herlinawati, S.E., M.Si.</t>
  </si>
  <si>
    <t>Ir. Wafit Dinarto, M.Si.</t>
  </si>
  <si>
    <t>Magdalena Surjaningsih Halim</t>
  </si>
  <si>
    <t>Prof. Dr. Dedi Kusmayadi, S.E., M.Si., Ak., CA.ACPA., CPA</t>
  </si>
  <si>
    <t>Ns Isma Yuniar, M.Kep</t>
  </si>
  <si>
    <t>Sherlly Maulana ST,MT</t>
  </si>
  <si>
    <t>Prof. Dr. Zaenuri, S.E, M.Si, Akt</t>
  </si>
  <si>
    <t>Dr. Dona Setia Umbara.,M.P</t>
  </si>
  <si>
    <t>Budi, M.Kom</t>
  </si>
  <si>
    <t>Cipto Duwi Priyono</t>
  </si>
  <si>
    <t>Dr. Gumilar Mulya, M.Pd</t>
  </si>
  <si>
    <t>Dr. Tetep, S.Pd., M.Pd</t>
  </si>
  <si>
    <t>Dr. Wiwin Sultraeni, SE., M.M</t>
  </si>
  <si>
    <t>Drs.Darmae Nasir,M.Si,.MA,.Ph.D</t>
  </si>
  <si>
    <t>Ernawati,SST.,M.Kes.,M.Keb</t>
  </si>
  <si>
    <t>Melinda R.S. Moata, S.P., MSc., PhD</t>
  </si>
  <si>
    <t>Prof Dr.Dra.R.Budiasih.MP</t>
  </si>
  <si>
    <t>Yuli Kristyowati</t>
  </si>
  <si>
    <t>Murharyana, M. Pd</t>
  </si>
  <si>
    <t>Dewi Yuliana, M.Th., M.Pd.K</t>
  </si>
  <si>
    <t>Rini Mustikasari Kurnia Pratama, S.Si.T., M.Keb</t>
  </si>
  <si>
    <t>Iskandar Zulkarnain, S.T., M.AP</t>
  </si>
  <si>
    <t>Maria Karolina Selano, S.Kep., Ns.,M.Kep</t>
  </si>
  <si>
    <t>Andriyani Widiyastuti, S.Pd., M.M</t>
  </si>
  <si>
    <t>Ahmad Taher Ichsan, M.Pd</t>
  </si>
  <si>
    <t>Daniel Rudiaman Sijabat</t>
  </si>
  <si>
    <t>Dr. Fanlia Prima Jaya, S.E., M.M.</t>
  </si>
  <si>
    <t>Dr. Jamilah, SH, M.Pd</t>
  </si>
  <si>
    <t>Dr. Syamsuddinnor, SE., M.M.</t>
  </si>
  <si>
    <t>drh. Roeswandono Wirjaatmadja., MSi</t>
  </si>
  <si>
    <t>Eka Fitri Yanti, M. Si.</t>
  </si>
  <si>
    <t>Esti Handayani, M.Mid</t>
  </si>
  <si>
    <t>Ika Priantari, S. Si, M. Pd</t>
  </si>
  <si>
    <t>Razita Hariani, S.T., M.T</t>
  </si>
  <si>
    <t>Iona Lisa Ndakularak, S.Pd., M.Pd</t>
  </si>
  <si>
    <t>Syarifuddin, S.Pd., M.Pd.</t>
  </si>
  <si>
    <t>Muhammad Zainal Fikri, S.Psi., M.A.</t>
  </si>
  <si>
    <t>Ari Pebru Nurlaily, S.Kep., Ns., M.Kep.</t>
  </si>
  <si>
    <t>Saputra</t>
  </si>
  <si>
    <t>Tini Utami, M.Si</t>
  </si>
  <si>
    <t>Rasniah Sarumi</t>
  </si>
  <si>
    <t>Fitria Dewi Puspita</t>
  </si>
  <si>
    <t>Itsna Rosyada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</si>
</sst>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scheme val="minor"/>
    </font>
    <font>
      <sz val="8"/>
      <name val="Calibri"/>
      <family val="2"/>
      <scheme val="minor"/>
    </font>
    <font>
      <b/>
      <sz val="11"/>
      <color theme="1"/>
      <name val="Cambria"/>
      <family val="1"/>
    </font>
    <font>
      <sz val="11"/>
      <color theme="1"/>
      <name val="Cambria"/>
      <family val="1"/>
    </font>
    <font>
      <sz val="10"/>
      <color theme="1"/>
      <name val="Cambria"/>
      <family val="1"/>
    </font>
    <font>
      <sz val="11"/>
      <color rgb="FFFF0000"/>
      <name val="Cambria"/>
      <family val="1"/>
    </font>
    <font>
      <sz val="11"/>
      <name val="Cambria"/>
      <family val="1"/>
    </font>
    <font>
      <b/>
      <sz val="12"/>
      <color theme="1"/>
      <name val="Cambria"/>
      <family val="1"/>
    </font>
    <font>
      <b/>
      <sz val="11"/>
      <color theme="1"/>
      <name val="Calibri"/>
      <family val="2"/>
      <scheme val="minor"/>
    </font>
    <font>
      <b/>
      <sz val="11"/>
      <color indexed="8"/>
      <name val="Arial"/>
      <family val="2"/>
    </font>
    <font>
      <sz val="11"/>
      <color indexed="8"/>
      <name val="Arial"/>
      <family val="2"/>
    </font>
    <font>
      <sz val="11"/>
      <color theme="1"/>
      <name val="Arial"/>
      <family val="2"/>
    </font>
    <font>
      <b/>
      <sz val="12"/>
      <color rgb="FFCC0000"/>
      <name val="Cambria"/>
      <family val="1"/>
    </font>
    <font>
      <sz val="11"/>
      <color rgb="FF0000FF"/>
      <name val="Calibri"/>
      <family val="2"/>
      <scheme val="minor"/>
    </font>
    <font>
      <b/>
      <sz val="10"/>
      <color theme="1"/>
      <name val="Cambria"/>
      <family val="1"/>
    </font>
    <font>
      <b/>
      <sz val="10"/>
      <color rgb="FFFF0000"/>
      <name val="Calibri"/>
      <family val="2"/>
      <scheme val="minor"/>
    </font>
    <font>
      <b/>
      <sz val="10"/>
      <color rgb="FFED7D31"/>
      <name val="Calibri"/>
      <family val="2"/>
      <scheme val="minor"/>
    </font>
    <font>
      <b/>
      <sz val="10"/>
      <color theme="1"/>
      <name val="Calibri"/>
      <family val="2"/>
      <scheme val="minor"/>
    </font>
    <font>
      <sz val="9"/>
      <color indexed="81"/>
      <name val="Tahoma"/>
      <family val="2"/>
    </font>
    <font>
      <b/>
      <sz val="9"/>
      <color indexed="81"/>
      <name val="Tahoma"/>
      <family val="2"/>
    </font>
    <font>
      <sz val="10"/>
      <color rgb="FF000000"/>
      <name val="Cambria"/>
      <family val="1"/>
    </font>
    <font>
      <sz val="11"/>
      <color rgb="FF0000FF"/>
      <name val="Cambria"/>
      <family val="1"/>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0"/>
        <bgColor indexed="64"/>
      </patternFill>
    </fill>
    <fill>
      <patternFill patternType="solid">
        <fgColor rgb="FFFFFFFF"/>
        <bgColor indexed="64"/>
      </patternFill>
    </fill>
    <fill>
      <patternFill patternType="solid">
        <fgColor rgb="FFFFF2CC"/>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s>
  <cellStyleXfs count="1">
    <xf numFmtId="0" fontId="0" fillId="0" borderId="0"/>
  </cellStyleXfs>
  <cellXfs count="132">
    <xf numFmtId="0" fontId="0" fillId="0" borderId="0" xfId="0"/>
    <xf numFmtId="0" fontId="0" fillId="0" borderId="0" xfId="0" applyAlignment="1">
      <alignment wrapText="1"/>
    </xf>
    <xf numFmtId="0" fontId="0" fillId="0" borderId="0" xfId="0" applyAlignment="1">
      <alignment vertical="center" wrapText="1"/>
    </xf>
    <xf numFmtId="2" fontId="3" fillId="0" borderId="1" xfId="0" applyNumberFormat="1" applyFont="1" applyBorder="1" applyAlignment="1">
      <alignment horizontal="center" vertical="center"/>
    </xf>
    <xf numFmtId="0" fontId="3" fillId="0" borderId="0" xfId="0" applyFont="1" applyAlignment="1">
      <alignment vertical="center" wrapText="1"/>
    </xf>
    <xf numFmtId="0" fontId="3" fillId="0" borderId="0" xfId="0" applyFont="1" applyAlignment="1">
      <alignment wrapText="1"/>
    </xf>
    <xf numFmtId="0" fontId="3" fillId="0" borderId="0" xfId="0" applyFont="1"/>
    <xf numFmtId="0" fontId="3" fillId="0" borderId="0" xfId="0" applyFont="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2" fontId="3" fillId="0" borderId="0" xfId="0" applyNumberFormat="1" applyFont="1" applyAlignment="1">
      <alignment horizontal="center" vertical="center"/>
    </xf>
    <xf numFmtId="164" fontId="3" fillId="0" borderId="0" xfId="0" applyNumberFormat="1" applyFont="1" applyAlignment="1">
      <alignment horizontal="center" vertical="center"/>
    </xf>
    <xf numFmtId="2" fontId="3" fillId="0" borderId="1" xfId="0" applyNumberFormat="1" applyFont="1" applyBorder="1" applyAlignment="1">
      <alignment horizontal="center" vertical="center" wrapText="1"/>
    </xf>
    <xf numFmtId="0" fontId="3" fillId="0" borderId="0" xfId="0" applyFont="1" applyAlignment="1">
      <alignment horizontal="left" vertical="center" wrapText="1"/>
    </xf>
    <xf numFmtId="2" fontId="3" fillId="0" borderId="0" xfId="0" applyNumberFormat="1" applyFont="1" applyAlignment="1">
      <alignment horizontal="center"/>
    </xf>
    <xf numFmtId="0" fontId="9" fillId="5" borderId="1" xfId="0" applyFont="1" applyFill="1" applyBorder="1" applyAlignment="1">
      <alignment horizontal="center" vertical="center"/>
    </xf>
    <xf numFmtId="0" fontId="10" fillId="5" borderId="1" xfId="0" applyFont="1" applyFill="1" applyBorder="1" applyAlignment="1">
      <alignment vertical="center"/>
    </xf>
    <xf numFmtId="0" fontId="8" fillId="0" borderId="0" xfId="0" applyFont="1"/>
    <xf numFmtId="0" fontId="0" fillId="0" borderId="0" xfId="0" applyNumberFormat="1" applyAlignment="1">
      <alignment wrapText="1"/>
    </xf>
    <xf numFmtId="0" fontId="0" fillId="0" borderId="0" xfId="0" applyNumberFormat="1"/>
    <xf numFmtId="0" fontId="3" fillId="0" borderId="0" xfId="0" applyNumberFormat="1" applyFont="1" applyAlignment="1">
      <alignment vertical="center"/>
    </xf>
    <xf numFmtId="0" fontId="2" fillId="0" borderId="0" xfId="0" applyNumberFormat="1" applyFont="1" applyAlignment="1">
      <alignment vertical="center" wrapText="1"/>
    </xf>
    <xf numFmtId="0" fontId="2" fillId="0" borderId="0" xfId="0" applyNumberFormat="1" applyFont="1" applyAlignment="1">
      <alignment vertical="center"/>
    </xf>
    <xf numFmtId="0" fontId="2" fillId="0" borderId="1" xfId="0" applyNumberFormat="1" applyFont="1" applyBorder="1" applyAlignment="1">
      <alignment horizontal="center" vertical="center" wrapText="1"/>
    </xf>
    <xf numFmtId="0" fontId="3" fillId="3" borderId="1" xfId="0" applyNumberFormat="1" applyFont="1" applyFill="1" applyBorder="1" applyAlignment="1">
      <alignment vertical="center" wrapText="1"/>
    </xf>
    <xf numFmtId="0" fontId="3" fillId="0" borderId="1" xfId="0" applyNumberFormat="1" applyFont="1" applyBorder="1" applyAlignment="1">
      <alignment horizontal="center" vertical="center" wrapText="1"/>
    </xf>
    <xf numFmtId="0" fontId="3" fillId="0" borderId="1" xfId="0" applyNumberFormat="1" applyFont="1" applyBorder="1" applyAlignment="1">
      <alignment horizontal="center" vertical="center"/>
    </xf>
    <xf numFmtId="0" fontId="2" fillId="0" borderId="1" xfId="0" applyNumberFormat="1" applyFont="1" applyBorder="1" applyAlignment="1">
      <alignment horizontal="center" vertical="center"/>
    </xf>
    <xf numFmtId="0" fontId="3" fillId="2" borderId="1" xfId="0" applyNumberFormat="1" applyFont="1" applyFill="1" applyBorder="1" applyAlignment="1">
      <alignment vertical="center" wrapText="1"/>
    </xf>
    <xf numFmtId="0" fontId="4" fillId="0" borderId="1" xfId="0" applyNumberFormat="1" applyFont="1" applyBorder="1" applyAlignment="1">
      <alignment horizontal="center" vertical="center" wrapText="1"/>
    </xf>
    <xf numFmtId="0" fontId="3" fillId="4" borderId="1" xfId="0" applyNumberFormat="1" applyFont="1" applyFill="1" applyBorder="1" applyAlignment="1">
      <alignment vertical="center" wrapText="1"/>
    </xf>
    <xf numFmtId="0" fontId="3" fillId="0" borderId="0" xfId="0" applyNumberFormat="1" applyFont="1" applyAlignment="1">
      <alignment vertical="center" wrapText="1"/>
    </xf>
    <xf numFmtId="0" fontId="3" fillId="0" borderId="0" xfId="0" applyNumberFormat="1" applyFont="1" applyAlignment="1">
      <alignment horizontal="center" vertical="center" wrapText="1"/>
    </xf>
    <xf numFmtId="0" fontId="3" fillId="0" borderId="0" xfId="0" applyNumberFormat="1" applyFont="1"/>
    <xf numFmtId="0" fontId="3" fillId="0" borderId="2" xfId="0" applyNumberFormat="1" applyFont="1" applyBorder="1" applyAlignment="1">
      <alignment horizontal="center"/>
    </xf>
    <xf numFmtId="0" fontId="3" fillId="2" borderId="0" xfId="0" applyNumberFormat="1" applyFont="1" applyFill="1" applyAlignment="1">
      <alignment horizontal="center" vertical="center" wrapText="1"/>
    </xf>
    <xf numFmtId="0" fontId="3" fillId="0" borderId="0" xfId="0" applyNumberFormat="1" applyFont="1" applyAlignment="1">
      <alignment horizontal="center" vertical="center"/>
    </xf>
    <xf numFmtId="0" fontId="3" fillId="0" borderId="0" xfId="0" applyNumberFormat="1" applyFont="1" applyAlignment="1">
      <alignment wrapText="1"/>
    </xf>
    <xf numFmtId="0" fontId="0" fillId="0" borderId="0" xfId="0" applyNumberFormat="1" applyAlignment="1">
      <alignment horizontal="center"/>
    </xf>
    <xf numFmtId="0" fontId="5" fillId="3" borderId="1" xfId="0" applyNumberFormat="1" applyFont="1" applyFill="1" applyBorder="1" applyAlignment="1">
      <alignment vertical="center" wrapText="1"/>
    </xf>
    <xf numFmtId="0" fontId="0" fillId="0" borderId="0" xfId="0" applyNumberFormat="1" applyAlignment="1">
      <alignment vertical="center" wrapText="1"/>
    </xf>
    <xf numFmtId="0" fontId="3" fillId="2" borderId="0" xfId="0" applyNumberFormat="1" applyFont="1" applyFill="1" applyAlignment="1">
      <alignment vertical="center"/>
    </xf>
    <xf numFmtId="2" fontId="3" fillId="2" borderId="0" xfId="0" applyNumberFormat="1" applyFont="1" applyFill="1" applyAlignment="1">
      <alignment horizontal="center" vertical="center"/>
    </xf>
    <xf numFmtId="0" fontId="3" fillId="2" borderId="0" xfId="0" applyNumberFormat="1" applyFont="1" applyFill="1" applyAlignment="1">
      <alignment horizontal="center" vertical="center"/>
    </xf>
    <xf numFmtId="0" fontId="2" fillId="0" borderId="1" xfId="0" applyNumberFormat="1" applyFont="1" applyBorder="1" applyAlignment="1">
      <alignment vertical="center"/>
    </xf>
    <xf numFmtId="0" fontId="3" fillId="0" borderId="2" xfId="0" applyNumberFormat="1" applyFont="1" applyBorder="1" applyAlignment="1">
      <alignment horizontal="center" vertical="center"/>
    </xf>
    <xf numFmtId="0" fontId="5" fillId="3" borderId="1" xfId="0" applyNumberFormat="1" applyFont="1" applyFill="1" applyBorder="1" applyAlignment="1">
      <alignment horizontal="center" vertical="center" wrapText="1"/>
    </xf>
    <xf numFmtId="0" fontId="3" fillId="2" borderId="1" xfId="0" applyNumberFormat="1" applyFont="1" applyFill="1" applyBorder="1" applyAlignment="1">
      <alignment horizontal="center" vertical="center" wrapText="1"/>
    </xf>
    <xf numFmtId="0" fontId="3" fillId="4" borderId="1" xfId="0" applyNumberFormat="1" applyFont="1" applyFill="1" applyBorder="1" applyAlignment="1">
      <alignment horizontal="center" vertical="center" wrapText="1"/>
    </xf>
    <xf numFmtId="0" fontId="2" fillId="0" borderId="0" xfId="0" applyNumberFormat="1" applyFont="1"/>
    <xf numFmtId="0" fontId="3" fillId="0" borderId="2" xfId="0" applyNumberFormat="1" applyFont="1" applyBorder="1" applyAlignment="1">
      <alignment horizontal="center" vertical="center" wrapText="1"/>
    </xf>
    <xf numFmtId="0" fontId="2" fillId="0" borderId="0" xfId="0" applyNumberFormat="1" applyFont="1" applyAlignment="1">
      <alignment horizontal="left" vertical="center" wrapText="1"/>
    </xf>
    <xf numFmtId="0" fontId="3" fillId="3" borderId="1" xfId="0" applyNumberFormat="1" applyFont="1" applyFill="1" applyBorder="1" applyAlignment="1">
      <alignment horizontal="left" vertical="center" wrapText="1"/>
    </xf>
    <xf numFmtId="0" fontId="3" fillId="4" borderId="1" xfId="0" applyNumberFormat="1" applyFont="1" applyFill="1" applyBorder="1" applyAlignment="1">
      <alignment horizontal="left" vertical="center" wrapText="1"/>
    </xf>
    <xf numFmtId="0" fontId="3" fillId="2" borderId="1" xfId="0" applyNumberFormat="1" applyFont="1" applyFill="1" applyBorder="1" applyAlignment="1">
      <alignment horizontal="left" vertical="center" wrapText="1"/>
    </xf>
    <xf numFmtId="0" fontId="3" fillId="0" borderId="0" xfId="0" applyNumberFormat="1" applyFont="1" applyAlignment="1">
      <alignment horizontal="left" vertical="center" wrapText="1"/>
    </xf>
    <xf numFmtId="0" fontId="5" fillId="3" borderId="1" xfId="0" applyNumberFormat="1" applyFont="1" applyFill="1" applyBorder="1" applyAlignment="1">
      <alignment horizontal="left" vertical="center" wrapText="1"/>
    </xf>
    <xf numFmtId="0" fontId="2" fillId="0" borderId="0" xfId="0" applyNumberFormat="1" applyFont="1" applyAlignment="1">
      <alignment wrapText="1"/>
    </xf>
    <xf numFmtId="0" fontId="2" fillId="5" borderId="1" xfId="0" applyNumberFormat="1" applyFont="1" applyFill="1" applyBorder="1" applyAlignment="1">
      <alignment horizontal="center" wrapText="1"/>
    </xf>
    <xf numFmtId="0" fontId="3" fillId="3" borderId="1" xfId="0" applyNumberFormat="1" applyFont="1" applyFill="1" applyBorder="1" applyAlignment="1">
      <alignment wrapText="1"/>
    </xf>
    <xf numFmtId="0" fontId="3" fillId="4" borderId="1" xfId="0" applyNumberFormat="1" applyFont="1" applyFill="1" applyBorder="1" applyAlignment="1">
      <alignment wrapText="1"/>
    </xf>
    <xf numFmtId="0" fontId="3" fillId="2" borderId="1" xfId="0" applyNumberFormat="1" applyFont="1" applyFill="1" applyBorder="1" applyAlignment="1">
      <alignment wrapText="1"/>
    </xf>
    <xf numFmtId="0" fontId="3" fillId="0" borderId="1" xfId="0" applyNumberFormat="1" applyFont="1" applyBorder="1" applyAlignment="1">
      <alignment wrapText="1"/>
    </xf>
    <xf numFmtId="0" fontId="6" fillId="4" borderId="1" xfId="0" applyNumberFormat="1" applyFont="1" applyFill="1" applyBorder="1" applyAlignment="1">
      <alignment wrapText="1"/>
    </xf>
    <xf numFmtId="0" fontId="3" fillId="0" borderId="0" xfId="0" applyNumberFormat="1" applyFont="1" applyAlignment="1">
      <alignment horizontal="center"/>
    </xf>
    <xf numFmtId="0" fontId="3" fillId="0" borderId="0" xfId="0" applyNumberFormat="1" applyFont="1" applyAlignment="1">
      <alignment horizontal="left" vertical="center"/>
    </xf>
    <xf numFmtId="0" fontId="3" fillId="2" borderId="0" xfId="0" applyNumberFormat="1" applyFont="1" applyFill="1" applyAlignment="1">
      <alignment horizontal="left" vertical="center"/>
    </xf>
    <xf numFmtId="0" fontId="4" fillId="0" borderId="0" xfId="0" applyFont="1" applyAlignment="1">
      <alignment vertical="center" wrapText="1"/>
    </xf>
    <xf numFmtId="0" fontId="20" fillId="0" borderId="0" xfId="0" applyFont="1" applyAlignment="1">
      <alignment vertical="center" wrapText="1"/>
    </xf>
    <xf numFmtId="0" fontId="4" fillId="0" borderId="5" xfId="0" applyFont="1" applyBorder="1" applyAlignment="1">
      <alignment horizontal="center" vertical="center" wrapText="1"/>
    </xf>
    <xf numFmtId="2" fontId="4" fillId="0" borderId="5" xfId="0" applyNumberFormat="1" applyFont="1" applyBorder="1" applyAlignment="1">
      <alignment horizontal="center" vertical="center" wrapText="1"/>
    </xf>
    <xf numFmtId="0" fontId="4" fillId="0" borderId="5" xfId="0" applyFont="1" applyBorder="1" applyAlignment="1">
      <alignment vertical="center" wrapText="1"/>
    </xf>
    <xf numFmtId="0" fontId="0" fillId="0" borderId="0" xfId="0" applyAlignment="1">
      <alignment horizontal="center" vertical="center" wrapText="1"/>
    </xf>
    <xf numFmtId="0" fontId="0" fillId="5" borderId="0" xfId="0" applyFill="1"/>
    <xf numFmtId="0" fontId="4" fillId="5" borderId="0" xfId="0" applyFont="1" applyFill="1" applyAlignment="1">
      <alignment vertical="center" wrapText="1"/>
    </xf>
    <xf numFmtId="0" fontId="14" fillId="5" borderId="0" xfId="0" applyFont="1" applyFill="1" applyAlignment="1">
      <alignment vertical="center" wrapText="1"/>
    </xf>
    <xf numFmtId="0" fontId="0" fillId="6" borderId="0" xfId="0" applyFill="1"/>
    <xf numFmtId="0" fontId="0" fillId="6" borderId="0" xfId="0" applyFill="1" applyAlignment="1">
      <alignment wrapText="1"/>
    </xf>
    <xf numFmtId="2" fontId="0" fillId="6" borderId="0" xfId="0" applyNumberFormat="1" applyFill="1" applyAlignment="1">
      <alignment horizontal="center" wrapText="1"/>
    </xf>
    <xf numFmtId="0" fontId="14" fillId="6" borderId="0" xfId="0" applyFont="1" applyFill="1"/>
    <xf numFmtId="0" fontId="17" fillId="5" borderId="0" xfId="0" applyFont="1" applyFill="1" applyAlignment="1">
      <alignment horizontal="center"/>
    </xf>
    <xf numFmtId="0" fontId="0" fillId="5" borderId="0" xfId="0" applyFill="1" applyAlignment="1">
      <alignment vertical="center" wrapText="1"/>
    </xf>
    <xf numFmtId="2" fontId="3" fillId="6" borderId="0" xfId="0" applyNumberFormat="1" applyFont="1" applyFill="1" applyAlignment="1">
      <alignment horizontal="left" vertical="center" wrapText="1"/>
    </xf>
    <xf numFmtId="2" fontId="3" fillId="6" borderId="0" xfId="0" applyNumberFormat="1" applyFont="1" applyFill="1" applyAlignment="1">
      <alignment horizontal="center" wrapText="1"/>
    </xf>
    <xf numFmtId="0" fontId="16" fillId="5" borderId="0" xfId="0" applyFont="1" applyFill="1" applyAlignment="1">
      <alignment horizontal="center"/>
    </xf>
    <xf numFmtId="2" fontId="21" fillId="6" borderId="0" xfId="0" applyNumberFormat="1" applyFont="1" applyFill="1" applyAlignment="1">
      <alignment horizontal="left" vertical="center" wrapText="1"/>
    </xf>
    <xf numFmtId="2" fontId="13" fillId="6" borderId="0" xfId="0" applyNumberFormat="1" applyFont="1" applyFill="1" applyAlignment="1">
      <alignment horizontal="center" wrapText="1"/>
    </xf>
    <xf numFmtId="2" fontId="21" fillId="6" borderId="0" xfId="0" applyNumberFormat="1" applyFont="1" applyFill="1" applyAlignment="1">
      <alignment horizontal="center" wrapText="1"/>
    </xf>
    <xf numFmtId="0" fontId="15" fillId="5" borderId="0" xfId="0" applyFont="1" applyFill="1" applyAlignment="1">
      <alignment horizontal="center"/>
    </xf>
    <xf numFmtId="0" fontId="0" fillId="5" borderId="0" xfId="0" applyFill="1" applyAlignment="1">
      <alignment horizontal="left" vertical="center" wrapText="1"/>
    </xf>
    <xf numFmtId="0" fontId="15" fillId="5" borderId="0" xfId="0" applyFont="1" applyFill="1" applyAlignment="1">
      <alignment horizontal="center" vertical="center"/>
    </xf>
    <xf numFmtId="0" fontId="0" fillId="6" borderId="0" xfId="0" applyFill="1" applyAlignment="1">
      <alignment vertical="center" wrapText="1"/>
    </xf>
    <xf numFmtId="0" fontId="0" fillId="6" borderId="0" xfId="0" applyFill="1" applyAlignment="1">
      <alignment vertical="center"/>
    </xf>
    <xf numFmtId="0" fontId="14" fillId="6" borderId="0" xfId="0" applyFont="1" applyFill="1" applyAlignment="1">
      <alignment vertical="center"/>
    </xf>
    <xf numFmtId="0" fontId="14" fillId="0" borderId="0" xfId="0" applyFont="1" applyAlignment="1">
      <alignment vertical="center" wrapText="1"/>
    </xf>
    <xf numFmtId="0" fontId="4" fillId="0" borderId="5" xfId="0" applyFont="1" applyBorder="1" applyAlignment="1">
      <alignment wrapText="1"/>
    </xf>
    <xf numFmtId="0" fontId="4" fillId="5" borderId="0" xfId="0" applyFont="1" applyFill="1" applyAlignment="1">
      <alignment wrapText="1"/>
    </xf>
    <xf numFmtId="0" fontId="14" fillId="5" borderId="0" xfId="0" applyFont="1" applyFill="1" applyAlignment="1">
      <alignment wrapText="1"/>
    </xf>
    <xf numFmtId="0" fontId="4" fillId="0" borderId="5" xfId="0" applyFont="1" applyBorder="1" applyAlignment="1">
      <alignment horizontal="left" vertical="center" wrapText="1"/>
    </xf>
    <xf numFmtId="0" fontId="4" fillId="5" borderId="0" xfId="0" applyFont="1" applyFill="1" applyAlignment="1">
      <alignment horizontal="center" vertical="center" wrapText="1"/>
    </xf>
    <xf numFmtId="0" fontId="14" fillId="5" borderId="0" xfId="0" applyFont="1" applyFill="1" applyAlignment="1">
      <alignment horizontal="left" vertical="center" wrapText="1"/>
    </xf>
    <xf numFmtId="0" fontId="21" fillId="0" borderId="0" xfId="0" applyNumberFormat="1" applyFont="1" applyAlignment="1">
      <alignment horizontal="center" vertical="center" wrapText="1"/>
    </xf>
    <xf numFmtId="0" fontId="21" fillId="0" borderId="0" xfId="0" applyNumberFormat="1" applyFont="1" applyAlignment="1">
      <alignment horizontal="center" wrapText="1"/>
    </xf>
    <xf numFmtId="2" fontId="4" fillId="6" borderId="0" xfId="0" applyNumberFormat="1" applyFont="1" applyFill="1" applyAlignment="1">
      <alignment vertical="top" wrapText="1"/>
    </xf>
    <xf numFmtId="0" fontId="11" fillId="0" borderId="11" xfId="0" applyFont="1" applyBorder="1" applyAlignment="1">
      <alignment vertical="top" wrapText="1"/>
    </xf>
    <xf numFmtId="0" fontId="10" fillId="5" borderId="1" xfId="0" applyFont="1" applyFill="1" applyBorder="1" applyAlignment="1">
      <alignment vertical="top"/>
    </xf>
    <xf numFmtId="0" fontId="11" fillId="0" borderId="12" xfId="0" applyFont="1" applyBorder="1" applyAlignment="1">
      <alignment vertical="top" wrapText="1"/>
    </xf>
    <xf numFmtId="0" fontId="10" fillId="0" borderId="1" xfId="0" applyFont="1" applyBorder="1" applyAlignment="1">
      <alignment vertical="top"/>
    </xf>
    <xf numFmtId="0" fontId="11" fillId="0" borderId="0" xfId="0" applyFont="1"/>
    <xf numFmtId="0" fontId="2" fillId="0" borderId="1" xfId="0" applyNumberFormat="1" applyFont="1" applyBorder="1" applyAlignment="1">
      <alignment horizontal="center" vertical="center"/>
    </xf>
    <xf numFmtId="0" fontId="3" fillId="0" borderId="1" xfId="0" applyNumberFormat="1" applyFont="1" applyBorder="1" applyAlignment="1">
      <alignment horizontal="center" vertical="center" wrapText="1"/>
    </xf>
    <xf numFmtId="0" fontId="12" fillId="7" borderId="0" xfId="0" applyNumberFormat="1" applyFont="1" applyFill="1" applyAlignment="1">
      <alignment horizontal="center" wrapText="1"/>
    </xf>
    <xf numFmtId="0" fontId="7" fillId="0" borderId="0" xfId="0" applyNumberFormat="1" applyFont="1" applyAlignment="1">
      <alignment horizontal="center" wrapText="1"/>
    </xf>
    <xf numFmtId="0" fontId="2" fillId="0" borderId="1" xfId="0" applyNumberFormat="1" applyFont="1" applyBorder="1" applyAlignment="1">
      <alignment horizontal="center"/>
    </xf>
    <xf numFmtId="0" fontId="2" fillId="0" borderId="1" xfId="0" applyNumberFormat="1" applyFont="1" applyBorder="1" applyAlignment="1">
      <alignment horizontal="center" vertical="center" wrapText="1"/>
    </xf>
    <xf numFmtId="0" fontId="2" fillId="0" borderId="3" xfId="0" applyNumberFormat="1" applyFont="1" applyBorder="1" applyAlignment="1">
      <alignment horizontal="center" vertical="center" wrapText="1"/>
    </xf>
    <xf numFmtId="0" fontId="2" fillId="0" borderId="4" xfId="0" applyNumberFormat="1" applyFont="1" applyBorder="1" applyAlignment="1">
      <alignment horizontal="center" vertical="center" wrapText="1"/>
    </xf>
    <xf numFmtId="0" fontId="14" fillId="6" borderId="6"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4" fillId="5" borderId="0" xfId="0" applyFont="1" applyFill="1" applyAlignment="1">
      <alignment horizontal="left" vertical="center" wrapText="1"/>
    </xf>
    <xf numFmtId="0" fontId="4" fillId="6" borderId="0" xfId="0" applyFont="1" applyFill="1" applyAlignment="1">
      <alignment horizontal="left" vertical="center"/>
    </xf>
    <xf numFmtId="2" fontId="4" fillId="6" borderId="0" xfId="0" applyNumberFormat="1" applyFont="1" applyFill="1" applyAlignment="1">
      <alignment horizontal="left" vertical="top" wrapText="1"/>
    </xf>
    <xf numFmtId="0" fontId="12" fillId="7" borderId="0" xfId="0" applyFont="1" applyFill="1" applyAlignment="1">
      <alignment horizontal="center"/>
    </xf>
    <xf numFmtId="0" fontId="7" fillId="6" borderId="0" xfId="0" applyFont="1" applyFill="1" applyAlignment="1">
      <alignment horizontal="center"/>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4" fillId="6" borderId="10" xfId="0" applyFont="1" applyFill="1" applyBorder="1" applyAlignment="1">
      <alignment horizontal="center" vertical="center" wrapText="1"/>
    </xf>
    <xf numFmtId="0" fontId="14" fillId="6" borderId="0" xfId="0" applyFont="1" applyFill="1" applyAlignment="1">
      <alignment horizontal="left" vertical="center" wrapText="1"/>
    </xf>
    <xf numFmtId="0" fontId="2" fillId="0" borderId="1" xfId="0" applyNumberFormat="1" applyFont="1" applyBorder="1" applyAlignment="1">
      <alignment horizontal="center" wrapText="1"/>
    </xf>
    <xf numFmtId="0" fontId="2" fillId="0" borderId="3" xfId="0" applyNumberFormat="1" applyFont="1" applyBorder="1" applyAlignment="1">
      <alignment horizontal="center" vertical="center"/>
    </xf>
    <xf numFmtId="0" fontId="2" fillId="0" borderId="4" xfId="0" applyNumberFormat="1" applyFont="1" applyBorder="1" applyAlignment="1">
      <alignment horizontal="center" vertical="center"/>
    </xf>
    <xf numFmtId="0" fontId="3" fillId="0" borderId="1" xfId="0" applyNumberFormat="1" applyFont="1" applyBorder="1" applyAlignment="1">
      <alignment horizontal="center" vertical="center"/>
    </xf>
  </cellXfs>
  <cellStyles count="1">
    <cellStyle name="Normal" xfId="0" builtinId="0"/>
  </cellStyles>
  <dxfs count="53">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C1D6044-1E47-4020-808C-E45ECD06AB9B}">
  <we:reference id="wa200009404" version="1.0.0.8" store="en-US" storeType="OMEX"/>
  <we:alternateReferences>
    <we:reference id="WA200009404" version="1.0.0.8" store="WA200009404" storeType="OMEX"/>
  </we:alternateReferences>
  <we:properties>
    <we:property name="claude.fileId" value="&quot;721e6803-16f4-4d46-9363-0f89611fb07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89A26-9F01-4A25-A0AA-A1C30030C2AF}">
  <dimension ref="A1:AF114"/>
  <sheetViews>
    <sheetView view="pageBreakPreview" topLeftCell="A95" zoomScale="48" zoomScaleNormal="77" zoomScaleSheetLayoutView="48" workbookViewId="0">
      <selection activeCell="L21" sqref="L21"/>
    </sheetView>
  </sheetViews>
  <sheetFormatPr defaultColWidth="9.08984375" defaultRowHeight="14" x14ac:dyDescent="0.3"/>
  <cols>
    <col min="1" max="1" width="39.90625" style="13" customWidth="1"/>
    <col min="2" max="11" width="5.08984375" style="5" customWidth="1"/>
    <col min="12" max="12" width="11.6328125" style="6" customWidth="1"/>
    <col min="13" max="13" width="8.54296875" style="6" customWidth="1"/>
    <col min="14" max="14" width="10.54296875" style="6" customWidth="1"/>
    <col min="15" max="15" width="18.90625" style="6" customWidth="1"/>
    <col min="16" max="16" width="9.08984375" style="6"/>
    <col min="17" max="17" width="13.453125" style="6" customWidth="1"/>
    <col min="18" max="27" width="7.6328125" style="6" customWidth="1"/>
    <col min="28" max="28" width="8.54296875" style="6" customWidth="1"/>
    <col min="29" max="16384" width="9.08984375" style="6"/>
  </cols>
  <sheetData>
    <row r="1" spans="1:31" ht="15" x14ac:dyDescent="0.3">
      <c r="A1" s="111" t="s">
        <v>793</v>
      </c>
      <c r="B1" s="112"/>
      <c r="C1" s="112"/>
      <c r="D1" s="112"/>
      <c r="E1" s="112"/>
      <c r="F1" s="112"/>
      <c r="G1" s="112"/>
      <c r="H1" s="112"/>
      <c r="I1" s="112"/>
      <c r="J1" s="112"/>
      <c r="K1" s="112"/>
      <c r="L1" s="112"/>
      <c r="M1" s="112"/>
      <c r="N1" s="112"/>
      <c r="O1" s="112"/>
      <c r="P1" s="33"/>
      <c r="Q1" s="33"/>
      <c r="R1" s="33"/>
      <c r="S1" s="33"/>
      <c r="T1" s="33"/>
      <c r="U1" s="33"/>
      <c r="V1" s="33"/>
      <c r="W1" s="33"/>
      <c r="X1" s="33"/>
      <c r="Y1" s="33"/>
      <c r="Z1" s="33"/>
      <c r="AA1" s="33"/>
      <c r="AB1" s="33"/>
      <c r="AC1" s="33"/>
      <c r="AD1" s="33"/>
      <c r="AE1" s="33"/>
    </row>
    <row r="2" spans="1:31" ht="42" x14ac:dyDescent="0.3">
      <c r="A2" s="51" t="s">
        <v>756</v>
      </c>
      <c r="B2" s="102" t="s">
        <v>758</v>
      </c>
      <c r="C2" s="102" t="s">
        <v>757</v>
      </c>
      <c r="D2" s="102" t="s">
        <v>758</v>
      </c>
      <c r="E2" s="102" t="s">
        <v>757</v>
      </c>
      <c r="F2" s="102" t="s">
        <v>758</v>
      </c>
      <c r="G2" s="102" t="s">
        <v>757</v>
      </c>
      <c r="H2" s="102" t="s">
        <v>758</v>
      </c>
      <c r="I2" s="102" t="s">
        <v>757</v>
      </c>
      <c r="J2" s="102" t="s">
        <v>758</v>
      </c>
      <c r="K2" s="102" t="s">
        <v>757</v>
      </c>
      <c r="L2" s="33"/>
      <c r="M2" s="33"/>
      <c r="N2" s="33"/>
      <c r="O2" s="33"/>
      <c r="P2" s="33"/>
      <c r="Q2" s="33"/>
      <c r="R2" s="33"/>
      <c r="S2" s="33"/>
      <c r="T2" s="33"/>
      <c r="U2" s="33"/>
      <c r="V2" s="33"/>
      <c r="W2" s="33"/>
      <c r="X2" s="33"/>
      <c r="Y2" s="33"/>
      <c r="Z2" s="33"/>
      <c r="AA2" s="33"/>
      <c r="AB2" s="33"/>
      <c r="AC2" s="33"/>
      <c r="AD2" s="33"/>
      <c r="AE2" s="33"/>
    </row>
    <row r="3" spans="1:31" ht="15" customHeight="1" x14ac:dyDescent="0.3">
      <c r="A3" s="114" t="s">
        <v>0</v>
      </c>
      <c r="B3" s="110" t="s">
        <v>633</v>
      </c>
      <c r="C3" s="110"/>
      <c r="D3" s="110"/>
      <c r="E3" s="110"/>
      <c r="F3" s="110"/>
      <c r="G3" s="110"/>
      <c r="H3" s="110"/>
      <c r="I3" s="110"/>
      <c r="J3" s="110"/>
      <c r="K3" s="110"/>
      <c r="L3" s="114" t="s">
        <v>101</v>
      </c>
      <c r="M3" s="115" t="s">
        <v>102</v>
      </c>
      <c r="N3" s="115" t="s">
        <v>103</v>
      </c>
      <c r="O3" s="115" t="s">
        <v>102</v>
      </c>
      <c r="P3" s="33"/>
      <c r="Q3" s="49" t="s">
        <v>106</v>
      </c>
      <c r="R3" s="33"/>
      <c r="S3" s="33"/>
      <c r="T3" s="33"/>
      <c r="U3" s="33"/>
      <c r="V3" s="33"/>
      <c r="W3" s="33"/>
      <c r="X3" s="33"/>
      <c r="Y3" s="33"/>
      <c r="Z3" s="33"/>
      <c r="AA3" s="33"/>
      <c r="AB3" s="33"/>
      <c r="AC3" s="33"/>
      <c r="AD3" s="33"/>
      <c r="AE3" s="33"/>
    </row>
    <row r="4" spans="1:31" ht="15" customHeight="1" x14ac:dyDescent="0.3">
      <c r="A4" s="114"/>
      <c r="B4" s="23">
        <v>1</v>
      </c>
      <c r="C4" s="23">
        <v>2</v>
      </c>
      <c r="D4" s="23">
        <v>3</v>
      </c>
      <c r="E4" s="23">
        <v>4</v>
      </c>
      <c r="F4" s="23">
        <v>5</v>
      </c>
      <c r="G4" s="23">
        <v>6</v>
      </c>
      <c r="H4" s="23">
        <v>7</v>
      </c>
      <c r="I4" s="23">
        <v>8</v>
      </c>
      <c r="J4" s="23">
        <v>9</v>
      </c>
      <c r="K4" s="23">
        <v>10</v>
      </c>
      <c r="L4" s="114"/>
      <c r="M4" s="116"/>
      <c r="N4" s="116"/>
      <c r="O4" s="116"/>
      <c r="P4" s="33"/>
      <c r="Q4" s="109" t="s">
        <v>108</v>
      </c>
      <c r="R4" s="113" t="s">
        <v>633</v>
      </c>
      <c r="S4" s="113"/>
      <c r="T4" s="113"/>
      <c r="U4" s="113"/>
      <c r="V4" s="113"/>
      <c r="W4" s="113"/>
      <c r="X4" s="113"/>
      <c r="Y4" s="113"/>
      <c r="Z4" s="113"/>
      <c r="AA4" s="113"/>
      <c r="AB4" s="109" t="s">
        <v>107</v>
      </c>
      <c r="AC4" s="109" t="s">
        <v>109</v>
      </c>
      <c r="AD4" s="109" t="s">
        <v>110</v>
      </c>
      <c r="AE4" s="33"/>
    </row>
    <row r="5" spans="1:31" ht="28" x14ac:dyDescent="0.3">
      <c r="A5" s="52" t="s">
        <v>120</v>
      </c>
      <c r="B5" s="25">
        <v>1</v>
      </c>
      <c r="C5" s="25">
        <v>1</v>
      </c>
      <c r="D5" s="25">
        <v>1</v>
      </c>
      <c r="E5" s="25">
        <v>1</v>
      </c>
      <c r="F5" s="25">
        <v>1</v>
      </c>
      <c r="G5" s="25">
        <v>1</v>
      </c>
      <c r="H5" s="25">
        <v>0</v>
      </c>
      <c r="I5" s="25">
        <v>0</v>
      </c>
      <c r="J5" s="25">
        <v>0</v>
      </c>
      <c r="K5" s="25">
        <v>0</v>
      </c>
      <c r="L5" s="3">
        <f>SUM(B5:K5)/10</f>
        <v>0.6</v>
      </c>
      <c r="M5" s="26" t="str">
        <f>IF(L5&lt;0.31,"sukar",IF(L5&lt;0.71,"sedang","mudah"))</f>
        <v>sedang</v>
      </c>
      <c r="N5" s="3">
        <f>ABS((SUM(B5:E5)-SUM(F5:I5))*2/8)</f>
        <v>0.5</v>
      </c>
      <c r="O5" s="26" t="str">
        <f>IF(N5&lt;0.2,"soal dibuang",IF(N5&lt;0.3,"soal diperbaiki",IF(N5&lt;0.4,"soal diterima tapi perlu diperbaiki","soal diterima baik")))</f>
        <v>soal diterima baik</v>
      </c>
      <c r="P5" s="33"/>
      <c r="Q5" s="109"/>
      <c r="R5" s="27">
        <v>1</v>
      </c>
      <c r="S5" s="27">
        <v>2</v>
      </c>
      <c r="T5" s="27">
        <v>3</v>
      </c>
      <c r="U5" s="27">
        <v>4</v>
      </c>
      <c r="V5" s="27">
        <v>5</v>
      </c>
      <c r="W5" s="27">
        <v>6</v>
      </c>
      <c r="X5" s="27">
        <v>7</v>
      </c>
      <c r="Y5" s="27">
        <v>8</v>
      </c>
      <c r="Z5" s="27">
        <v>9</v>
      </c>
      <c r="AA5" s="27">
        <v>10</v>
      </c>
      <c r="AB5" s="109"/>
      <c r="AC5" s="109"/>
      <c r="AD5" s="109"/>
      <c r="AE5" s="33"/>
    </row>
    <row r="6" spans="1:31" ht="42" x14ac:dyDescent="0.3">
      <c r="A6" s="52" t="s">
        <v>121</v>
      </c>
      <c r="B6" s="25">
        <v>1</v>
      </c>
      <c r="C6" s="25">
        <v>1</v>
      </c>
      <c r="D6" s="25">
        <v>1</v>
      </c>
      <c r="E6" s="25">
        <v>1</v>
      </c>
      <c r="F6" s="25">
        <v>0</v>
      </c>
      <c r="G6" s="25">
        <v>0</v>
      </c>
      <c r="H6" s="25">
        <v>1</v>
      </c>
      <c r="I6" s="25">
        <v>1</v>
      </c>
      <c r="J6" s="25">
        <v>0</v>
      </c>
      <c r="K6" s="25">
        <v>0</v>
      </c>
      <c r="L6" s="3">
        <f t="shared" ref="L6:L69" si="0">SUM(B6:K6)/10</f>
        <v>0.6</v>
      </c>
      <c r="M6" s="26" t="str">
        <f t="shared" ref="M6:M69" si="1">IF(L6&lt;0.31,"sukar",IF(L6&lt;0.71,"sedang","mudah"))</f>
        <v>sedang</v>
      </c>
      <c r="N6" s="3">
        <f t="shared" ref="N6:N69" si="2">ABS((SUM(B6:E6)-SUM(F6:I6))*2/8)</f>
        <v>0.5</v>
      </c>
      <c r="O6" s="26" t="str">
        <f t="shared" ref="O6:O69" si="3">IF(N6&lt;0.2,"soal dibuang",IF(N6&lt;0.3,"soal diperbaiki",IF(N6&lt;0.4,"soal diterima tapi perlu diperbaiki","soal diterima baik")))</f>
        <v>soal diterima baik</v>
      </c>
      <c r="P6" s="33"/>
      <c r="Q6" s="26">
        <v>1</v>
      </c>
      <c r="R6" s="25">
        <f>B5</f>
        <v>1</v>
      </c>
      <c r="S6" s="25">
        <f t="shared" ref="S6:AA6" si="4">C5</f>
        <v>1</v>
      </c>
      <c r="T6" s="25">
        <f t="shared" si="4"/>
        <v>1</v>
      </c>
      <c r="U6" s="25">
        <f t="shared" si="4"/>
        <v>1</v>
      </c>
      <c r="V6" s="25">
        <f t="shared" si="4"/>
        <v>1</v>
      </c>
      <c r="W6" s="25">
        <f t="shared" si="4"/>
        <v>1</v>
      </c>
      <c r="X6" s="25">
        <f t="shared" si="4"/>
        <v>0</v>
      </c>
      <c r="Y6" s="25">
        <f t="shared" si="4"/>
        <v>0</v>
      </c>
      <c r="Z6" s="25">
        <f t="shared" si="4"/>
        <v>0</v>
      </c>
      <c r="AA6" s="25">
        <f t="shared" si="4"/>
        <v>0</v>
      </c>
      <c r="AB6" s="3">
        <f>SUM(R6:AA6)/COUNT(R6:AA6)</f>
        <v>0.6</v>
      </c>
      <c r="AC6" s="3">
        <f>1-AB6</f>
        <v>0.4</v>
      </c>
      <c r="AD6" s="3">
        <f>AB6*AC6</f>
        <v>0.24</v>
      </c>
      <c r="AE6" s="33"/>
    </row>
    <row r="7" spans="1:31" ht="28" x14ac:dyDescent="0.3">
      <c r="A7" s="53" t="s">
        <v>122</v>
      </c>
      <c r="B7" s="25">
        <v>1</v>
      </c>
      <c r="C7" s="25">
        <v>1</v>
      </c>
      <c r="D7" s="25">
        <v>1</v>
      </c>
      <c r="E7" s="25">
        <v>1</v>
      </c>
      <c r="F7" s="25">
        <v>1</v>
      </c>
      <c r="G7" s="25">
        <v>1</v>
      </c>
      <c r="H7" s="25">
        <v>0</v>
      </c>
      <c r="I7" s="25">
        <v>0</v>
      </c>
      <c r="J7" s="25">
        <v>1</v>
      </c>
      <c r="K7" s="25">
        <v>1</v>
      </c>
      <c r="L7" s="3">
        <f t="shared" si="0"/>
        <v>0.8</v>
      </c>
      <c r="M7" s="26" t="str">
        <f t="shared" si="1"/>
        <v>mudah</v>
      </c>
      <c r="N7" s="3">
        <f t="shared" si="2"/>
        <v>0.5</v>
      </c>
      <c r="O7" s="26" t="str">
        <f t="shared" si="3"/>
        <v>soal diterima baik</v>
      </c>
      <c r="P7" s="33"/>
      <c r="Q7" s="26">
        <v>2</v>
      </c>
      <c r="R7" s="25">
        <f t="shared" ref="R7:R70" si="5">B6</f>
        <v>1</v>
      </c>
      <c r="S7" s="25">
        <f t="shared" ref="S7:S70" si="6">C6</f>
        <v>1</v>
      </c>
      <c r="T7" s="25">
        <f t="shared" ref="T7:T70" si="7">D6</f>
        <v>1</v>
      </c>
      <c r="U7" s="25">
        <f t="shared" ref="U7:U70" si="8">E6</f>
        <v>1</v>
      </c>
      <c r="V7" s="25">
        <f t="shared" ref="V7:V70" si="9">F6</f>
        <v>0</v>
      </c>
      <c r="W7" s="25">
        <f t="shared" ref="W7:W70" si="10">G6</f>
        <v>0</v>
      </c>
      <c r="X7" s="25">
        <f t="shared" ref="X7:X70" si="11">H6</f>
        <v>1</v>
      </c>
      <c r="Y7" s="25">
        <f t="shared" ref="Y7:Y70" si="12">I6</f>
        <v>1</v>
      </c>
      <c r="Z7" s="25">
        <f t="shared" ref="Z7:Z70" si="13">J6</f>
        <v>0</v>
      </c>
      <c r="AA7" s="25">
        <f t="shared" ref="AA7:AA70" si="14">K6</f>
        <v>0</v>
      </c>
      <c r="AB7" s="3">
        <f t="shared" ref="AB7:AB70" si="15">SUM(R7:AA7)/COUNT(R7:AA7)</f>
        <v>0.6</v>
      </c>
      <c r="AC7" s="3">
        <f t="shared" ref="AC7:AC70" si="16">1-AB7</f>
        <v>0.4</v>
      </c>
      <c r="AD7" s="3">
        <f t="shared" ref="AD7:AD70" si="17">AB7*AC7</f>
        <v>0.24</v>
      </c>
      <c r="AE7" s="33"/>
    </row>
    <row r="8" spans="1:31" ht="28" x14ac:dyDescent="0.3">
      <c r="A8" s="52" t="s">
        <v>123</v>
      </c>
      <c r="B8" s="25">
        <v>1</v>
      </c>
      <c r="C8" s="25">
        <v>1</v>
      </c>
      <c r="D8" s="25">
        <v>1</v>
      </c>
      <c r="E8" s="25">
        <v>1</v>
      </c>
      <c r="F8" s="25">
        <v>1</v>
      </c>
      <c r="G8" s="25">
        <v>1</v>
      </c>
      <c r="H8" s="25">
        <v>0</v>
      </c>
      <c r="I8" s="25">
        <v>0</v>
      </c>
      <c r="J8" s="25">
        <v>1</v>
      </c>
      <c r="K8" s="25">
        <v>1</v>
      </c>
      <c r="L8" s="3">
        <f t="shared" si="0"/>
        <v>0.8</v>
      </c>
      <c r="M8" s="26" t="str">
        <f t="shared" si="1"/>
        <v>mudah</v>
      </c>
      <c r="N8" s="3">
        <f t="shared" si="2"/>
        <v>0.5</v>
      </c>
      <c r="O8" s="26" t="str">
        <f t="shared" si="3"/>
        <v>soal diterima baik</v>
      </c>
      <c r="P8" s="33"/>
      <c r="Q8" s="26">
        <v>3</v>
      </c>
      <c r="R8" s="25">
        <f t="shared" si="5"/>
        <v>1</v>
      </c>
      <c r="S8" s="25">
        <f t="shared" si="6"/>
        <v>1</v>
      </c>
      <c r="T8" s="25">
        <f t="shared" si="7"/>
        <v>1</v>
      </c>
      <c r="U8" s="25">
        <f t="shared" si="8"/>
        <v>1</v>
      </c>
      <c r="V8" s="25">
        <f t="shared" si="9"/>
        <v>1</v>
      </c>
      <c r="W8" s="25">
        <f t="shared" si="10"/>
        <v>1</v>
      </c>
      <c r="X8" s="25">
        <f t="shared" si="11"/>
        <v>0</v>
      </c>
      <c r="Y8" s="25">
        <f t="shared" si="12"/>
        <v>0</v>
      </c>
      <c r="Z8" s="25">
        <f t="shared" si="13"/>
        <v>1</v>
      </c>
      <c r="AA8" s="25">
        <f t="shared" si="14"/>
        <v>1</v>
      </c>
      <c r="AB8" s="3">
        <f t="shared" si="15"/>
        <v>0.8</v>
      </c>
      <c r="AC8" s="3">
        <f t="shared" si="16"/>
        <v>0.19999999999999996</v>
      </c>
      <c r="AD8" s="3">
        <f t="shared" si="17"/>
        <v>0.15999999999999998</v>
      </c>
      <c r="AE8" s="33"/>
    </row>
    <row r="9" spans="1:31" ht="28" x14ac:dyDescent="0.3">
      <c r="A9" s="52" t="s">
        <v>124</v>
      </c>
      <c r="B9" s="25">
        <v>1</v>
      </c>
      <c r="C9" s="25">
        <v>1</v>
      </c>
      <c r="D9" s="25">
        <v>1</v>
      </c>
      <c r="E9" s="25">
        <v>1</v>
      </c>
      <c r="F9" s="25">
        <v>0</v>
      </c>
      <c r="G9" s="25">
        <v>0</v>
      </c>
      <c r="H9" s="25">
        <v>0</v>
      </c>
      <c r="I9" s="25">
        <v>0</v>
      </c>
      <c r="J9" s="25">
        <v>1</v>
      </c>
      <c r="K9" s="25">
        <v>1</v>
      </c>
      <c r="L9" s="3">
        <f t="shared" si="0"/>
        <v>0.6</v>
      </c>
      <c r="M9" s="26" t="str">
        <f t="shared" si="1"/>
        <v>sedang</v>
      </c>
      <c r="N9" s="3">
        <f t="shared" si="2"/>
        <v>1</v>
      </c>
      <c r="O9" s="26" t="str">
        <f t="shared" si="3"/>
        <v>soal diterima baik</v>
      </c>
      <c r="P9" s="33"/>
      <c r="Q9" s="26">
        <v>4</v>
      </c>
      <c r="R9" s="25">
        <f t="shared" si="5"/>
        <v>1</v>
      </c>
      <c r="S9" s="25">
        <f t="shared" si="6"/>
        <v>1</v>
      </c>
      <c r="T9" s="25">
        <f t="shared" si="7"/>
        <v>1</v>
      </c>
      <c r="U9" s="25">
        <f t="shared" si="8"/>
        <v>1</v>
      </c>
      <c r="V9" s="25">
        <f t="shared" si="9"/>
        <v>1</v>
      </c>
      <c r="W9" s="25">
        <f t="shared" si="10"/>
        <v>1</v>
      </c>
      <c r="X9" s="25">
        <f t="shared" si="11"/>
        <v>0</v>
      </c>
      <c r="Y9" s="25">
        <f t="shared" si="12"/>
        <v>0</v>
      </c>
      <c r="Z9" s="25">
        <f t="shared" si="13"/>
        <v>1</v>
      </c>
      <c r="AA9" s="25">
        <f t="shared" si="14"/>
        <v>1</v>
      </c>
      <c r="AB9" s="3">
        <f t="shared" si="15"/>
        <v>0.8</v>
      </c>
      <c r="AC9" s="3">
        <f t="shared" si="16"/>
        <v>0.19999999999999996</v>
      </c>
      <c r="AD9" s="3">
        <f t="shared" si="17"/>
        <v>0.15999999999999998</v>
      </c>
      <c r="AE9" s="33"/>
    </row>
    <row r="10" spans="1:31" ht="28" x14ac:dyDescent="0.3">
      <c r="A10" s="53" t="s">
        <v>125</v>
      </c>
      <c r="B10" s="25">
        <v>0</v>
      </c>
      <c r="C10" s="25">
        <v>0</v>
      </c>
      <c r="D10" s="25">
        <v>1</v>
      </c>
      <c r="E10" s="25">
        <v>1</v>
      </c>
      <c r="F10" s="25">
        <v>0</v>
      </c>
      <c r="G10" s="25">
        <v>0</v>
      </c>
      <c r="H10" s="25">
        <v>0</v>
      </c>
      <c r="I10" s="25">
        <v>0</v>
      </c>
      <c r="J10" s="25">
        <v>0</v>
      </c>
      <c r="K10" s="25">
        <v>0</v>
      </c>
      <c r="L10" s="3">
        <f t="shared" si="0"/>
        <v>0.2</v>
      </c>
      <c r="M10" s="26" t="str">
        <f t="shared" si="1"/>
        <v>sukar</v>
      </c>
      <c r="N10" s="3">
        <f t="shared" si="2"/>
        <v>0.5</v>
      </c>
      <c r="O10" s="26" t="str">
        <f t="shared" si="3"/>
        <v>soal diterima baik</v>
      </c>
      <c r="P10" s="33"/>
      <c r="Q10" s="26">
        <v>5</v>
      </c>
      <c r="R10" s="25">
        <f t="shared" si="5"/>
        <v>1</v>
      </c>
      <c r="S10" s="25">
        <f t="shared" si="6"/>
        <v>1</v>
      </c>
      <c r="T10" s="25">
        <f t="shared" si="7"/>
        <v>1</v>
      </c>
      <c r="U10" s="25">
        <f t="shared" si="8"/>
        <v>1</v>
      </c>
      <c r="V10" s="25">
        <f t="shared" si="9"/>
        <v>0</v>
      </c>
      <c r="W10" s="25">
        <f t="shared" si="10"/>
        <v>0</v>
      </c>
      <c r="X10" s="25">
        <f t="shared" si="11"/>
        <v>0</v>
      </c>
      <c r="Y10" s="25">
        <f t="shared" si="12"/>
        <v>0</v>
      </c>
      <c r="Z10" s="25">
        <f t="shared" si="13"/>
        <v>1</v>
      </c>
      <c r="AA10" s="25">
        <f t="shared" si="14"/>
        <v>1</v>
      </c>
      <c r="AB10" s="3">
        <f t="shared" si="15"/>
        <v>0.6</v>
      </c>
      <c r="AC10" s="3">
        <f t="shared" si="16"/>
        <v>0.4</v>
      </c>
      <c r="AD10" s="3">
        <f t="shared" si="17"/>
        <v>0.24</v>
      </c>
      <c r="AE10" s="33"/>
    </row>
    <row r="11" spans="1:31" ht="28" x14ac:dyDescent="0.3">
      <c r="A11" s="52" t="s">
        <v>126</v>
      </c>
      <c r="B11" s="25">
        <v>1</v>
      </c>
      <c r="C11" s="25">
        <v>1</v>
      </c>
      <c r="D11" s="25">
        <v>1</v>
      </c>
      <c r="E11" s="25">
        <v>1</v>
      </c>
      <c r="F11" s="25">
        <v>1</v>
      </c>
      <c r="G11" s="25">
        <v>1</v>
      </c>
      <c r="H11" s="25">
        <v>0</v>
      </c>
      <c r="I11" s="25">
        <v>0</v>
      </c>
      <c r="J11" s="25">
        <v>0</v>
      </c>
      <c r="K11" s="25">
        <v>0</v>
      </c>
      <c r="L11" s="3">
        <f t="shared" si="0"/>
        <v>0.6</v>
      </c>
      <c r="M11" s="26" t="str">
        <f t="shared" si="1"/>
        <v>sedang</v>
      </c>
      <c r="N11" s="3">
        <f t="shared" si="2"/>
        <v>0.5</v>
      </c>
      <c r="O11" s="26" t="str">
        <f t="shared" si="3"/>
        <v>soal diterima baik</v>
      </c>
      <c r="P11" s="33"/>
      <c r="Q11" s="26">
        <v>6</v>
      </c>
      <c r="R11" s="25">
        <f t="shared" si="5"/>
        <v>0</v>
      </c>
      <c r="S11" s="25">
        <f t="shared" si="6"/>
        <v>0</v>
      </c>
      <c r="T11" s="25">
        <f t="shared" si="7"/>
        <v>1</v>
      </c>
      <c r="U11" s="25">
        <f t="shared" si="8"/>
        <v>1</v>
      </c>
      <c r="V11" s="25">
        <f t="shared" si="9"/>
        <v>0</v>
      </c>
      <c r="W11" s="25">
        <f t="shared" si="10"/>
        <v>0</v>
      </c>
      <c r="X11" s="25">
        <f t="shared" si="11"/>
        <v>0</v>
      </c>
      <c r="Y11" s="25">
        <f t="shared" si="12"/>
        <v>0</v>
      </c>
      <c r="Z11" s="25">
        <f t="shared" si="13"/>
        <v>0</v>
      </c>
      <c r="AA11" s="25">
        <f t="shared" si="14"/>
        <v>0</v>
      </c>
      <c r="AB11" s="3">
        <f t="shared" si="15"/>
        <v>0.2</v>
      </c>
      <c r="AC11" s="3">
        <f t="shared" si="16"/>
        <v>0.8</v>
      </c>
      <c r="AD11" s="3">
        <f t="shared" si="17"/>
        <v>0.16000000000000003</v>
      </c>
      <c r="AE11" s="33"/>
    </row>
    <row r="12" spans="1:31" ht="42" x14ac:dyDescent="0.3">
      <c r="A12" s="52" t="s">
        <v>127</v>
      </c>
      <c r="B12" s="25">
        <v>1</v>
      </c>
      <c r="C12" s="25">
        <v>1</v>
      </c>
      <c r="D12" s="25">
        <v>1</v>
      </c>
      <c r="E12" s="25">
        <v>1</v>
      </c>
      <c r="F12" s="25">
        <v>0</v>
      </c>
      <c r="G12" s="25">
        <v>0</v>
      </c>
      <c r="H12" s="25">
        <v>1</v>
      </c>
      <c r="I12" s="25">
        <v>1</v>
      </c>
      <c r="J12" s="25">
        <v>0</v>
      </c>
      <c r="K12" s="25">
        <v>0</v>
      </c>
      <c r="L12" s="3">
        <f t="shared" si="0"/>
        <v>0.6</v>
      </c>
      <c r="M12" s="26" t="str">
        <f t="shared" si="1"/>
        <v>sedang</v>
      </c>
      <c r="N12" s="3">
        <f t="shared" si="2"/>
        <v>0.5</v>
      </c>
      <c r="O12" s="26" t="str">
        <f t="shared" si="3"/>
        <v>soal diterima baik</v>
      </c>
      <c r="P12" s="33"/>
      <c r="Q12" s="26">
        <v>7</v>
      </c>
      <c r="R12" s="25">
        <f t="shared" si="5"/>
        <v>1</v>
      </c>
      <c r="S12" s="25">
        <f t="shared" si="6"/>
        <v>1</v>
      </c>
      <c r="T12" s="25">
        <f t="shared" si="7"/>
        <v>1</v>
      </c>
      <c r="U12" s="25">
        <f t="shared" si="8"/>
        <v>1</v>
      </c>
      <c r="V12" s="25">
        <f t="shared" si="9"/>
        <v>1</v>
      </c>
      <c r="W12" s="25">
        <f t="shared" si="10"/>
        <v>1</v>
      </c>
      <c r="X12" s="25">
        <f t="shared" si="11"/>
        <v>0</v>
      </c>
      <c r="Y12" s="25">
        <f t="shared" si="12"/>
        <v>0</v>
      </c>
      <c r="Z12" s="25">
        <f t="shared" si="13"/>
        <v>0</v>
      </c>
      <c r="AA12" s="25">
        <f t="shared" si="14"/>
        <v>0</v>
      </c>
      <c r="AB12" s="3">
        <f t="shared" si="15"/>
        <v>0.6</v>
      </c>
      <c r="AC12" s="3">
        <f t="shared" si="16"/>
        <v>0.4</v>
      </c>
      <c r="AD12" s="3">
        <f t="shared" si="17"/>
        <v>0.24</v>
      </c>
      <c r="AE12" s="33"/>
    </row>
    <row r="13" spans="1:31" ht="28" x14ac:dyDescent="0.3">
      <c r="A13" s="54" t="s">
        <v>128</v>
      </c>
      <c r="B13" s="25">
        <v>1</v>
      </c>
      <c r="C13" s="25">
        <v>1</v>
      </c>
      <c r="D13" s="25">
        <v>1</v>
      </c>
      <c r="E13" s="25">
        <v>1</v>
      </c>
      <c r="F13" s="25">
        <v>1</v>
      </c>
      <c r="G13" s="25">
        <v>1</v>
      </c>
      <c r="H13" s="25">
        <v>0</v>
      </c>
      <c r="I13" s="25">
        <v>0</v>
      </c>
      <c r="J13" s="25">
        <v>0</v>
      </c>
      <c r="K13" s="25">
        <v>0</v>
      </c>
      <c r="L13" s="3">
        <f t="shared" si="0"/>
        <v>0.6</v>
      </c>
      <c r="M13" s="26" t="str">
        <f t="shared" si="1"/>
        <v>sedang</v>
      </c>
      <c r="N13" s="3">
        <f t="shared" si="2"/>
        <v>0.5</v>
      </c>
      <c r="O13" s="26" t="str">
        <f t="shared" si="3"/>
        <v>soal diterima baik</v>
      </c>
      <c r="P13" s="33"/>
      <c r="Q13" s="26">
        <v>8</v>
      </c>
      <c r="R13" s="25">
        <f t="shared" si="5"/>
        <v>1</v>
      </c>
      <c r="S13" s="25">
        <f t="shared" si="6"/>
        <v>1</v>
      </c>
      <c r="T13" s="25">
        <f t="shared" si="7"/>
        <v>1</v>
      </c>
      <c r="U13" s="25">
        <f t="shared" si="8"/>
        <v>1</v>
      </c>
      <c r="V13" s="25">
        <f t="shared" si="9"/>
        <v>0</v>
      </c>
      <c r="W13" s="25">
        <f t="shared" si="10"/>
        <v>0</v>
      </c>
      <c r="X13" s="25">
        <f t="shared" si="11"/>
        <v>1</v>
      </c>
      <c r="Y13" s="25">
        <f t="shared" si="12"/>
        <v>1</v>
      </c>
      <c r="Z13" s="25">
        <f t="shared" si="13"/>
        <v>0</v>
      </c>
      <c r="AA13" s="25">
        <f t="shared" si="14"/>
        <v>0</v>
      </c>
      <c r="AB13" s="3">
        <f t="shared" si="15"/>
        <v>0.6</v>
      </c>
      <c r="AC13" s="3">
        <f t="shared" si="16"/>
        <v>0.4</v>
      </c>
      <c r="AD13" s="3">
        <f t="shared" si="17"/>
        <v>0.24</v>
      </c>
      <c r="AE13" s="33"/>
    </row>
    <row r="14" spans="1:31" ht="42" x14ac:dyDescent="0.3">
      <c r="A14" s="52" t="s">
        <v>129</v>
      </c>
      <c r="B14" s="25">
        <v>1</v>
      </c>
      <c r="C14" s="25">
        <v>1</v>
      </c>
      <c r="D14" s="25">
        <v>1</v>
      </c>
      <c r="E14" s="25">
        <v>1</v>
      </c>
      <c r="F14" s="25">
        <v>0</v>
      </c>
      <c r="G14" s="25">
        <v>0</v>
      </c>
      <c r="H14" s="25">
        <v>1</v>
      </c>
      <c r="I14" s="25">
        <v>1</v>
      </c>
      <c r="J14" s="25">
        <v>0</v>
      </c>
      <c r="K14" s="25">
        <v>0</v>
      </c>
      <c r="L14" s="3">
        <f t="shared" si="0"/>
        <v>0.6</v>
      </c>
      <c r="M14" s="26" t="str">
        <f t="shared" si="1"/>
        <v>sedang</v>
      </c>
      <c r="N14" s="3">
        <f t="shared" si="2"/>
        <v>0.5</v>
      </c>
      <c r="O14" s="26" t="str">
        <f t="shared" si="3"/>
        <v>soal diterima baik</v>
      </c>
      <c r="P14" s="33"/>
      <c r="Q14" s="26">
        <v>9</v>
      </c>
      <c r="R14" s="25">
        <f t="shared" si="5"/>
        <v>1</v>
      </c>
      <c r="S14" s="25">
        <f t="shared" si="6"/>
        <v>1</v>
      </c>
      <c r="T14" s="25">
        <f t="shared" si="7"/>
        <v>1</v>
      </c>
      <c r="U14" s="25">
        <f t="shared" si="8"/>
        <v>1</v>
      </c>
      <c r="V14" s="25">
        <f t="shared" si="9"/>
        <v>1</v>
      </c>
      <c r="W14" s="25">
        <f t="shared" si="10"/>
        <v>1</v>
      </c>
      <c r="X14" s="25">
        <f t="shared" si="11"/>
        <v>0</v>
      </c>
      <c r="Y14" s="25">
        <f t="shared" si="12"/>
        <v>0</v>
      </c>
      <c r="Z14" s="25">
        <f t="shared" si="13"/>
        <v>0</v>
      </c>
      <c r="AA14" s="25">
        <f t="shared" si="14"/>
        <v>0</v>
      </c>
      <c r="AB14" s="3">
        <f t="shared" si="15"/>
        <v>0.6</v>
      </c>
      <c r="AC14" s="3">
        <f t="shared" si="16"/>
        <v>0.4</v>
      </c>
      <c r="AD14" s="3">
        <f t="shared" si="17"/>
        <v>0.24</v>
      </c>
      <c r="AE14" s="33"/>
    </row>
    <row r="15" spans="1:31" ht="28" x14ac:dyDescent="0.3">
      <c r="A15" s="53" t="s">
        <v>130</v>
      </c>
      <c r="B15" s="25">
        <v>1</v>
      </c>
      <c r="C15" s="25">
        <v>1</v>
      </c>
      <c r="D15" s="25">
        <v>0</v>
      </c>
      <c r="E15" s="25">
        <v>0</v>
      </c>
      <c r="F15" s="25">
        <v>0</v>
      </c>
      <c r="G15" s="25">
        <v>0</v>
      </c>
      <c r="H15" s="25">
        <v>0</v>
      </c>
      <c r="I15" s="25">
        <v>0</v>
      </c>
      <c r="J15" s="25">
        <v>1</v>
      </c>
      <c r="K15" s="25">
        <v>1</v>
      </c>
      <c r="L15" s="3">
        <f t="shared" si="0"/>
        <v>0.4</v>
      </c>
      <c r="M15" s="26" t="str">
        <f t="shared" si="1"/>
        <v>sedang</v>
      </c>
      <c r="N15" s="3">
        <f t="shared" si="2"/>
        <v>0.5</v>
      </c>
      <c r="O15" s="26" t="str">
        <f t="shared" si="3"/>
        <v>soal diterima baik</v>
      </c>
      <c r="P15" s="33"/>
      <c r="Q15" s="26">
        <v>10</v>
      </c>
      <c r="R15" s="25">
        <f t="shared" si="5"/>
        <v>1</v>
      </c>
      <c r="S15" s="25">
        <f t="shared" si="6"/>
        <v>1</v>
      </c>
      <c r="T15" s="25">
        <f t="shared" si="7"/>
        <v>1</v>
      </c>
      <c r="U15" s="25">
        <f t="shared" si="8"/>
        <v>1</v>
      </c>
      <c r="V15" s="25">
        <f t="shared" si="9"/>
        <v>0</v>
      </c>
      <c r="W15" s="25">
        <f t="shared" si="10"/>
        <v>0</v>
      </c>
      <c r="X15" s="25">
        <f t="shared" si="11"/>
        <v>1</v>
      </c>
      <c r="Y15" s="25">
        <f t="shared" si="12"/>
        <v>1</v>
      </c>
      <c r="Z15" s="25">
        <f t="shared" si="13"/>
        <v>0</v>
      </c>
      <c r="AA15" s="25">
        <f t="shared" si="14"/>
        <v>0</v>
      </c>
      <c r="AB15" s="3">
        <f t="shared" si="15"/>
        <v>0.6</v>
      </c>
      <c r="AC15" s="3">
        <f t="shared" si="16"/>
        <v>0.4</v>
      </c>
      <c r="AD15" s="3">
        <f t="shared" si="17"/>
        <v>0.24</v>
      </c>
      <c r="AE15" s="33"/>
    </row>
    <row r="16" spans="1:31" ht="56" x14ac:dyDescent="0.3">
      <c r="A16" s="52" t="s">
        <v>131</v>
      </c>
      <c r="B16" s="25">
        <v>1</v>
      </c>
      <c r="C16" s="25">
        <v>1</v>
      </c>
      <c r="D16" s="25">
        <v>1</v>
      </c>
      <c r="E16" s="25">
        <v>1</v>
      </c>
      <c r="F16" s="25">
        <v>0</v>
      </c>
      <c r="G16" s="25">
        <v>0</v>
      </c>
      <c r="H16" s="25">
        <v>1</v>
      </c>
      <c r="I16" s="25">
        <v>1</v>
      </c>
      <c r="J16" s="25">
        <v>1</v>
      </c>
      <c r="K16" s="25">
        <v>1</v>
      </c>
      <c r="L16" s="3">
        <f t="shared" si="0"/>
        <v>0.8</v>
      </c>
      <c r="M16" s="26" t="str">
        <f t="shared" si="1"/>
        <v>mudah</v>
      </c>
      <c r="N16" s="3">
        <f t="shared" si="2"/>
        <v>0.5</v>
      </c>
      <c r="O16" s="26" t="str">
        <f t="shared" si="3"/>
        <v>soal diterima baik</v>
      </c>
      <c r="P16" s="33"/>
      <c r="Q16" s="26">
        <v>11</v>
      </c>
      <c r="R16" s="25">
        <f t="shared" si="5"/>
        <v>1</v>
      </c>
      <c r="S16" s="25">
        <f t="shared" si="6"/>
        <v>1</v>
      </c>
      <c r="T16" s="25">
        <f t="shared" si="7"/>
        <v>0</v>
      </c>
      <c r="U16" s="25">
        <f t="shared" si="8"/>
        <v>0</v>
      </c>
      <c r="V16" s="25">
        <f t="shared" si="9"/>
        <v>0</v>
      </c>
      <c r="W16" s="25">
        <f t="shared" si="10"/>
        <v>0</v>
      </c>
      <c r="X16" s="25">
        <f t="shared" si="11"/>
        <v>0</v>
      </c>
      <c r="Y16" s="25">
        <f t="shared" si="12"/>
        <v>0</v>
      </c>
      <c r="Z16" s="25">
        <f t="shared" si="13"/>
        <v>1</v>
      </c>
      <c r="AA16" s="25">
        <f t="shared" si="14"/>
        <v>1</v>
      </c>
      <c r="AB16" s="3">
        <f t="shared" si="15"/>
        <v>0.4</v>
      </c>
      <c r="AC16" s="3">
        <f t="shared" si="16"/>
        <v>0.6</v>
      </c>
      <c r="AD16" s="3">
        <f t="shared" si="17"/>
        <v>0.24</v>
      </c>
      <c r="AE16" s="33"/>
    </row>
    <row r="17" spans="1:31" ht="56" x14ac:dyDescent="0.3">
      <c r="A17" s="54" t="s">
        <v>132</v>
      </c>
      <c r="B17" s="25">
        <v>1</v>
      </c>
      <c r="C17" s="25">
        <v>1</v>
      </c>
      <c r="D17" s="25">
        <v>1</v>
      </c>
      <c r="E17" s="25">
        <v>1</v>
      </c>
      <c r="F17" s="25">
        <v>0</v>
      </c>
      <c r="G17" s="25">
        <v>0</v>
      </c>
      <c r="H17" s="25">
        <v>1</v>
      </c>
      <c r="I17" s="25">
        <v>1</v>
      </c>
      <c r="J17" s="25">
        <v>0</v>
      </c>
      <c r="K17" s="25">
        <v>0</v>
      </c>
      <c r="L17" s="3">
        <f t="shared" si="0"/>
        <v>0.6</v>
      </c>
      <c r="M17" s="26" t="str">
        <f t="shared" si="1"/>
        <v>sedang</v>
      </c>
      <c r="N17" s="3">
        <f t="shared" si="2"/>
        <v>0.5</v>
      </c>
      <c r="O17" s="26" t="str">
        <f t="shared" si="3"/>
        <v>soal diterima baik</v>
      </c>
      <c r="P17" s="33"/>
      <c r="Q17" s="26">
        <v>12</v>
      </c>
      <c r="R17" s="25">
        <f t="shared" si="5"/>
        <v>1</v>
      </c>
      <c r="S17" s="25">
        <f t="shared" si="6"/>
        <v>1</v>
      </c>
      <c r="T17" s="25">
        <f t="shared" si="7"/>
        <v>1</v>
      </c>
      <c r="U17" s="25">
        <f t="shared" si="8"/>
        <v>1</v>
      </c>
      <c r="V17" s="25">
        <f t="shared" si="9"/>
        <v>0</v>
      </c>
      <c r="W17" s="25">
        <f t="shared" si="10"/>
        <v>0</v>
      </c>
      <c r="X17" s="25">
        <f t="shared" si="11"/>
        <v>1</v>
      </c>
      <c r="Y17" s="25">
        <f t="shared" si="12"/>
        <v>1</v>
      </c>
      <c r="Z17" s="25">
        <f t="shared" si="13"/>
        <v>1</v>
      </c>
      <c r="AA17" s="25">
        <f t="shared" si="14"/>
        <v>1</v>
      </c>
      <c r="AB17" s="3">
        <f t="shared" si="15"/>
        <v>0.8</v>
      </c>
      <c r="AC17" s="3">
        <f t="shared" si="16"/>
        <v>0.19999999999999996</v>
      </c>
      <c r="AD17" s="3">
        <f t="shared" si="17"/>
        <v>0.15999999999999998</v>
      </c>
      <c r="AE17" s="33"/>
    </row>
    <row r="18" spans="1:31" ht="42" x14ac:dyDescent="0.3">
      <c r="A18" s="53" t="s">
        <v>133</v>
      </c>
      <c r="B18" s="25">
        <v>1</v>
      </c>
      <c r="C18" s="25">
        <v>1</v>
      </c>
      <c r="D18" s="25">
        <v>0</v>
      </c>
      <c r="E18" s="25">
        <v>0</v>
      </c>
      <c r="F18" s="25">
        <v>0</v>
      </c>
      <c r="G18" s="25">
        <v>0</v>
      </c>
      <c r="H18" s="25">
        <v>0</v>
      </c>
      <c r="I18" s="25">
        <v>0</v>
      </c>
      <c r="J18" s="25">
        <v>1</v>
      </c>
      <c r="K18" s="25">
        <v>1</v>
      </c>
      <c r="L18" s="3">
        <f t="shared" si="0"/>
        <v>0.4</v>
      </c>
      <c r="M18" s="26" t="str">
        <f t="shared" si="1"/>
        <v>sedang</v>
      </c>
      <c r="N18" s="3">
        <f t="shared" si="2"/>
        <v>0.5</v>
      </c>
      <c r="O18" s="26" t="str">
        <f t="shared" si="3"/>
        <v>soal diterima baik</v>
      </c>
      <c r="P18" s="33"/>
      <c r="Q18" s="26">
        <v>13</v>
      </c>
      <c r="R18" s="25">
        <f t="shared" si="5"/>
        <v>1</v>
      </c>
      <c r="S18" s="25">
        <f t="shared" si="6"/>
        <v>1</v>
      </c>
      <c r="T18" s="25">
        <f t="shared" si="7"/>
        <v>1</v>
      </c>
      <c r="U18" s="25">
        <f t="shared" si="8"/>
        <v>1</v>
      </c>
      <c r="V18" s="25">
        <f t="shared" si="9"/>
        <v>0</v>
      </c>
      <c r="W18" s="25">
        <f t="shared" si="10"/>
        <v>0</v>
      </c>
      <c r="X18" s="25">
        <f t="shared" si="11"/>
        <v>1</v>
      </c>
      <c r="Y18" s="25">
        <f t="shared" si="12"/>
        <v>1</v>
      </c>
      <c r="Z18" s="25">
        <f t="shared" si="13"/>
        <v>0</v>
      </c>
      <c r="AA18" s="25">
        <f t="shared" si="14"/>
        <v>0</v>
      </c>
      <c r="AB18" s="3">
        <f t="shared" si="15"/>
        <v>0.6</v>
      </c>
      <c r="AC18" s="3">
        <f t="shared" si="16"/>
        <v>0.4</v>
      </c>
      <c r="AD18" s="3">
        <f t="shared" si="17"/>
        <v>0.24</v>
      </c>
      <c r="AE18" s="33"/>
    </row>
    <row r="19" spans="1:31" ht="28" x14ac:dyDescent="0.3">
      <c r="A19" s="53" t="s">
        <v>134</v>
      </c>
      <c r="B19" s="25">
        <v>1</v>
      </c>
      <c r="C19" s="25">
        <v>1</v>
      </c>
      <c r="D19" s="25">
        <v>1</v>
      </c>
      <c r="E19" s="25">
        <v>1</v>
      </c>
      <c r="F19" s="25">
        <v>0</v>
      </c>
      <c r="G19" s="25">
        <v>0</v>
      </c>
      <c r="H19" s="25">
        <v>1</v>
      </c>
      <c r="I19" s="25">
        <v>1</v>
      </c>
      <c r="J19" s="25">
        <v>0</v>
      </c>
      <c r="K19" s="25">
        <v>0</v>
      </c>
      <c r="L19" s="3">
        <f t="shared" si="0"/>
        <v>0.6</v>
      </c>
      <c r="M19" s="26" t="str">
        <f t="shared" si="1"/>
        <v>sedang</v>
      </c>
      <c r="N19" s="3">
        <f t="shared" si="2"/>
        <v>0.5</v>
      </c>
      <c r="O19" s="26" t="str">
        <f t="shared" si="3"/>
        <v>soal diterima baik</v>
      </c>
      <c r="P19" s="33"/>
      <c r="Q19" s="26">
        <v>14</v>
      </c>
      <c r="R19" s="25">
        <f t="shared" si="5"/>
        <v>1</v>
      </c>
      <c r="S19" s="25">
        <f t="shared" si="6"/>
        <v>1</v>
      </c>
      <c r="T19" s="25">
        <f t="shared" si="7"/>
        <v>0</v>
      </c>
      <c r="U19" s="25">
        <f t="shared" si="8"/>
        <v>0</v>
      </c>
      <c r="V19" s="25">
        <f t="shared" si="9"/>
        <v>0</v>
      </c>
      <c r="W19" s="25">
        <f t="shared" si="10"/>
        <v>0</v>
      </c>
      <c r="X19" s="25">
        <f t="shared" si="11"/>
        <v>0</v>
      </c>
      <c r="Y19" s="25">
        <f t="shared" si="12"/>
        <v>0</v>
      </c>
      <c r="Z19" s="25">
        <f t="shared" si="13"/>
        <v>1</v>
      </c>
      <c r="AA19" s="25">
        <f t="shared" si="14"/>
        <v>1</v>
      </c>
      <c r="AB19" s="3">
        <f t="shared" si="15"/>
        <v>0.4</v>
      </c>
      <c r="AC19" s="3">
        <f t="shared" si="16"/>
        <v>0.6</v>
      </c>
      <c r="AD19" s="3">
        <f t="shared" si="17"/>
        <v>0.24</v>
      </c>
      <c r="AE19" s="33"/>
    </row>
    <row r="20" spans="1:31" ht="28" x14ac:dyDescent="0.3">
      <c r="A20" s="52" t="s">
        <v>135</v>
      </c>
      <c r="B20" s="25">
        <v>1</v>
      </c>
      <c r="C20" s="25">
        <v>1</v>
      </c>
      <c r="D20" s="25">
        <v>0</v>
      </c>
      <c r="E20" s="25">
        <v>0</v>
      </c>
      <c r="F20" s="25">
        <v>0</v>
      </c>
      <c r="G20" s="25">
        <v>0</v>
      </c>
      <c r="H20" s="25">
        <v>0</v>
      </c>
      <c r="I20" s="25">
        <v>0</v>
      </c>
      <c r="J20" s="25">
        <v>1</v>
      </c>
      <c r="K20" s="25">
        <v>1</v>
      </c>
      <c r="L20" s="3">
        <f t="shared" si="0"/>
        <v>0.4</v>
      </c>
      <c r="M20" s="26" t="str">
        <f t="shared" si="1"/>
        <v>sedang</v>
      </c>
      <c r="N20" s="3">
        <f t="shared" si="2"/>
        <v>0.5</v>
      </c>
      <c r="O20" s="26" t="str">
        <f t="shared" si="3"/>
        <v>soal diterima baik</v>
      </c>
      <c r="P20" s="33"/>
      <c r="Q20" s="26">
        <v>15</v>
      </c>
      <c r="R20" s="25">
        <f t="shared" si="5"/>
        <v>1</v>
      </c>
      <c r="S20" s="25">
        <f t="shared" si="6"/>
        <v>1</v>
      </c>
      <c r="T20" s="25">
        <f t="shared" si="7"/>
        <v>1</v>
      </c>
      <c r="U20" s="25">
        <f t="shared" si="8"/>
        <v>1</v>
      </c>
      <c r="V20" s="25">
        <f t="shared" si="9"/>
        <v>0</v>
      </c>
      <c r="W20" s="25">
        <f t="shared" si="10"/>
        <v>0</v>
      </c>
      <c r="X20" s="25">
        <f t="shared" si="11"/>
        <v>1</v>
      </c>
      <c r="Y20" s="25">
        <f t="shared" si="12"/>
        <v>1</v>
      </c>
      <c r="Z20" s="25">
        <f t="shared" si="13"/>
        <v>0</v>
      </c>
      <c r="AA20" s="25">
        <f t="shared" si="14"/>
        <v>0</v>
      </c>
      <c r="AB20" s="3">
        <f t="shared" si="15"/>
        <v>0.6</v>
      </c>
      <c r="AC20" s="3">
        <f t="shared" si="16"/>
        <v>0.4</v>
      </c>
      <c r="AD20" s="3">
        <f t="shared" si="17"/>
        <v>0.24</v>
      </c>
      <c r="AE20" s="33"/>
    </row>
    <row r="21" spans="1:31" ht="42" x14ac:dyDescent="0.3">
      <c r="A21" s="52" t="s">
        <v>136</v>
      </c>
      <c r="B21" s="25">
        <v>1</v>
      </c>
      <c r="C21" s="25">
        <v>1</v>
      </c>
      <c r="D21" s="25">
        <v>1</v>
      </c>
      <c r="E21" s="25">
        <v>1</v>
      </c>
      <c r="F21" s="25">
        <v>1</v>
      </c>
      <c r="G21" s="25">
        <v>1</v>
      </c>
      <c r="H21" s="25">
        <v>0</v>
      </c>
      <c r="I21" s="25">
        <v>0</v>
      </c>
      <c r="J21" s="25">
        <v>1</v>
      </c>
      <c r="K21" s="25">
        <v>1</v>
      </c>
      <c r="L21" s="3">
        <f t="shared" si="0"/>
        <v>0.8</v>
      </c>
      <c r="M21" s="26" t="str">
        <f t="shared" si="1"/>
        <v>mudah</v>
      </c>
      <c r="N21" s="3">
        <f t="shared" si="2"/>
        <v>0.5</v>
      </c>
      <c r="O21" s="26" t="str">
        <f t="shared" si="3"/>
        <v>soal diterima baik</v>
      </c>
      <c r="P21" s="33"/>
      <c r="Q21" s="26">
        <v>16</v>
      </c>
      <c r="R21" s="25">
        <f t="shared" si="5"/>
        <v>1</v>
      </c>
      <c r="S21" s="25">
        <f t="shared" si="6"/>
        <v>1</v>
      </c>
      <c r="T21" s="25">
        <f t="shared" si="7"/>
        <v>0</v>
      </c>
      <c r="U21" s="25">
        <f t="shared" si="8"/>
        <v>0</v>
      </c>
      <c r="V21" s="25">
        <f t="shared" si="9"/>
        <v>0</v>
      </c>
      <c r="W21" s="25">
        <f t="shared" si="10"/>
        <v>0</v>
      </c>
      <c r="X21" s="25">
        <f t="shared" si="11"/>
        <v>0</v>
      </c>
      <c r="Y21" s="25">
        <f t="shared" si="12"/>
        <v>0</v>
      </c>
      <c r="Z21" s="25">
        <f t="shared" si="13"/>
        <v>1</v>
      </c>
      <c r="AA21" s="25">
        <f t="shared" si="14"/>
        <v>1</v>
      </c>
      <c r="AB21" s="3">
        <f t="shared" si="15"/>
        <v>0.4</v>
      </c>
      <c r="AC21" s="3">
        <f t="shared" si="16"/>
        <v>0.6</v>
      </c>
      <c r="AD21" s="3">
        <f t="shared" si="17"/>
        <v>0.24</v>
      </c>
      <c r="AE21" s="33"/>
    </row>
    <row r="22" spans="1:31" x14ac:dyDescent="0.3">
      <c r="A22" s="53" t="s">
        <v>137</v>
      </c>
      <c r="B22" s="25">
        <v>1</v>
      </c>
      <c r="C22" s="25">
        <v>1</v>
      </c>
      <c r="D22" s="25">
        <v>1</v>
      </c>
      <c r="E22" s="25">
        <v>1</v>
      </c>
      <c r="F22" s="25">
        <v>0</v>
      </c>
      <c r="G22" s="25">
        <v>0</v>
      </c>
      <c r="H22" s="25">
        <v>1</v>
      </c>
      <c r="I22" s="25">
        <v>1</v>
      </c>
      <c r="J22" s="25">
        <v>1</v>
      </c>
      <c r="K22" s="25">
        <v>1</v>
      </c>
      <c r="L22" s="3">
        <f t="shared" si="0"/>
        <v>0.8</v>
      </c>
      <c r="M22" s="26" t="str">
        <f t="shared" si="1"/>
        <v>mudah</v>
      </c>
      <c r="N22" s="3">
        <f t="shared" si="2"/>
        <v>0.5</v>
      </c>
      <c r="O22" s="26" t="str">
        <f t="shared" si="3"/>
        <v>soal diterima baik</v>
      </c>
      <c r="P22" s="33"/>
      <c r="Q22" s="26">
        <v>17</v>
      </c>
      <c r="R22" s="25">
        <f t="shared" si="5"/>
        <v>1</v>
      </c>
      <c r="S22" s="25">
        <f t="shared" si="6"/>
        <v>1</v>
      </c>
      <c r="T22" s="25">
        <f t="shared" si="7"/>
        <v>1</v>
      </c>
      <c r="U22" s="25">
        <f t="shared" si="8"/>
        <v>1</v>
      </c>
      <c r="V22" s="25">
        <f t="shared" si="9"/>
        <v>1</v>
      </c>
      <c r="W22" s="25">
        <f t="shared" si="10"/>
        <v>1</v>
      </c>
      <c r="X22" s="25">
        <f t="shared" si="11"/>
        <v>0</v>
      </c>
      <c r="Y22" s="25">
        <f t="shared" si="12"/>
        <v>0</v>
      </c>
      <c r="Z22" s="25">
        <f t="shared" si="13"/>
        <v>1</v>
      </c>
      <c r="AA22" s="25">
        <f t="shared" si="14"/>
        <v>1</v>
      </c>
      <c r="AB22" s="3">
        <f t="shared" si="15"/>
        <v>0.8</v>
      </c>
      <c r="AC22" s="3">
        <f t="shared" si="16"/>
        <v>0.19999999999999996</v>
      </c>
      <c r="AD22" s="3">
        <f t="shared" si="17"/>
        <v>0.15999999999999998</v>
      </c>
      <c r="AE22" s="33"/>
    </row>
    <row r="23" spans="1:31" ht="28" x14ac:dyDescent="0.3">
      <c r="A23" s="53" t="s">
        <v>138</v>
      </c>
      <c r="B23" s="25">
        <v>1</v>
      </c>
      <c r="C23" s="25">
        <v>1</v>
      </c>
      <c r="D23" s="25">
        <v>0</v>
      </c>
      <c r="E23" s="25">
        <v>0</v>
      </c>
      <c r="F23" s="25">
        <v>1</v>
      </c>
      <c r="G23" s="25">
        <v>1</v>
      </c>
      <c r="H23" s="25">
        <v>1</v>
      </c>
      <c r="I23" s="25">
        <v>1</v>
      </c>
      <c r="J23" s="25">
        <v>0</v>
      </c>
      <c r="K23" s="25">
        <v>0</v>
      </c>
      <c r="L23" s="3">
        <f t="shared" si="0"/>
        <v>0.6</v>
      </c>
      <c r="M23" s="26" t="str">
        <f t="shared" si="1"/>
        <v>sedang</v>
      </c>
      <c r="N23" s="3">
        <f t="shared" si="2"/>
        <v>0.5</v>
      </c>
      <c r="O23" s="26" t="str">
        <f t="shared" si="3"/>
        <v>soal diterima baik</v>
      </c>
      <c r="P23" s="33"/>
      <c r="Q23" s="26">
        <v>18</v>
      </c>
      <c r="R23" s="25">
        <f t="shared" si="5"/>
        <v>1</v>
      </c>
      <c r="S23" s="25">
        <f t="shared" si="6"/>
        <v>1</v>
      </c>
      <c r="T23" s="25">
        <f t="shared" si="7"/>
        <v>1</v>
      </c>
      <c r="U23" s="25">
        <f t="shared" si="8"/>
        <v>1</v>
      </c>
      <c r="V23" s="25">
        <f t="shared" si="9"/>
        <v>0</v>
      </c>
      <c r="W23" s="25">
        <f t="shared" si="10"/>
        <v>0</v>
      </c>
      <c r="X23" s="25">
        <f t="shared" si="11"/>
        <v>1</v>
      </c>
      <c r="Y23" s="25">
        <f t="shared" si="12"/>
        <v>1</v>
      </c>
      <c r="Z23" s="25">
        <f t="shared" si="13"/>
        <v>1</v>
      </c>
      <c r="AA23" s="25">
        <f t="shared" si="14"/>
        <v>1</v>
      </c>
      <c r="AB23" s="3">
        <f t="shared" si="15"/>
        <v>0.8</v>
      </c>
      <c r="AC23" s="3">
        <f t="shared" si="16"/>
        <v>0.19999999999999996</v>
      </c>
      <c r="AD23" s="3">
        <f t="shared" si="17"/>
        <v>0.15999999999999998</v>
      </c>
      <c r="AE23" s="33"/>
    </row>
    <row r="24" spans="1:31" ht="28" x14ac:dyDescent="0.3">
      <c r="A24" s="52" t="s">
        <v>139</v>
      </c>
      <c r="B24" s="25">
        <v>0</v>
      </c>
      <c r="C24" s="25">
        <v>0</v>
      </c>
      <c r="D24" s="25">
        <v>1</v>
      </c>
      <c r="E24" s="25">
        <v>1</v>
      </c>
      <c r="F24" s="25">
        <v>0</v>
      </c>
      <c r="G24" s="25">
        <v>0</v>
      </c>
      <c r="H24" s="25">
        <v>0</v>
      </c>
      <c r="I24" s="25">
        <v>0</v>
      </c>
      <c r="J24" s="25">
        <v>1</v>
      </c>
      <c r="K24" s="25">
        <v>1</v>
      </c>
      <c r="L24" s="3">
        <f t="shared" si="0"/>
        <v>0.4</v>
      </c>
      <c r="M24" s="26" t="str">
        <f t="shared" si="1"/>
        <v>sedang</v>
      </c>
      <c r="N24" s="3">
        <f t="shared" si="2"/>
        <v>0.5</v>
      </c>
      <c r="O24" s="26" t="str">
        <f t="shared" si="3"/>
        <v>soal diterima baik</v>
      </c>
      <c r="P24" s="33"/>
      <c r="Q24" s="26">
        <v>19</v>
      </c>
      <c r="R24" s="25">
        <f t="shared" si="5"/>
        <v>1</v>
      </c>
      <c r="S24" s="25">
        <f t="shared" si="6"/>
        <v>1</v>
      </c>
      <c r="T24" s="25">
        <f t="shared" si="7"/>
        <v>0</v>
      </c>
      <c r="U24" s="25">
        <f t="shared" si="8"/>
        <v>0</v>
      </c>
      <c r="V24" s="25">
        <f t="shared" si="9"/>
        <v>1</v>
      </c>
      <c r="W24" s="25">
        <f t="shared" si="10"/>
        <v>1</v>
      </c>
      <c r="X24" s="25">
        <f t="shared" si="11"/>
        <v>1</v>
      </c>
      <c r="Y24" s="25">
        <f t="shared" si="12"/>
        <v>1</v>
      </c>
      <c r="Z24" s="25">
        <f t="shared" si="13"/>
        <v>0</v>
      </c>
      <c r="AA24" s="25">
        <f t="shared" si="14"/>
        <v>0</v>
      </c>
      <c r="AB24" s="3">
        <f t="shared" si="15"/>
        <v>0.6</v>
      </c>
      <c r="AC24" s="3">
        <f t="shared" si="16"/>
        <v>0.4</v>
      </c>
      <c r="AD24" s="3">
        <f t="shared" si="17"/>
        <v>0.24</v>
      </c>
      <c r="AE24" s="33"/>
    </row>
    <row r="25" spans="1:31" ht="42" x14ac:dyDescent="0.3">
      <c r="A25" s="52" t="s">
        <v>140</v>
      </c>
      <c r="B25" s="25">
        <v>1</v>
      </c>
      <c r="C25" s="25">
        <v>1</v>
      </c>
      <c r="D25" s="25">
        <v>0</v>
      </c>
      <c r="E25" s="25">
        <v>0</v>
      </c>
      <c r="F25" s="25">
        <v>0</v>
      </c>
      <c r="G25" s="25">
        <v>0</v>
      </c>
      <c r="H25" s="25">
        <v>0</v>
      </c>
      <c r="I25" s="25">
        <v>0</v>
      </c>
      <c r="J25" s="25">
        <v>0</v>
      </c>
      <c r="K25" s="25">
        <v>0</v>
      </c>
      <c r="L25" s="3">
        <f t="shared" si="0"/>
        <v>0.2</v>
      </c>
      <c r="M25" s="26" t="str">
        <f t="shared" si="1"/>
        <v>sukar</v>
      </c>
      <c r="N25" s="3">
        <f t="shared" si="2"/>
        <v>0.5</v>
      </c>
      <c r="O25" s="26" t="str">
        <f t="shared" si="3"/>
        <v>soal diterima baik</v>
      </c>
      <c r="P25" s="33"/>
      <c r="Q25" s="26">
        <v>20</v>
      </c>
      <c r="R25" s="25">
        <f t="shared" si="5"/>
        <v>0</v>
      </c>
      <c r="S25" s="25">
        <f t="shared" si="6"/>
        <v>0</v>
      </c>
      <c r="T25" s="25">
        <f t="shared" si="7"/>
        <v>1</v>
      </c>
      <c r="U25" s="25">
        <f t="shared" si="8"/>
        <v>1</v>
      </c>
      <c r="V25" s="25">
        <f t="shared" si="9"/>
        <v>0</v>
      </c>
      <c r="W25" s="25">
        <f t="shared" si="10"/>
        <v>0</v>
      </c>
      <c r="X25" s="25">
        <f t="shared" si="11"/>
        <v>0</v>
      </c>
      <c r="Y25" s="25">
        <f t="shared" si="12"/>
        <v>0</v>
      </c>
      <c r="Z25" s="25">
        <f t="shared" si="13"/>
        <v>1</v>
      </c>
      <c r="AA25" s="25">
        <f t="shared" si="14"/>
        <v>1</v>
      </c>
      <c r="AB25" s="3">
        <f t="shared" si="15"/>
        <v>0.4</v>
      </c>
      <c r="AC25" s="3">
        <f t="shared" si="16"/>
        <v>0.6</v>
      </c>
      <c r="AD25" s="3">
        <f t="shared" si="17"/>
        <v>0.24</v>
      </c>
      <c r="AE25" s="33"/>
    </row>
    <row r="26" spans="1:31" ht="42" x14ac:dyDescent="0.3">
      <c r="A26" s="52" t="s">
        <v>141</v>
      </c>
      <c r="B26" s="25">
        <v>1</v>
      </c>
      <c r="C26" s="25">
        <v>1</v>
      </c>
      <c r="D26" s="25">
        <v>0</v>
      </c>
      <c r="E26" s="25">
        <v>0</v>
      </c>
      <c r="F26" s="25">
        <v>1</v>
      </c>
      <c r="G26" s="25">
        <v>1</v>
      </c>
      <c r="H26" s="25">
        <v>1</v>
      </c>
      <c r="I26" s="25">
        <v>1</v>
      </c>
      <c r="J26" s="25">
        <v>1</v>
      </c>
      <c r="K26" s="25">
        <v>1</v>
      </c>
      <c r="L26" s="3">
        <f t="shared" si="0"/>
        <v>0.8</v>
      </c>
      <c r="M26" s="26" t="str">
        <f t="shared" si="1"/>
        <v>mudah</v>
      </c>
      <c r="N26" s="3">
        <f t="shared" si="2"/>
        <v>0.5</v>
      </c>
      <c r="O26" s="26" t="str">
        <f t="shared" si="3"/>
        <v>soal diterima baik</v>
      </c>
      <c r="P26" s="33"/>
      <c r="Q26" s="26">
        <v>21</v>
      </c>
      <c r="R26" s="25">
        <f t="shared" si="5"/>
        <v>1</v>
      </c>
      <c r="S26" s="25">
        <f t="shared" si="6"/>
        <v>1</v>
      </c>
      <c r="T26" s="25">
        <f t="shared" si="7"/>
        <v>0</v>
      </c>
      <c r="U26" s="25">
        <f t="shared" si="8"/>
        <v>0</v>
      </c>
      <c r="V26" s="25">
        <f t="shared" si="9"/>
        <v>0</v>
      </c>
      <c r="W26" s="25">
        <f t="shared" si="10"/>
        <v>0</v>
      </c>
      <c r="X26" s="25">
        <f t="shared" si="11"/>
        <v>0</v>
      </c>
      <c r="Y26" s="25">
        <f t="shared" si="12"/>
        <v>0</v>
      </c>
      <c r="Z26" s="25">
        <f t="shared" si="13"/>
        <v>0</v>
      </c>
      <c r="AA26" s="25">
        <f t="shared" si="14"/>
        <v>0</v>
      </c>
      <c r="AB26" s="3">
        <f t="shared" si="15"/>
        <v>0.2</v>
      </c>
      <c r="AC26" s="3">
        <f t="shared" si="16"/>
        <v>0.8</v>
      </c>
      <c r="AD26" s="3">
        <f t="shared" si="17"/>
        <v>0.16000000000000003</v>
      </c>
      <c r="AE26" s="33"/>
    </row>
    <row r="27" spans="1:31" ht="28" x14ac:dyDescent="0.3">
      <c r="A27" s="53" t="s">
        <v>142</v>
      </c>
      <c r="B27" s="25">
        <v>0</v>
      </c>
      <c r="C27" s="25">
        <v>0</v>
      </c>
      <c r="D27" s="25">
        <v>1</v>
      </c>
      <c r="E27" s="25">
        <v>1</v>
      </c>
      <c r="F27" s="25">
        <v>0</v>
      </c>
      <c r="G27" s="25">
        <v>0</v>
      </c>
      <c r="H27" s="25">
        <v>0</v>
      </c>
      <c r="I27" s="25">
        <v>0</v>
      </c>
      <c r="J27" s="25">
        <v>0</v>
      </c>
      <c r="K27" s="25">
        <v>0</v>
      </c>
      <c r="L27" s="3">
        <f t="shared" si="0"/>
        <v>0.2</v>
      </c>
      <c r="M27" s="26" t="str">
        <f t="shared" si="1"/>
        <v>sukar</v>
      </c>
      <c r="N27" s="3">
        <f t="shared" si="2"/>
        <v>0.5</v>
      </c>
      <c r="O27" s="26" t="str">
        <f t="shared" si="3"/>
        <v>soal diterima baik</v>
      </c>
      <c r="P27" s="33"/>
      <c r="Q27" s="26">
        <v>22</v>
      </c>
      <c r="R27" s="25">
        <f t="shared" si="5"/>
        <v>1</v>
      </c>
      <c r="S27" s="25">
        <f t="shared" si="6"/>
        <v>1</v>
      </c>
      <c r="T27" s="25">
        <f t="shared" si="7"/>
        <v>0</v>
      </c>
      <c r="U27" s="25">
        <f t="shared" si="8"/>
        <v>0</v>
      </c>
      <c r="V27" s="25">
        <f t="shared" si="9"/>
        <v>1</v>
      </c>
      <c r="W27" s="25">
        <f t="shared" si="10"/>
        <v>1</v>
      </c>
      <c r="X27" s="25">
        <f t="shared" si="11"/>
        <v>1</v>
      </c>
      <c r="Y27" s="25">
        <f t="shared" si="12"/>
        <v>1</v>
      </c>
      <c r="Z27" s="25">
        <f t="shared" si="13"/>
        <v>1</v>
      </c>
      <c r="AA27" s="25">
        <f t="shared" si="14"/>
        <v>1</v>
      </c>
      <c r="AB27" s="3">
        <f t="shared" si="15"/>
        <v>0.8</v>
      </c>
      <c r="AC27" s="3">
        <f t="shared" si="16"/>
        <v>0.19999999999999996</v>
      </c>
      <c r="AD27" s="3">
        <f t="shared" si="17"/>
        <v>0.15999999999999998</v>
      </c>
      <c r="AE27" s="33"/>
    </row>
    <row r="28" spans="1:31" ht="28" x14ac:dyDescent="0.3">
      <c r="A28" s="53" t="s">
        <v>143</v>
      </c>
      <c r="B28" s="25">
        <v>1</v>
      </c>
      <c r="C28" s="25">
        <v>1</v>
      </c>
      <c r="D28" s="25">
        <v>1</v>
      </c>
      <c r="E28" s="25">
        <v>1</v>
      </c>
      <c r="F28" s="25">
        <v>0</v>
      </c>
      <c r="G28" s="25">
        <v>0</v>
      </c>
      <c r="H28" s="25">
        <v>0</v>
      </c>
      <c r="I28" s="25">
        <v>0</v>
      </c>
      <c r="J28" s="25">
        <v>0</v>
      </c>
      <c r="K28" s="25">
        <v>0</v>
      </c>
      <c r="L28" s="3">
        <f t="shared" si="0"/>
        <v>0.4</v>
      </c>
      <c r="M28" s="26" t="str">
        <f t="shared" si="1"/>
        <v>sedang</v>
      </c>
      <c r="N28" s="3">
        <f t="shared" si="2"/>
        <v>1</v>
      </c>
      <c r="O28" s="26" t="str">
        <f t="shared" si="3"/>
        <v>soal diterima baik</v>
      </c>
      <c r="P28" s="33"/>
      <c r="Q28" s="26">
        <v>23</v>
      </c>
      <c r="R28" s="25">
        <f t="shared" si="5"/>
        <v>0</v>
      </c>
      <c r="S28" s="25">
        <f t="shared" si="6"/>
        <v>0</v>
      </c>
      <c r="T28" s="25">
        <f t="shared" si="7"/>
        <v>1</v>
      </c>
      <c r="U28" s="25">
        <f t="shared" si="8"/>
        <v>1</v>
      </c>
      <c r="V28" s="25">
        <f t="shared" si="9"/>
        <v>0</v>
      </c>
      <c r="W28" s="25">
        <f t="shared" si="10"/>
        <v>0</v>
      </c>
      <c r="X28" s="25">
        <f t="shared" si="11"/>
        <v>0</v>
      </c>
      <c r="Y28" s="25">
        <f t="shared" si="12"/>
        <v>0</v>
      </c>
      <c r="Z28" s="25">
        <f t="shared" si="13"/>
        <v>0</v>
      </c>
      <c r="AA28" s="25">
        <f t="shared" si="14"/>
        <v>0</v>
      </c>
      <c r="AB28" s="3">
        <f t="shared" si="15"/>
        <v>0.2</v>
      </c>
      <c r="AC28" s="3">
        <f t="shared" si="16"/>
        <v>0.8</v>
      </c>
      <c r="AD28" s="3">
        <f t="shared" si="17"/>
        <v>0.16000000000000003</v>
      </c>
      <c r="AE28" s="33"/>
    </row>
    <row r="29" spans="1:31" ht="56" x14ac:dyDescent="0.3">
      <c r="A29" s="53" t="s">
        <v>144</v>
      </c>
      <c r="B29" s="25">
        <v>1</v>
      </c>
      <c r="C29" s="25">
        <v>1</v>
      </c>
      <c r="D29" s="25">
        <v>1</v>
      </c>
      <c r="E29" s="25">
        <v>1</v>
      </c>
      <c r="F29" s="25">
        <v>1</v>
      </c>
      <c r="G29" s="25">
        <v>1</v>
      </c>
      <c r="H29" s="25">
        <v>0</v>
      </c>
      <c r="I29" s="25">
        <v>0</v>
      </c>
      <c r="J29" s="25">
        <v>0</v>
      </c>
      <c r="K29" s="25">
        <v>0</v>
      </c>
      <c r="L29" s="3">
        <f t="shared" si="0"/>
        <v>0.6</v>
      </c>
      <c r="M29" s="26" t="str">
        <f t="shared" si="1"/>
        <v>sedang</v>
      </c>
      <c r="N29" s="3">
        <f t="shared" si="2"/>
        <v>0.5</v>
      </c>
      <c r="O29" s="26" t="str">
        <f t="shared" si="3"/>
        <v>soal diterima baik</v>
      </c>
      <c r="P29" s="33"/>
      <c r="Q29" s="26">
        <v>24</v>
      </c>
      <c r="R29" s="25">
        <f t="shared" si="5"/>
        <v>1</v>
      </c>
      <c r="S29" s="25">
        <f t="shared" si="6"/>
        <v>1</v>
      </c>
      <c r="T29" s="25">
        <f t="shared" si="7"/>
        <v>1</v>
      </c>
      <c r="U29" s="25">
        <f t="shared" si="8"/>
        <v>1</v>
      </c>
      <c r="V29" s="25">
        <f t="shared" si="9"/>
        <v>0</v>
      </c>
      <c r="W29" s="25">
        <f t="shared" si="10"/>
        <v>0</v>
      </c>
      <c r="X29" s="25">
        <f t="shared" si="11"/>
        <v>0</v>
      </c>
      <c r="Y29" s="25">
        <f t="shared" si="12"/>
        <v>0</v>
      </c>
      <c r="Z29" s="25">
        <f t="shared" si="13"/>
        <v>0</v>
      </c>
      <c r="AA29" s="25">
        <f t="shared" si="14"/>
        <v>0</v>
      </c>
      <c r="AB29" s="3">
        <f t="shared" si="15"/>
        <v>0.4</v>
      </c>
      <c r="AC29" s="3">
        <f t="shared" si="16"/>
        <v>0.6</v>
      </c>
      <c r="AD29" s="3">
        <f t="shared" si="17"/>
        <v>0.24</v>
      </c>
      <c r="AE29" s="33"/>
    </row>
    <row r="30" spans="1:31" ht="56" x14ac:dyDescent="0.3">
      <c r="A30" s="54" t="s">
        <v>145</v>
      </c>
      <c r="B30" s="25">
        <v>1</v>
      </c>
      <c r="C30" s="25">
        <v>1</v>
      </c>
      <c r="D30" s="25">
        <v>1</v>
      </c>
      <c r="E30" s="25">
        <v>1</v>
      </c>
      <c r="F30" s="25">
        <v>0</v>
      </c>
      <c r="G30" s="25">
        <v>0</v>
      </c>
      <c r="H30" s="25">
        <v>0</v>
      </c>
      <c r="I30" s="25">
        <v>0</v>
      </c>
      <c r="J30" s="25">
        <v>0</v>
      </c>
      <c r="K30" s="25">
        <v>0</v>
      </c>
      <c r="L30" s="3">
        <f t="shared" si="0"/>
        <v>0.4</v>
      </c>
      <c r="M30" s="26" t="str">
        <f t="shared" si="1"/>
        <v>sedang</v>
      </c>
      <c r="N30" s="3">
        <f t="shared" si="2"/>
        <v>1</v>
      </c>
      <c r="O30" s="26" t="str">
        <f t="shared" si="3"/>
        <v>soal diterima baik</v>
      </c>
      <c r="P30" s="33"/>
      <c r="Q30" s="26">
        <v>25</v>
      </c>
      <c r="R30" s="25">
        <f t="shared" si="5"/>
        <v>1</v>
      </c>
      <c r="S30" s="25">
        <f t="shared" si="6"/>
        <v>1</v>
      </c>
      <c r="T30" s="25">
        <f t="shared" si="7"/>
        <v>1</v>
      </c>
      <c r="U30" s="25">
        <f t="shared" si="8"/>
        <v>1</v>
      </c>
      <c r="V30" s="25">
        <f t="shared" si="9"/>
        <v>1</v>
      </c>
      <c r="W30" s="25">
        <f t="shared" si="10"/>
        <v>1</v>
      </c>
      <c r="X30" s="25">
        <f t="shared" si="11"/>
        <v>0</v>
      </c>
      <c r="Y30" s="25">
        <f t="shared" si="12"/>
        <v>0</v>
      </c>
      <c r="Z30" s="25">
        <f t="shared" si="13"/>
        <v>0</v>
      </c>
      <c r="AA30" s="25">
        <f t="shared" si="14"/>
        <v>0</v>
      </c>
      <c r="AB30" s="3">
        <f t="shared" si="15"/>
        <v>0.6</v>
      </c>
      <c r="AC30" s="3">
        <f t="shared" si="16"/>
        <v>0.4</v>
      </c>
      <c r="AD30" s="3">
        <f t="shared" si="17"/>
        <v>0.24</v>
      </c>
      <c r="AE30" s="33"/>
    </row>
    <row r="31" spans="1:31" ht="98" x14ac:dyDescent="0.3">
      <c r="A31" s="52" t="s">
        <v>146</v>
      </c>
      <c r="B31" s="25">
        <v>1</v>
      </c>
      <c r="C31" s="25">
        <v>1</v>
      </c>
      <c r="D31" s="25">
        <v>1</v>
      </c>
      <c r="E31" s="25">
        <v>1</v>
      </c>
      <c r="F31" s="25">
        <v>0</v>
      </c>
      <c r="G31" s="25">
        <v>0</v>
      </c>
      <c r="H31" s="25">
        <v>0</v>
      </c>
      <c r="I31" s="25">
        <v>0</v>
      </c>
      <c r="J31" s="25">
        <v>0</v>
      </c>
      <c r="K31" s="25">
        <v>0</v>
      </c>
      <c r="L31" s="3">
        <f t="shared" si="0"/>
        <v>0.4</v>
      </c>
      <c r="M31" s="26" t="str">
        <f t="shared" si="1"/>
        <v>sedang</v>
      </c>
      <c r="N31" s="3">
        <f t="shared" si="2"/>
        <v>1</v>
      </c>
      <c r="O31" s="26" t="str">
        <f t="shared" si="3"/>
        <v>soal diterima baik</v>
      </c>
      <c r="P31" s="33"/>
      <c r="Q31" s="26">
        <v>26</v>
      </c>
      <c r="R31" s="25">
        <f t="shared" si="5"/>
        <v>1</v>
      </c>
      <c r="S31" s="25">
        <f t="shared" si="6"/>
        <v>1</v>
      </c>
      <c r="T31" s="25">
        <f t="shared" si="7"/>
        <v>1</v>
      </c>
      <c r="U31" s="25">
        <f t="shared" si="8"/>
        <v>1</v>
      </c>
      <c r="V31" s="25">
        <f t="shared" si="9"/>
        <v>0</v>
      </c>
      <c r="W31" s="25">
        <f t="shared" si="10"/>
        <v>0</v>
      </c>
      <c r="X31" s="25">
        <f t="shared" si="11"/>
        <v>0</v>
      </c>
      <c r="Y31" s="25">
        <f t="shared" si="12"/>
        <v>0</v>
      </c>
      <c r="Z31" s="25">
        <f t="shared" si="13"/>
        <v>0</v>
      </c>
      <c r="AA31" s="25">
        <f t="shared" si="14"/>
        <v>0</v>
      </c>
      <c r="AB31" s="3">
        <f t="shared" si="15"/>
        <v>0.4</v>
      </c>
      <c r="AC31" s="3">
        <f t="shared" si="16"/>
        <v>0.6</v>
      </c>
      <c r="AD31" s="3">
        <f t="shared" si="17"/>
        <v>0.24</v>
      </c>
      <c r="AE31" s="33"/>
    </row>
    <row r="32" spans="1:31" ht="84" x14ac:dyDescent="0.3">
      <c r="A32" s="54" t="s">
        <v>147</v>
      </c>
      <c r="B32" s="25">
        <v>1</v>
      </c>
      <c r="C32" s="25">
        <v>1</v>
      </c>
      <c r="D32" s="25">
        <v>1</v>
      </c>
      <c r="E32" s="25">
        <v>1</v>
      </c>
      <c r="F32" s="25">
        <v>0</v>
      </c>
      <c r="G32" s="25">
        <v>0</v>
      </c>
      <c r="H32" s="25">
        <v>0</v>
      </c>
      <c r="I32" s="25">
        <v>0</v>
      </c>
      <c r="J32" s="25">
        <v>1</v>
      </c>
      <c r="K32" s="25">
        <v>1</v>
      </c>
      <c r="L32" s="3">
        <f t="shared" si="0"/>
        <v>0.6</v>
      </c>
      <c r="M32" s="26" t="str">
        <f t="shared" si="1"/>
        <v>sedang</v>
      </c>
      <c r="N32" s="3">
        <f t="shared" si="2"/>
        <v>1</v>
      </c>
      <c r="O32" s="26" t="str">
        <f t="shared" si="3"/>
        <v>soal diterima baik</v>
      </c>
      <c r="P32" s="33"/>
      <c r="Q32" s="26">
        <v>27</v>
      </c>
      <c r="R32" s="25">
        <f t="shared" si="5"/>
        <v>1</v>
      </c>
      <c r="S32" s="25">
        <f t="shared" si="6"/>
        <v>1</v>
      </c>
      <c r="T32" s="25">
        <f t="shared" si="7"/>
        <v>1</v>
      </c>
      <c r="U32" s="25">
        <f t="shared" si="8"/>
        <v>1</v>
      </c>
      <c r="V32" s="25">
        <f t="shared" si="9"/>
        <v>0</v>
      </c>
      <c r="W32" s="25">
        <f t="shared" si="10"/>
        <v>0</v>
      </c>
      <c r="X32" s="25">
        <f t="shared" si="11"/>
        <v>0</v>
      </c>
      <c r="Y32" s="25">
        <f t="shared" si="12"/>
        <v>0</v>
      </c>
      <c r="Z32" s="25">
        <f t="shared" si="13"/>
        <v>0</v>
      </c>
      <c r="AA32" s="25">
        <f t="shared" si="14"/>
        <v>0</v>
      </c>
      <c r="AB32" s="3">
        <f t="shared" si="15"/>
        <v>0.4</v>
      </c>
      <c r="AC32" s="3">
        <f t="shared" si="16"/>
        <v>0.6</v>
      </c>
      <c r="AD32" s="3">
        <f t="shared" si="17"/>
        <v>0.24</v>
      </c>
      <c r="AE32" s="33"/>
    </row>
    <row r="33" spans="1:31" ht="98" x14ac:dyDescent="0.3">
      <c r="A33" s="52" t="s">
        <v>148</v>
      </c>
      <c r="B33" s="25">
        <v>1</v>
      </c>
      <c r="C33" s="25">
        <v>1</v>
      </c>
      <c r="D33" s="25">
        <v>1</v>
      </c>
      <c r="E33" s="25">
        <v>1</v>
      </c>
      <c r="F33" s="25">
        <v>0</v>
      </c>
      <c r="G33" s="25">
        <v>0</v>
      </c>
      <c r="H33" s="25">
        <v>0</v>
      </c>
      <c r="I33" s="25">
        <v>0</v>
      </c>
      <c r="J33" s="25">
        <v>0</v>
      </c>
      <c r="K33" s="25">
        <v>0</v>
      </c>
      <c r="L33" s="3">
        <f t="shared" si="0"/>
        <v>0.4</v>
      </c>
      <c r="M33" s="26" t="str">
        <f t="shared" si="1"/>
        <v>sedang</v>
      </c>
      <c r="N33" s="3">
        <f t="shared" si="2"/>
        <v>1</v>
      </c>
      <c r="O33" s="26" t="str">
        <f t="shared" si="3"/>
        <v>soal diterima baik</v>
      </c>
      <c r="P33" s="33"/>
      <c r="Q33" s="26">
        <v>28</v>
      </c>
      <c r="R33" s="25">
        <f t="shared" si="5"/>
        <v>1</v>
      </c>
      <c r="S33" s="25">
        <f t="shared" si="6"/>
        <v>1</v>
      </c>
      <c r="T33" s="25">
        <f t="shared" si="7"/>
        <v>1</v>
      </c>
      <c r="U33" s="25">
        <f t="shared" si="8"/>
        <v>1</v>
      </c>
      <c r="V33" s="25">
        <f t="shared" si="9"/>
        <v>0</v>
      </c>
      <c r="W33" s="25">
        <f t="shared" si="10"/>
        <v>0</v>
      </c>
      <c r="X33" s="25">
        <f t="shared" si="11"/>
        <v>0</v>
      </c>
      <c r="Y33" s="25">
        <f t="shared" si="12"/>
        <v>0</v>
      </c>
      <c r="Z33" s="25">
        <f t="shared" si="13"/>
        <v>1</v>
      </c>
      <c r="AA33" s="25">
        <f t="shared" si="14"/>
        <v>1</v>
      </c>
      <c r="AB33" s="3">
        <f t="shared" si="15"/>
        <v>0.6</v>
      </c>
      <c r="AC33" s="3">
        <f t="shared" si="16"/>
        <v>0.4</v>
      </c>
      <c r="AD33" s="3">
        <f t="shared" si="17"/>
        <v>0.24</v>
      </c>
      <c r="AE33" s="33"/>
    </row>
    <row r="34" spans="1:31" x14ac:dyDescent="0.3">
      <c r="A34" s="52" t="s">
        <v>149</v>
      </c>
      <c r="B34" s="25">
        <v>1</v>
      </c>
      <c r="C34" s="25">
        <v>1</v>
      </c>
      <c r="D34" s="25">
        <v>1</v>
      </c>
      <c r="E34" s="25">
        <v>1</v>
      </c>
      <c r="F34" s="25">
        <v>0</v>
      </c>
      <c r="G34" s="25">
        <v>0</v>
      </c>
      <c r="H34" s="25">
        <v>0</v>
      </c>
      <c r="I34" s="25">
        <v>0</v>
      </c>
      <c r="J34" s="25">
        <v>0</v>
      </c>
      <c r="K34" s="25">
        <v>0</v>
      </c>
      <c r="L34" s="3">
        <f t="shared" si="0"/>
        <v>0.4</v>
      </c>
      <c r="M34" s="26" t="str">
        <f t="shared" si="1"/>
        <v>sedang</v>
      </c>
      <c r="N34" s="3">
        <f t="shared" si="2"/>
        <v>1</v>
      </c>
      <c r="O34" s="26" t="str">
        <f t="shared" si="3"/>
        <v>soal diterima baik</v>
      </c>
      <c r="P34" s="33"/>
      <c r="Q34" s="26">
        <v>29</v>
      </c>
      <c r="R34" s="25">
        <f t="shared" si="5"/>
        <v>1</v>
      </c>
      <c r="S34" s="25">
        <f t="shared" si="6"/>
        <v>1</v>
      </c>
      <c r="T34" s="25">
        <f t="shared" si="7"/>
        <v>1</v>
      </c>
      <c r="U34" s="25">
        <f t="shared" si="8"/>
        <v>1</v>
      </c>
      <c r="V34" s="25">
        <f t="shared" si="9"/>
        <v>0</v>
      </c>
      <c r="W34" s="25">
        <f t="shared" si="10"/>
        <v>0</v>
      </c>
      <c r="X34" s="25">
        <f t="shared" si="11"/>
        <v>0</v>
      </c>
      <c r="Y34" s="25">
        <f t="shared" si="12"/>
        <v>0</v>
      </c>
      <c r="Z34" s="25">
        <f t="shared" si="13"/>
        <v>0</v>
      </c>
      <c r="AA34" s="25">
        <f t="shared" si="14"/>
        <v>0</v>
      </c>
      <c r="AB34" s="3">
        <f t="shared" si="15"/>
        <v>0.4</v>
      </c>
      <c r="AC34" s="3">
        <f t="shared" si="16"/>
        <v>0.6</v>
      </c>
      <c r="AD34" s="3">
        <f t="shared" si="17"/>
        <v>0.24</v>
      </c>
      <c r="AE34" s="33"/>
    </row>
    <row r="35" spans="1:31" ht="42" x14ac:dyDescent="0.3">
      <c r="A35" s="53" t="s">
        <v>150</v>
      </c>
      <c r="B35" s="25">
        <v>1</v>
      </c>
      <c r="C35" s="25">
        <v>1</v>
      </c>
      <c r="D35" s="25">
        <v>1</v>
      </c>
      <c r="E35" s="25">
        <v>1</v>
      </c>
      <c r="F35" s="25">
        <v>0</v>
      </c>
      <c r="G35" s="25">
        <v>0</v>
      </c>
      <c r="H35" s="25">
        <v>0</v>
      </c>
      <c r="I35" s="25">
        <v>0</v>
      </c>
      <c r="J35" s="25">
        <v>1</v>
      </c>
      <c r="K35" s="25">
        <v>1</v>
      </c>
      <c r="L35" s="3">
        <f t="shared" si="0"/>
        <v>0.6</v>
      </c>
      <c r="M35" s="26" t="str">
        <f t="shared" si="1"/>
        <v>sedang</v>
      </c>
      <c r="N35" s="3">
        <f t="shared" si="2"/>
        <v>1</v>
      </c>
      <c r="O35" s="26" t="str">
        <f t="shared" si="3"/>
        <v>soal diterima baik</v>
      </c>
      <c r="P35" s="33"/>
      <c r="Q35" s="26">
        <v>30</v>
      </c>
      <c r="R35" s="25">
        <f t="shared" si="5"/>
        <v>1</v>
      </c>
      <c r="S35" s="25">
        <f t="shared" si="6"/>
        <v>1</v>
      </c>
      <c r="T35" s="25">
        <f t="shared" si="7"/>
        <v>1</v>
      </c>
      <c r="U35" s="25">
        <f t="shared" si="8"/>
        <v>1</v>
      </c>
      <c r="V35" s="25">
        <f t="shared" si="9"/>
        <v>0</v>
      </c>
      <c r="W35" s="25">
        <f t="shared" si="10"/>
        <v>0</v>
      </c>
      <c r="X35" s="25">
        <f t="shared" si="11"/>
        <v>0</v>
      </c>
      <c r="Y35" s="25">
        <f t="shared" si="12"/>
        <v>0</v>
      </c>
      <c r="Z35" s="25">
        <f t="shared" si="13"/>
        <v>0</v>
      </c>
      <c r="AA35" s="25">
        <f t="shared" si="14"/>
        <v>0</v>
      </c>
      <c r="AB35" s="3">
        <f t="shared" si="15"/>
        <v>0.4</v>
      </c>
      <c r="AC35" s="3">
        <f t="shared" si="16"/>
        <v>0.6</v>
      </c>
      <c r="AD35" s="3">
        <f t="shared" si="17"/>
        <v>0.24</v>
      </c>
      <c r="AE35" s="33"/>
    </row>
    <row r="36" spans="1:31" ht="42" x14ac:dyDescent="0.3">
      <c r="A36" s="52" t="s">
        <v>151</v>
      </c>
      <c r="B36" s="25">
        <v>1</v>
      </c>
      <c r="C36" s="25">
        <v>1</v>
      </c>
      <c r="D36" s="25">
        <v>1</v>
      </c>
      <c r="E36" s="25">
        <v>1</v>
      </c>
      <c r="F36" s="25">
        <v>0</v>
      </c>
      <c r="G36" s="25">
        <v>0</v>
      </c>
      <c r="H36" s="25">
        <v>0</v>
      </c>
      <c r="I36" s="25">
        <v>0</v>
      </c>
      <c r="J36" s="25">
        <v>0</v>
      </c>
      <c r="K36" s="25">
        <v>0</v>
      </c>
      <c r="L36" s="3">
        <f t="shared" si="0"/>
        <v>0.4</v>
      </c>
      <c r="M36" s="26" t="str">
        <f t="shared" si="1"/>
        <v>sedang</v>
      </c>
      <c r="N36" s="3">
        <f t="shared" si="2"/>
        <v>1</v>
      </c>
      <c r="O36" s="26" t="str">
        <f t="shared" si="3"/>
        <v>soal diterima baik</v>
      </c>
      <c r="P36" s="33"/>
      <c r="Q36" s="26">
        <v>31</v>
      </c>
      <c r="R36" s="25">
        <f t="shared" si="5"/>
        <v>1</v>
      </c>
      <c r="S36" s="25">
        <f t="shared" si="6"/>
        <v>1</v>
      </c>
      <c r="T36" s="25">
        <f t="shared" si="7"/>
        <v>1</v>
      </c>
      <c r="U36" s="25">
        <f t="shared" si="8"/>
        <v>1</v>
      </c>
      <c r="V36" s="25">
        <f t="shared" si="9"/>
        <v>0</v>
      </c>
      <c r="W36" s="25">
        <f t="shared" si="10"/>
        <v>0</v>
      </c>
      <c r="X36" s="25">
        <f t="shared" si="11"/>
        <v>0</v>
      </c>
      <c r="Y36" s="25">
        <f t="shared" si="12"/>
        <v>0</v>
      </c>
      <c r="Z36" s="25">
        <f t="shared" si="13"/>
        <v>1</v>
      </c>
      <c r="AA36" s="25">
        <f t="shared" si="14"/>
        <v>1</v>
      </c>
      <c r="AB36" s="3">
        <f t="shared" si="15"/>
        <v>0.6</v>
      </c>
      <c r="AC36" s="3">
        <f t="shared" si="16"/>
        <v>0.4</v>
      </c>
      <c r="AD36" s="3">
        <f t="shared" si="17"/>
        <v>0.24</v>
      </c>
      <c r="AE36" s="33"/>
    </row>
    <row r="37" spans="1:31" ht="28" x14ac:dyDescent="0.3">
      <c r="A37" s="54" t="s">
        <v>152</v>
      </c>
      <c r="B37" s="25">
        <v>1</v>
      </c>
      <c r="C37" s="25">
        <v>1</v>
      </c>
      <c r="D37" s="25">
        <v>1</v>
      </c>
      <c r="E37" s="25">
        <v>1</v>
      </c>
      <c r="F37" s="25">
        <v>1</v>
      </c>
      <c r="G37" s="25">
        <v>1</v>
      </c>
      <c r="H37" s="25">
        <v>0</v>
      </c>
      <c r="I37" s="25">
        <v>0</v>
      </c>
      <c r="J37" s="25">
        <v>0</v>
      </c>
      <c r="K37" s="25">
        <v>0</v>
      </c>
      <c r="L37" s="3">
        <f t="shared" si="0"/>
        <v>0.6</v>
      </c>
      <c r="M37" s="26" t="str">
        <f t="shared" si="1"/>
        <v>sedang</v>
      </c>
      <c r="N37" s="3">
        <f t="shared" si="2"/>
        <v>0.5</v>
      </c>
      <c r="O37" s="26" t="str">
        <f t="shared" si="3"/>
        <v>soal diterima baik</v>
      </c>
      <c r="P37" s="33"/>
      <c r="Q37" s="26">
        <v>32</v>
      </c>
      <c r="R37" s="25">
        <f t="shared" si="5"/>
        <v>1</v>
      </c>
      <c r="S37" s="25">
        <f t="shared" si="6"/>
        <v>1</v>
      </c>
      <c r="T37" s="25">
        <f t="shared" si="7"/>
        <v>1</v>
      </c>
      <c r="U37" s="25">
        <f t="shared" si="8"/>
        <v>1</v>
      </c>
      <c r="V37" s="25">
        <f t="shared" si="9"/>
        <v>0</v>
      </c>
      <c r="W37" s="25">
        <f t="shared" si="10"/>
        <v>0</v>
      </c>
      <c r="X37" s="25">
        <f t="shared" si="11"/>
        <v>0</v>
      </c>
      <c r="Y37" s="25">
        <f t="shared" si="12"/>
        <v>0</v>
      </c>
      <c r="Z37" s="25">
        <f t="shared" si="13"/>
        <v>0</v>
      </c>
      <c r="AA37" s="25">
        <f t="shared" si="14"/>
        <v>0</v>
      </c>
      <c r="AB37" s="3">
        <f t="shared" si="15"/>
        <v>0.4</v>
      </c>
      <c r="AC37" s="3">
        <f t="shared" si="16"/>
        <v>0.6</v>
      </c>
      <c r="AD37" s="3">
        <f t="shared" si="17"/>
        <v>0.24</v>
      </c>
      <c r="AE37" s="33"/>
    </row>
    <row r="38" spans="1:31" ht="28" x14ac:dyDescent="0.3">
      <c r="A38" s="54" t="s">
        <v>153</v>
      </c>
      <c r="B38" s="25">
        <v>0</v>
      </c>
      <c r="C38" s="25">
        <v>0</v>
      </c>
      <c r="D38" s="25">
        <v>0</v>
      </c>
      <c r="E38" s="25">
        <v>0</v>
      </c>
      <c r="F38" s="25">
        <v>1</v>
      </c>
      <c r="G38" s="25">
        <v>1</v>
      </c>
      <c r="H38" s="25">
        <v>0</v>
      </c>
      <c r="I38" s="25">
        <v>0</v>
      </c>
      <c r="J38" s="25">
        <v>0</v>
      </c>
      <c r="K38" s="25">
        <v>0</v>
      </c>
      <c r="L38" s="3">
        <f t="shared" si="0"/>
        <v>0.2</v>
      </c>
      <c r="M38" s="26" t="str">
        <f t="shared" si="1"/>
        <v>sukar</v>
      </c>
      <c r="N38" s="3">
        <f t="shared" si="2"/>
        <v>0.5</v>
      </c>
      <c r="O38" s="26" t="str">
        <f t="shared" si="3"/>
        <v>soal diterima baik</v>
      </c>
      <c r="P38" s="33"/>
      <c r="Q38" s="26">
        <v>33</v>
      </c>
      <c r="R38" s="25">
        <f t="shared" si="5"/>
        <v>1</v>
      </c>
      <c r="S38" s="25">
        <f t="shared" si="6"/>
        <v>1</v>
      </c>
      <c r="T38" s="25">
        <f t="shared" si="7"/>
        <v>1</v>
      </c>
      <c r="U38" s="25">
        <f t="shared" si="8"/>
        <v>1</v>
      </c>
      <c r="V38" s="25">
        <f t="shared" si="9"/>
        <v>1</v>
      </c>
      <c r="W38" s="25">
        <f t="shared" si="10"/>
        <v>1</v>
      </c>
      <c r="X38" s="25">
        <f t="shared" si="11"/>
        <v>0</v>
      </c>
      <c r="Y38" s="25">
        <f t="shared" si="12"/>
        <v>0</v>
      </c>
      <c r="Z38" s="25">
        <f t="shared" si="13"/>
        <v>0</v>
      </c>
      <c r="AA38" s="25">
        <f t="shared" si="14"/>
        <v>0</v>
      </c>
      <c r="AB38" s="3">
        <f t="shared" si="15"/>
        <v>0.6</v>
      </c>
      <c r="AC38" s="3">
        <f t="shared" si="16"/>
        <v>0.4</v>
      </c>
      <c r="AD38" s="3">
        <f t="shared" si="17"/>
        <v>0.24</v>
      </c>
      <c r="AE38" s="33"/>
    </row>
    <row r="39" spans="1:31" ht="56" x14ac:dyDescent="0.3">
      <c r="A39" s="54" t="s">
        <v>154</v>
      </c>
      <c r="B39" s="25">
        <v>1</v>
      </c>
      <c r="C39" s="25">
        <v>1</v>
      </c>
      <c r="D39" s="25">
        <v>1</v>
      </c>
      <c r="E39" s="25">
        <v>1</v>
      </c>
      <c r="F39" s="25">
        <v>0</v>
      </c>
      <c r="G39" s="25">
        <v>0</v>
      </c>
      <c r="H39" s="25">
        <v>0</v>
      </c>
      <c r="I39" s="25">
        <v>0</v>
      </c>
      <c r="J39" s="25">
        <v>1</v>
      </c>
      <c r="K39" s="25">
        <v>1</v>
      </c>
      <c r="L39" s="3">
        <f t="shared" si="0"/>
        <v>0.6</v>
      </c>
      <c r="M39" s="26" t="str">
        <f t="shared" si="1"/>
        <v>sedang</v>
      </c>
      <c r="N39" s="3">
        <f t="shared" si="2"/>
        <v>1</v>
      </c>
      <c r="O39" s="26" t="str">
        <f t="shared" si="3"/>
        <v>soal diterima baik</v>
      </c>
      <c r="P39" s="33"/>
      <c r="Q39" s="26">
        <v>34</v>
      </c>
      <c r="R39" s="25">
        <f t="shared" si="5"/>
        <v>0</v>
      </c>
      <c r="S39" s="25">
        <f t="shared" si="6"/>
        <v>0</v>
      </c>
      <c r="T39" s="25">
        <f t="shared" si="7"/>
        <v>0</v>
      </c>
      <c r="U39" s="25">
        <f t="shared" si="8"/>
        <v>0</v>
      </c>
      <c r="V39" s="25">
        <f t="shared" si="9"/>
        <v>1</v>
      </c>
      <c r="W39" s="25">
        <f t="shared" si="10"/>
        <v>1</v>
      </c>
      <c r="X39" s="25">
        <f t="shared" si="11"/>
        <v>0</v>
      </c>
      <c r="Y39" s="25">
        <f t="shared" si="12"/>
        <v>0</v>
      </c>
      <c r="Z39" s="25">
        <f t="shared" si="13"/>
        <v>0</v>
      </c>
      <c r="AA39" s="25">
        <f t="shared" si="14"/>
        <v>0</v>
      </c>
      <c r="AB39" s="3">
        <f t="shared" si="15"/>
        <v>0.2</v>
      </c>
      <c r="AC39" s="3">
        <f t="shared" si="16"/>
        <v>0.8</v>
      </c>
      <c r="AD39" s="3">
        <f t="shared" si="17"/>
        <v>0.16000000000000003</v>
      </c>
      <c r="AE39" s="33"/>
    </row>
    <row r="40" spans="1:31" ht="42" x14ac:dyDescent="0.3">
      <c r="A40" s="53" t="s">
        <v>155</v>
      </c>
      <c r="B40" s="25">
        <v>1</v>
      </c>
      <c r="C40" s="25">
        <v>1</v>
      </c>
      <c r="D40" s="25">
        <v>1</v>
      </c>
      <c r="E40" s="25">
        <v>1</v>
      </c>
      <c r="F40" s="25">
        <v>0</v>
      </c>
      <c r="G40" s="25">
        <v>0</v>
      </c>
      <c r="H40" s="25">
        <v>0</v>
      </c>
      <c r="I40" s="25">
        <v>0</v>
      </c>
      <c r="J40" s="25">
        <v>0</v>
      </c>
      <c r="K40" s="25">
        <v>0</v>
      </c>
      <c r="L40" s="3">
        <f t="shared" si="0"/>
        <v>0.4</v>
      </c>
      <c r="M40" s="26" t="str">
        <f t="shared" si="1"/>
        <v>sedang</v>
      </c>
      <c r="N40" s="3">
        <f t="shared" si="2"/>
        <v>1</v>
      </c>
      <c r="O40" s="26" t="str">
        <f t="shared" si="3"/>
        <v>soal diterima baik</v>
      </c>
      <c r="P40" s="33"/>
      <c r="Q40" s="26">
        <v>35</v>
      </c>
      <c r="R40" s="25">
        <f t="shared" si="5"/>
        <v>1</v>
      </c>
      <c r="S40" s="25">
        <f t="shared" si="6"/>
        <v>1</v>
      </c>
      <c r="T40" s="25">
        <f t="shared" si="7"/>
        <v>1</v>
      </c>
      <c r="U40" s="25">
        <f t="shared" si="8"/>
        <v>1</v>
      </c>
      <c r="V40" s="25">
        <f t="shared" si="9"/>
        <v>0</v>
      </c>
      <c r="W40" s="25">
        <f t="shared" si="10"/>
        <v>0</v>
      </c>
      <c r="X40" s="25">
        <f t="shared" si="11"/>
        <v>0</v>
      </c>
      <c r="Y40" s="25">
        <f t="shared" si="12"/>
        <v>0</v>
      </c>
      <c r="Z40" s="25">
        <f t="shared" si="13"/>
        <v>1</v>
      </c>
      <c r="AA40" s="25">
        <f t="shared" si="14"/>
        <v>1</v>
      </c>
      <c r="AB40" s="3">
        <f t="shared" si="15"/>
        <v>0.6</v>
      </c>
      <c r="AC40" s="3">
        <f t="shared" si="16"/>
        <v>0.4</v>
      </c>
      <c r="AD40" s="3">
        <f t="shared" si="17"/>
        <v>0.24</v>
      </c>
      <c r="AE40" s="33"/>
    </row>
    <row r="41" spans="1:31" ht="140" x14ac:dyDescent="0.3">
      <c r="A41" s="53" t="s">
        <v>156</v>
      </c>
      <c r="B41" s="25">
        <v>1</v>
      </c>
      <c r="C41" s="25">
        <v>1</v>
      </c>
      <c r="D41" s="25">
        <v>1</v>
      </c>
      <c r="E41" s="25">
        <v>1</v>
      </c>
      <c r="F41" s="25">
        <v>0</v>
      </c>
      <c r="G41" s="25">
        <v>0</v>
      </c>
      <c r="H41" s="25">
        <v>0</v>
      </c>
      <c r="I41" s="25">
        <v>0</v>
      </c>
      <c r="J41" s="25">
        <v>1</v>
      </c>
      <c r="K41" s="25">
        <v>1</v>
      </c>
      <c r="L41" s="3">
        <f t="shared" si="0"/>
        <v>0.6</v>
      </c>
      <c r="M41" s="26" t="str">
        <f t="shared" si="1"/>
        <v>sedang</v>
      </c>
      <c r="N41" s="3">
        <f t="shared" si="2"/>
        <v>1</v>
      </c>
      <c r="O41" s="26" t="str">
        <f t="shared" si="3"/>
        <v>soal diterima baik</v>
      </c>
      <c r="P41" s="33"/>
      <c r="Q41" s="26">
        <v>36</v>
      </c>
      <c r="R41" s="25">
        <f t="shared" si="5"/>
        <v>1</v>
      </c>
      <c r="S41" s="25">
        <f t="shared" si="6"/>
        <v>1</v>
      </c>
      <c r="T41" s="25">
        <f t="shared" si="7"/>
        <v>1</v>
      </c>
      <c r="U41" s="25">
        <f t="shared" si="8"/>
        <v>1</v>
      </c>
      <c r="V41" s="25">
        <f t="shared" si="9"/>
        <v>0</v>
      </c>
      <c r="W41" s="25">
        <f t="shared" si="10"/>
        <v>0</v>
      </c>
      <c r="X41" s="25">
        <f t="shared" si="11"/>
        <v>0</v>
      </c>
      <c r="Y41" s="25">
        <f t="shared" si="12"/>
        <v>0</v>
      </c>
      <c r="Z41" s="25">
        <f t="shared" si="13"/>
        <v>0</v>
      </c>
      <c r="AA41" s="25">
        <f t="shared" si="14"/>
        <v>0</v>
      </c>
      <c r="AB41" s="3">
        <f t="shared" si="15"/>
        <v>0.4</v>
      </c>
      <c r="AC41" s="3">
        <f t="shared" si="16"/>
        <v>0.6</v>
      </c>
      <c r="AD41" s="3">
        <f t="shared" si="17"/>
        <v>0.24</v>
      </c>
      <c r="AE41" s="33"/>
    </row>
    <row r="42" spans="1:31" ht="42" x14ac:dyDescent="0.3">
      <c r="A42" s="52" t="s">
        <v>157</v>
      </c>
      <c r="B42" s="25">
        <v>1</v>
      </c>
      <c r="C42" s="25">
        <v>1</v>
      </c>
      <c r="D42" s="25">
        <v>0</v>
      </c>
      <c r="E42" s="25">
        <v>0</v>
      </c>
      <c r="F42" s="25">
        <v>0</v>
      </c>
      <c r="G42" s="25">
        <v>0</v>
      </c>
      <c r="H42" s="25">
        <v>0</v>
      </c>
      <c r="I42" s="25">
        <v>0</v>
      </c>
      <c r="J42" s="25">
        <v>0</v>
      </c>
      <c r="K42" s="25">
        <v>0</v>
      </c>
      <c r="L42" s="3">
        <f t="shared" si="0"/>
        <v>0.2</v>
      </c>
      <c r="M42" s="26" t="str">
        <f t="shared" si="1"/>
        <v>sukar</v>
      </c>
      <c r="N42" s="3">
        <f t="shared" si="2"/>
        <v>0.5</v>
      </c>
      <c r="O42" s="26" t="str">
        <f t="shared" si="3"/>
        <v>soal diterima baik</v>
      </c>
      <c r="P42" s="33"/>
      <c r="Q42" s="26">
        <v>37</v>
      </c>
      <c r="R42" s="25">
        <f t="shared" si="5"/>
        <v>1</v>
      </c>
      <c r="S42" s="25">
        <f t="shared" si="6"/>
        <v>1</v>
      </c>
      <c r="T42" s="25">
        <f t="shared" si="7"/>
        <v>1</v>
      </c>
      <c r="U42" s="25">
        <f t="shared" si="8"/>
        <v>1</v>
      </c>
      <c r="V42" s="25">
        <f t="shared" si="9"/>
        <v>0</v>
      </c>
      <c r="W42" s="25">
        <f t="shared" si="10"/>
        <v>0</v>
      </c>
      <c r="X42" s="25">
        <f t="shared" si="11"/>
        <v>0</v>
      </c>
      <c r="Y42" s="25">
        <f t="shared" si="12"/>
        <v>0</v>
      </c>
      <c r="Z42" s="25">
        <f t="shared" si="13"/>
        <v>1</v>
      </c>
      <c r="AA42" s="25">
        <f t="shared" si="14"/>
        <v>1</v>
      </c>
      <c r="AB42" s="3">
        <f t="shared" si="15"/>
        <v>0.6</v>
      </c>
      <c r="AC42" s="3">
        <f t="shared" si="16"/>
        <v>0.4</v>
      </c>
      <c r="AD42" s="3">
        <f t="shared" si="17"/>
        <v>0.24</v>
      </c>
      <c r="AE42" s="33"/>
    </row>
    <row r="43" spans="1:31" ht="28" x14ac:dyDescent="0.3">
      <c r="A43" s="52" t="s">
        <v>158</v>
      </c>
      <c r="B43" s="25">
        <v>1</v>
      </c>
      <c r="C43" s="25">
        <v>1</v>
      </c>
      <c r="D43" s="25">
        <v>1</v>
      </c>
      <c r="E43" s="25">
        <v>1</v>
      </c>
      <c r="F43" s="25">
        <v>0</v>
      </c>
      <c r="G43" s="25">
        <v>0</v>
      </c>
      <c r="H43" s="25">
        <v>0</v>
      </c>
      <c r="I43" s="25">
        <v>0</v>
      </c>
      <c r="J43" s="25">
        <v>1</v>
      </c>
      <c r="K43" s="25">
        <v>1</v>
      </c>
      <c r="L43" s="3">
        <f t="shared" si="0"/>
        <v>0.6</v>
      </c>
      <c r="M43" s="26" t="str">
        <f t="shared" si="1"/>
        <v>sedang</v>
      </c>
      <c r="N43" s="3">
        <f t="shared" si="2"/>
        <v>1</v>
      </c>
      <c r="O43" s="26" t="str">
        <f t="shared" si="3"/>
        <v>soal diterima baik</v>
      </c>
      <c r="P43" s="33"/>
      <c r="Q43" s="26">
        <v>38</v>
      </c>
      <c r="R43" s="25">
        <f t="shared" si="5"/>
        <v>1</v>
      </c>
      <c r="S43" s="25">
        <f t="shared" si="6"/>
        <v>1</v>
      </c>
      <c r="T43" s="25">
        <f t="shared" si="7"/>
        <v>0</v>
      </c>
      <c r="U43" s="25">
        <f t="shared" si="8"/>
        <v>0</v>
      </c>
      <c r="V43" s="25">
        <f t="shared" si="9"/>
        <v>0</v>
      </c>
      <c r="W43" s="25">
        <f t="shared" si="10"/>
        <v>0</v>
      </c>
      <c r="X43" s="25">
        <f t="shared" si="11"/>
        <v>0</v>
      </c>
      <c r="Y43" s="25">
        <f t="shared" si="12"/>
        <v>0</v>
      </c>
      <c r="Z43" s="25">
        <f t="shared" si="13"/>
        <v>0</v>
      </c>
      <c r="AA43" s="25">
        <f t="shared" si="14"/>
        <v>0</v>
      </c>
      <c r="AB43" s="3">
        <f t="shared" si="15"/>
        <v>0.2</v>
      </c>
      <c r="AC43" s="3">
        <f t="shared" si="16"/>
        <v>0.8</v>
      </c>
      <c r="AD43" s="3">
        <f t="shared" si="17"/>
        <v>0.16000000000000003</v>
      </c>
      <c r="AE43" s="33"/>
    </row>
    <row r="44" spans="1:31" ht="56" x14ac:dyDescent="0.3">
      <c r="A44" s="53" t="s">
        <v>159</v>
      </c>
      <c r="B44" s="25">
        <v>0</v>
      </c>
      <c r="C44" s="25">
        <v>0</v>
      </c>
      <c r="D44" s="25">
        <v>1</v>
      </c>
      <c r="E44" s="25">
        <v>1</v>
      </c>
      <c r="F44" s="25">
        <v>0</v>
      </c>
      <c r="G44" s="25">
        <v>0</v>
      </c>
      <c r="H44" s="25">
        <v>0</v>
      </c>
      <c r="I44" s="25">
        <v>0</v>
      </c>
      <c r="J44" s="25">
        <v>1</v>
      </c>
      <c r="K44" s="25">
        <v>1</v>
      </c>
      <c r="L44" s="3">
        <f t="shared" si="0"/>
        <v>0.4</v>
      </c>
      <c r="M44" s="26" t="str">
        <f t="shared" si="1"/>
        <v>sedang</v>
      </c>
      <c r="N44" s="3">
        <f t="shared" si="2"/>
        <v>0.5</v>
      </c>
      <c r="O44" s="26" t="str">
        <f t="shared" si="3"/>
        <v>soal diterima baik</v>
      </c>
      <c r="P44" s="33"/>
      <c r="Q44" s="26">
        <v>39</v>
      </c>
      <c r="R44" s="25">
        <f t="shared" si="5"/>
        <v>1</v>
      </c>
      <c r="S44" s="25">
        <f t="shared" si="6"/>
        <v>1</v>
      </c>
      <c r="T44" s="25">
        <f t="shared" si="7"/>
        <v>1</v>
      </c>
      <c r="U44" s="25">
        <f t="shared" si="8"/>
        <v>1</v>
      </c>
      <c r="V44" s="25">
        <f t="shared" si="9"/>
        <v>0</v>
      </c>
      <c r="W44" s="25">
        <f t="shared" si="10"/>
        <v>0</v>
      </c>
      <c r="X44" s="25">
        <f t="shared" si="11"/>
        <v>0</v>
      </c>
      <c r="Y44" s="25">
        <f t="shared" si="12"/>
        <v>0</v>
      </c>
      <c r="Z44" s="25">
        <f t="shared" si="13"/>
        <v>1</v>
      </c>
      <c r="AA44" s="25">
        <f t="shared" si="14"/>
        <v>1</v>
      </c>
      <c r="AB44" s="3">
        <f t="shared" si="15"/>
        <v>0.6</v>
      </c>
      <c r="AC44" s="3">
        <f t="shared" si="16"/>
        <v>0.4</v>
      </c>
      <c r="AD44" s="3">
        <f t="shared" si="17"/>
        <v>0.24</v>
      </c>
      <c r="AE44" s="33"/>
    </row>
    <row r="45" spans="1:31" ht="28" x14ac:dyDescent="0.3">
      <c r="A45" s="53" t="s">
        <v>160</v>
      </c>
      <c r="B45" s="25">
        <v>1</v>
      </c>
      <c r="C45" s="25">
        <v>1</v>
      </c>
      <c r="D45" s="25">
        <v>1</v>
      </c>
      <c r="E45" s="25">
        <v>1</v>
      </c>
      <c r="F45" s="25">
        <v>0</v>
      </c>
      <c r="G45" s="25">
        <v>0</v>
      </c>
      <c r="H45" s="25">
        <v>0</v>
      </c>
      <c r="I45" s="25">
        <v>0</v>
      </c>
      <c r="J45" s="25">
        <v>1</v>
      </c>
      <c r="K45" s="25">
        <v>1</v>
      </c>
      <c r="L45" s="3">
        <f t="shared" si="0"/>
        <v>0.6</v>
      </c>
      <c r="M45" s="26" t="str">
        <f t="shared" si="1"/>
        <v>sedang</v>
      </c>
      <c r="N45" s="3">
        <f t="shared" si="2"/>
        <v>1</v>
      </c>
      <c r="O45" s="26" t="str">
        <f t="shared" si="3"/>
        <v>soal diterima baik</v>
      </c>
      <c r="P45" s="33"/>
      <c r="Q45" s="26">
        <v>40</v>
      </c>
      <c r="R45" s="25">
        <f t="shared" si="5"/>
        <v>0</v>
      </c>
      <c r="S45" s="25">
        <f t="shared" si="6"/>
        <v>0</v>
      </c>
      <c r="T45" s="25">
        <f t="shared" si="7"/>
        <v>1</v>
      </c>
      <c r="U45" s="25">
        <f t="shared" si="8"/>
        <v>1</v>
      </c>
      <c r="V45" s="25">
        <f t="shared" si="9"/>
        <v>0</v>
      </c>
      <c r="W45" s="25">
        <f t="shared" si="10"/>
        <v>0</v>
      </c>
      <c r="X45" s="25">
        <f t="shared" si="11"/>
        <v>0</v>
      </c>
      <c r="Y45" s="25">
        <f t="shared" si="12"/>
        <v>0</v>
      </c>
      <c r="Z45" s="25">
        <f t="shared" si="13"/>
        <v>1</v>
      </c>
      <c r="AA45" s="25">
        <f t="shared" si="14"/>
        <v>1</v>
      </c>
      <c r="AB45" s="3">
        <f t="shared" si="15"/>
        <v>0.4</v>
      </c>
      <c r="AC45" s="3">
        <f t="shared" si="16"/>
        <v>0.6</v>
      </c>
      <c r="AD45" s="3">
        <f t="shared" si="17"/>
        <v>0.24</v>
      </c>
      <c r="AE45" s="33"/>
    </row>
    <row r="46" spans="1:31" ht="42" x14ac:dyDescent="0.3">
      <c r="A46" s="52" t="s">
        <v>161</v>
      </c>
      <c r="B46" s="25">
        <v>1</v>
      </c>
      <c r="C46" s="25">
        <v>1</v>
      </c>
      <c r="D46" s="25">
        <v>1</v>
      </c>
      <c r="E46" s="25">
        <v>1</v>
      </c>
      <c r="F46" s="25">
        <v>0</v>
      </c>
      <c r="G46" s="25">
        <v>0</v>
      </c>
      <c r="H46" s="25">
        <v>0</v>
      </c>
      <c r="I46" s="25">
        <v>0</v>
      </c>
      <c r="J46" s="25">
        <v>0</v>
      </c>
      <c r="K46" s="25">
        <v>0</v>
      </c>
      <c r="L46" s="3">
        <f t="shared" si="0"/>
        <v>0.4</v>
      </c>
      <c r="M46" s="26" t="str">
        <f t="shared" si="1"/>
        <v>sedang</v>
      </c>
      <c r="N46" s="3">
        <f t="shared" si="2"/>
        <v>1</v>
      </c>
      <c r="O46" s="26" t="str">
        <f t="shared" si="3"/>
        <v>soal diterima baik</v>
      </c>
      <c r="P46" s="33"/>
      <c r="Q46" s="26">
        <v>41</v>
      </c>
      <c r="R46" s="25">
        <f t="shared" si="5"/>
        <v>1</v>
      </c>
      <c r="S46" s="25">
        <f t="shared" si="6"/>
        <v>1</v>
      </c>
      <c r="T46" s="25">
        <f t="shared" si="7"/>
        <v>1</v>
      </c>
      <c r="U46" s="25">
        <f t="shared" si="8"/>
        <v>1</v>
      </c>
      <c r="V46" s="25">
        <f t="shared" si="9"/>
        <v>0</v>
      </c>
      <c r="W46" s="25">
        <f t="shared" si="10"/>
        <v>0</v>
      </c>
      <c r="X46" s="25">
        <f t="shared" si="11"/>
        <v>0</v>
      </c>
      <c r="Y46" s="25">
        <f t="shared" si="12"/>
        <v>0</v>
      </c>
      <c r="Z46" s="25">
        <f t="shared" si="13"/>
        <v>1</v>
      </c>
      <c r="AA46" s="25">
        <f t="shared" si="14"/>
        <v>1</v>
      </c>
      <c r="AB46" s="3">
        <f t="shared" si="15"/>
        <v>0.6</v>
      </c>
      <c r="AC46" s="3">
        <f t="shared" si="16"/>
        <v>0.4</v>
      </c>
      <c r="AD46" s="3">
        <f t="shared" si="17"/>
        <v>0.24</v>
      </c>
      <c r="AE46" s="33"/>
    </row>
    <row r="47" spans="1:31" ht="42" x14ac:dyDescent="0.3">
      <c r="A47" s="53" t="s">
        <v>162</v>
      </c>
      <c r="B47" s="25">
        <v>1</v>
      </c>
      <c r="C47" s="25">
        <v>1</v>
      </c>
      <c r="D47" s="25">
        <v>1</v>
      </c>
      <c r="E47" s="25">
        <v>1</v>
      </c>
      <c r="F47" s="25">
        <v>0</v>
      </c>
      <c r="G47" s="25">
        <v>0</v>
      </c>
      <c r="H47" s="25">
        <v>0</v>
      </c>
      <c r="I47" s="25">
        <v>0</v>
      </c>
      <c r="J47" s="25">
        <v>0</v>
      </c>
      <c r="K47" s="25">
        <v>0</v>
      </c>
      <c r="L47" s="3">
        <f t="shared" si="0"/>
        <v>0.4</v>
      </c>
      <c r="M47" s="26" t="str">
        <f t="shared" si="1"/>
        <v>sedang</v>
      </c>
      <c r="N47" s="3">
        <f t="shared" si="2"/>
        <v>1</v>
      </c>
      <c r="O47" s="26" t="str">
        <f t="shared" si="3"/>
        <v>soal diterima baik</v>
      </c>
      <c r="P47" s="33"/>
      <c r="Q47" s="26">
        <v>42</v>
      </c>
      <c r="R47" s="25">
        <f t="shared" si="5"/>
        <v>1</v>
      </c>
      <c r="S47" s="25">
        <f t="shared" si="6"/>
        <v>1</v>
      </c>
      <c r="T47" s="25">
        <f t="shared" si="7"/>
        <v>1</v>
      </c>
      <c r="U47" s="25">
        <f t="shared" si="8"/>
        <v>1</v>
      </c>
      <c r="V47" s="25">
        <f t="shared" si="9"/>
        <v>0</v>
      </c>
      <c r="W47" s="25">
        <f t="shared" si="10"/>
        <v>0</v>
      </c>
      <c r="X47" s="25">
        <f t="shared" si="11"/>
        <v>0</v>
      </c>
      <c r="Y47" s="25">
        <f t="shared" si="12"/>
        <v>0</v>
      </c>
      <c r="Z47" s="25">
        <f t="shared" si="13"/>
        <v>0</v>
      </c>
      <c r="AA47" s="25">
        <f t="shared" si="14"/>
        <v>0</v>
      </c>
      <c r="AB47" s="3">
        <f t="shared" si="15"/>
        <v>0.4</v>
      </c>
      <c r="AC47" s="3">
        <f t="shared" si="16"/>
        <v>0.6</v>
      </c>
      <c r="AD47" s="3">
        <f t="shared" si="17"/>
        <v>0.24</v>
      </c>
      <c r="AE47" s="33"/>
    </row>
    <row r="48" spans="1:31" ht="28" x14ac:dyDescent="0.3">
      <c r="A48" s="53" t="s">
        <v>163</v>
      </c>
      <c r="B48" s="25">
        <v>1</v>
      </c>
      <c r="C48" s="25">
        <v>1</v>
      </c>
      <c r="D48" s="25">
        <v>1</v>
      </c>
      <c r="E48" s="25">
        <v>1</v>
      </c>
      <c r="F48" s="25">
        <v>0</v>
      </c>
      <c r="G48" s="25">
        <v>0</v>
      </c>
      <c r="H48" s="25">
        <v>1</v>
      </c>
      <c r="I48" s="25">
        <v>1</v>
      </c>
      <c r="J48" s="25">
        <v>0</v>
      </c>
      <c r="K48" s="25">
        <v>0</v>
      </c>
      <c r="L48" s="3">
        <f t="shared" si="0"/>
        <v>0.6</v>
      </c>
      <c r="M48" s="26" t="str">
        <f t="shared" si="1"/>
        <v>sedang</v>
      </c>
      <c r="N48" s="3">
        <f t="shared" si="2"/>
        <v>0.5</v>
      </c>
      <c r="O48" s="26" t="str">
        <f t="shared" si="3"/>
        <v>soal diterima baik</v>
      </c>
      <c r="P48" s="33"/>
      <c r="Q48" s="26">
        <v>43</v>
      </c>
      <c r="R48" s="25">
        <f t="shared" si="5"/>
        <v>1</v>
      </c>
      <c r="S48" s="25">
        <f t="shared" si="6"/>
        <v>1</v>
      </c>
      <c r="T48" s="25">
        <f t="shared" si="7"/>
        <v>1</v>
      </c>
      <c r="U48" s="25">
        <f t="shared" si="8"/>
        <v>1</v>
      </c>
      <c r="V48" s="25">
        <f t="shared" si="9"/>
        <v>0</v>
      </c>
      <c r="W48" s="25">
        <f t="shared" si="10"/>
        <v>0</v>
      </c>
      <c r="X48" s="25">
        <f t="shared" si="11"/>
        <v>0</v>
      </c>
      <c r="Y48" s="25">
        <f t="shared" si="12"/>
        <v>0</v>
      </c>
      <c r="Z48" s="25">
        <f t="shared" si="13"/>
        <v>0</v>
      </c>
      <c r="AA48" s="25">
        <f t="shared" si="14"/>
        <v>0</v>
      </c>
      <c r="AB48" s="3">
        <f t="shared" si="15"/>
        <v>0.4</v>
      </c>
      <c r="AC48" s="3">
        <f t="shared" si="16"/>
        <v>0.6</v>
      </c>
      <c r="AD48" s="3">
        <f t="shared" si="17"/>
        <v>0.24</v>
      </c>
      <c r="AE48" s="33"/>
    </row>
    <row r="49" spans="1:31" ht="42" x14ac:dyDescent="0.3">
      <c r="A49" s="54" t="s">
        <v>164</v>
      </c>
      <c r="B49" s="25">
        <v>0</v>
      </c>
      <c r="C49" s="25">
        <v>0</v>
      </c>
      <c r="D49" s="25">
        <v>1</v>
      </c>
      <c r="E49" s="25">
        <v>1</v>
      </c>
      <c r="F49" s="25">
        <v>0</v>
      </c>
      <c r="G49" s="25">
        <v>0</v>
      </c>
      <c r="H49" s="25">
        <v>0</v>
      </c>
      <c r="I49" s="25">
        <v>0</v>
      </c>
      <c r="J49" s="25">
        <v>0</v>
      </c>
      <c r="K49" s="25">
        <v>0</v>
      </c>
      <c r="L49" s="3">
        <f t="shared" si="0"/>
        <v>0.2</v>
      </c>
      <c r="M49" s="26" t="str">
        <f t="shared" si="1"/>
        <v>sukar</v>
      </c>
      <c r="N49" s="3">
        <f t="shared" si="2"/>
        <v>0.5</v>
      </c>
      <c r="O49" s="26" t="str">
        <f t="shared" si="3"/>
        <v>soal diterima baik</v>
      </c>
      <c r="P49" s="33"/>
      <c r="Q49" s="26">
        <v>44</v>
      </c>
      <c r="R49" s="25">
        <f t="shared" si="5"/>
        <v>1</v>
      </c>
      <c r="S49" s="25">
        <f t="shared" si="6"/>
        <v>1</v>
      </c>
      <c r="T49" s="25">
        <f t="shared" si="7"/>
        <v>1</v>
      </c>
      <c r="U49" s="25">
        <f t="shared" si="8"/>
        <v>1</v>
      </c>
      <c r="V49" s="25">
        <f t="shared" si="9"/>
        <v>0</v>
      </c>
      <c r="W49" s="25">
        <f t="shared" si="10"/>
        <v>0</v>
      </c>
      <c r="X49" s="25">
        <f t="shared" si="11"/>
        <v>1</v>
      </c>
      <c r="Y49" s="25">
        <f t="shared" si="12"/>
        <v>1</v>
      </c>
      <c r="Z49" s="25">
        <f t="shared" si="13"/>
        <v>0</v>
      </c>
      <c r="AA49" s="25">
        <f t="shared" si="14"/>
        <v>0</v>
      </c>
      <c r="AB49" s="3">
        <f t="shared" si="15"/>
        <v>0.6</v>
      </c>
      <c r="AC49" s="3">
        <f t="shared" si="16"/>
        <v>0.4</v>
      </c>
      <c r="AD49" s="3">
        <f t="shared" si="17"/>
        <v>0.24</v>
      </c>
      <c r="AE49" s="33"/>
    </row>
    <row r="50" spans="1:31" ht="42" x14ac:dyDescent="0.3">
      <c r="A50" s="54" t="s">
        <v>165</v>
      </c>
      <c r="B50" s="25">
        <v>1</v>
      </c>
      <c r="C50" s="25">
        <v>1</v>
      </c>
      <c r="D50" s="25">
        <v>1</v>
      </c>
      <c r="E50" s="25">
        <v>1</v>
      </c>
      <c r="F50" s="25">
        <v>0</v>
      </c>
      <c r="G50" s="25">
        <v>0</v>
      </c>
      <c r="H50" s="25">
        <v>0</v>
      </c>
      <c r="I50" s="25">
        <v>0</v>
      </c>
      <c r="J50" s="25">
        <v>1</v>
      </c>
      <c r="K50" s="25">
        <v>1</v>
      </c>
      <c r="L50" s="3">
        <f t="shared" si="0"/>
        <v>0.6</v>
      </c>
      <c r="M50" s="26" t="str">
        <f t="shared" si="1"/>
        <v>sedang</v>
      </c>
      <c r="N50" s="3">
        <f t="shared" si="2"/>
        <v>1</v>
      </c>
      <c r="O50" s="26" t="str">
        <f t="shared" si="3"/>
        <v>soal diterima baik</v>
      </c>
      <c r="P50" s="33"/>
      <c r="Q50" s="26">
        <v>45</v>
      </c>
      <c r="R50" s="25">
        <f t="shared" si="5"/>
        <v>0</v>
      </c>
      <c r="S50" s="25">
        <f t="shared" si="6"/>
        <v>0</v>
      </c>
      <c r="T50" s="25">
        <f t="shared" si="7"/>
        <v>1</v>
      </c>
      <c r="U50" s="25">
        <f t="shared" si="8"/>
        <v>1</v>
      </c>
      <c r="V50" s="25">
        <f t="shared" si="9"/>
        <v>0</v>
      </c>
      <c r="W50" s="25">
        <f t="shared" si="10"/>
        <v>0</v>
      </c>
      <c r="X50" s="25">
        <f t="shared" si="11"/>
        <v>0</v>
      </c>
      <c r="Y50" s="25">
        <f t="shared" si="12"/>
        <v>0</v>
      </c>
      <c r="Z50" s="25">
        <f t="shared" si="13"/>
        <v>0</v>
      </c>
      <c r="AA50" s="25">
        <f t="shared" si="14"/>
        <v>0</v>
      </c>
      <c r="AB50" s="3">
        <f t="shared" si="15"/>
        <v>0.2</v>
      </c>
      <c r="AC50" s="3">
        <f t="shared" si="16"/>
        <v>0.8</v>
      </c>
      <c r="AD50" s="3">
        <f t="shared" si="17"/>
        <v>0.16000000000000003</v>
      </c>
      <c r="AE50" s="33"/>
    </row>
    <row r="51" spans="1:31" ht="70" x14ac:dyDescent="0.3">
      <c r="A51" s="54" t="s">
        <v>166</v>
      </c>
      <c r="B51" s="25">
        <v>1</v>
      </c>
      <c r="C51" s="25">
        <v>1</v>
      </c>
      <c r="D51" s="25">
        <v>1</v>
      </c>
      <c r="E51" s="25">
        <v>1</v>
      </c>
      <c r="F51" s="25">
        <v>0</v>
      </c>
      <c r="G51" s="25">
        <v>0</v>
      </c>
      <c r="H51" s="25">
        <v>0</v>
      </c>
      <c r="I51" s="25">
        <v>0</v>
      </c>
      <c r="J51" s="25">
        <v>1</v>
      </c>
      <c r="K51" s="25">
        <v>1</v>
      </c>
      <c r="L51" s="3">
        <f t="shared" si="0"/>
        <v>0.6</v>
      </c>
      <c r="M51" s="26" t="str">
        <f t="shared" si="1"/>
        <v>sedang</v>
      </c>
      <c r="N51" s="3">
        <f t="shared" si="2"/>
        <v>1</v>
      </c>
      <c r="O51" s="26" t="str">
        <f t="shared" si="3"/>
        <v>soal diterima baik</v>
      </c>
      <c r="P51" s="33"/>
      <c r="Q51" s="26">
        <v>46</v>
      </c>
      <c r="R51" s="25">
        <f t="shared" si="5"/>
        <v>1</v>
      </c>
      <c r="S51" s="25">
        <f t="shared" si="6"/>
        <v>1</v>
      </c>
      <c r="T51" s="25">
        <f t="shared" si="7"/>
        <v>1</v>
      </c>
      <c r="U51" s="25">
        <f t="shared" si="8"/>
        <v>1</v>
      </c>
      <c r="V51" s="25">
        <f t="shared" si="9"/>
        <v>0</v>
      </c>
      <c r="W51" s="25">
        <f t="shared" si="10"/>
        <v>0</v>
      </c>
      <c r="X51" s="25">
        <f t="shared" si="11"/>
        <v>0</v>
      </c>
      <c r="Y51" s="25">
        <f t="shared" si="12"/>
        <v>0</v>
      </c>
      <c r="Z51" s="25">
        <f t="shared" si="13"/>
        <v>1</v>
      </c>
      <c r="AA51" s="25">
        <f t="shared" si="14"/>
        <v>1</v>
      </c>
      <c r="AB51" s="3">
        <f t="shared" si="15"/>
        <v>0.6</v>
      </c>
      <c r="AC51" s="3">
        <f t="shared" si="16"/>
        <v>0.4</v>
      </c>
      <c r="AD51" s="3">
        <f t="shared" si="17"/>
        <v>0.24</v>
      </c>
      <c r="AE51" s="33"/>
    </row>
    <row r="52" spans="1:31" ht="70" x14ac:dyDescent="0.3">
      <c r="A52" s="52" t="s">
        <v>167</v>
      </c>
      <c r="B52" s="25">
        <v>1</v>
      </c>
      <c r="C52" s="25">
        <v>1</v>
      </c>
      <c r="D52" s="25">
        <v>1</v>
      </c>
      <c r="E52" s="25">
        <v>1</v>
      </c>
      <c r="F52" s="25">
        <v>0</v>
      </c>
      <c r="G52" s="25">
        <v>0</v>
      </c>
      <c r="H52" s="25">
        <v>1</v>
      </c>
      <c r="I52" s="25">
        <v>1</v>
      </c>
      <c r="J52" s="25">
        <v>0</v>
      </c>
      <c r="K52" s="25">
        <v>0</v>
      </c>
      <c r="L52" s="3">
        <f t="shared" si="0"/>
        <v>0.6</v>
      </c>
      <c r="M52" s="26" t="str">
        <f t="shared" si="1"/>
        <v>sedang</v>
      </c>
      <c r="N52" s="3">
        <f t="shared" si="2"/>
        <v>0.5</v>
      </c>
      <c r="O52" s="26" t="str">
        <f t="shared" si="3"/>
        <v>soal diterima baik</v>
      </c>
      <c r="P52" s="33"/>
      <c r="Q52" s="26">
        <v>47</v>
      </c>
      <c r="R52" s="25">
        <f t="shared" si="5"/>
        <v>1</v>
      </c>
      <c r="S52" s="25">
        <f t="shared" si="6"/>
        <v>1</v>
      </c>
      <c r="T52" s="25">
        <f t="shared" si="7"/>
        <v>1</v>
      </c>
      <c r="U52" s="25">
        <f t="shared" si="8"/>
        <v>1</v>
      </c>
      <c r="V52" s="25">
        <f t="shared" si="9"/>
        <v>0</v>
      </c>
      <c r="W52" s="25">
        <f t="shared" si="10"/>
        <v>0</v>
      </c>
      <c r="X52" s="25">
        <f t="shared" si="11"/>
        <v>0</v>
      </c>
      <c r="Y52" s="25">
        <f t="shared" si="12"/>
        <v>0</v>
      </c>
      <c r="Z52" s="25">
        <f t="shared" si="13"/>
        <v>1</v>
      </c>
      <c r="AA52" s="25">
        <f t="shared" si="14"/>
        <v>1</v>
      </c>
      <c r="AB52" s="3">
        <f t="shared" si="15"/>
        <v>0.6</v>
      </c>
      <c r="AC52" s="3">
        <f t="shared" si="16"/>
        <v>0.4</v>
      </c>
      <c r="AD52" s="3">
        <f t="shared" si="17"/>
        <v>0.24</v>
      </c>
      <c r="AE52" s="33"/>
    </row>
    <row r="53" spans="1:31" ht="28" x14ac:dyDescent="0.3">
      <c r="A53" s="54" t="s">
        <v>168</v>
      </c>
      <c r="B53" s="25">
        <v>1</v>
      </c>
      <c r="C53" s="25">
        <v>1</v>
      </c>
      <c r="D53" s="25">
        <v>0</v>
      </c>
      <c r="E53" s="25">
        <v>0</v>
      </c>
      <c r="F53" s="25">
        <v>0</v>
      </c>
      <c r="G53" s="25">
        <v>0</v>
      </c>
      <c r="H53" s="25">
        <v>0</v>
      </c>
      <c r="I53" s="25">
        <v>0</v>
      </c>
      <c r="J53" s="25">
        <v>1</v>
      </c>
      <c r="K53" s="25">
        <v>1</v>
      </c>
      <c r="L53" s="3">
        <f t="shared" si="0"/>
        <v>0.4</v>
      </c>
      <c r="M53" s="26" t="str">
        <f t="shared" si="1"/>
        <v>sedang</v>
      </c>
      <c r="N53" s="3">
        <f t="shared" si="2"/>
        <v>0.5</v>
      </c>
      <c r="O53" s="26" t="str">
        <f t="shared" si="3"/>
        <v>soal diterima baik</v>
      </c>
      <c r="P53" s="33"/>
      <c r="Q53" s="26">
        <v>48</v>
      </c>
      <c r="R53" s="25">
        <f t="shared" si="5"/>
        <v>1</v>
      </c>
      <c r="S53" s="25">
        <f t="shared" si="6"/>
        <v>1</v>
      </c>
      <c r="T53" s="25">
        <f t="shared" si="7"/>
        <v>1</v>
      </c>
      <c r="U53" s="25">
        <f t="shared" si="8"/>
        <v>1</v>
      </c>
      <c r="V53" s="25">
        <f t="shared" si="9"/>
        <v>0</v>
      </c>
      <c r="W53" s="25">
        <f t="shared" si="10"/>
        <v>0</v>
      </c>
      <c r="X53" s="25">
        <f t="shared" si="11"/>
        <v>1</v>
      </c>
      <c r="Y53" s="25">
        <f t="shared" si="12"/>
        <v>1</v>
      </c>
      <c r="Z53" s="25">
        <f t="shared" si="13"/>
        <v>0</v>
      </c>
      <c r="AA53" s="25">
        <f t="shared" si="14"/>
        <v>0</v>
      </c>
      <c r="AB53" s="3">
        <f t="shared" si="15"/>
        <v>0.6</v>
      </c>
      <c r="AC53" s="3">
        <f t="shared" si="16"/>
        <v>0.4</v>
      </c>
      <c r="AD53" s="3">
        <f t="shared" si="17"/>
        <v>0.24</v>
      </c>
      <c r="AE53" s="33"/>
    </row>
    <row r="54" spans="1:31" ht="56" x14ac:dyDescent="0.3">
      <c r="A54" s="54" t="s">
        <v>169</v>
      </c>
      <c r="B54" s="25">
        <v>1</v>
      </c>
      <c r="C54" s="25">
        <v>1</v>
      </c>
      <c r="D54" s="25">
        <v>1</v>
      </c>
      <c r="E54" s="25">
        <v>1</v>
      </c>
      <c r="F54" s="25">
        <v>0</v>
      </c>
      <c r="G54" s="25">
        <v>0</v>
      </c>
      <c r="H54" s="25">
        <v>0</v>
      </c>
      <c r="I54" s="25">
        <v>0</v>
      </c>
      <c r="J54" s="25">
        <v>1</v>
      </c>
      <c r="K54" s="25">
        <v>1</v>
      </c>
      <c r="L54" s="3">
        <f t="shared" si="0"/>
        <v>0.6</v>
      </c>
      <c r="M54" s="26" t="str">
        <f t="shared" si="1"/>
        <v>sedang</v>
      </c>
      <c r="N54" s="3">
        <f t="shared" si="2"/>
        <v>1</v>
      </c>
      <c r="O54" s="26" t="str">
        <f t="shared" si="3"/>
        <v>soal diterima baik</v>
      </c>
      <c r="P54" s="33"/>
      <c r="Q54" s="26">
        <v>49</v>
      </c>
      <c r="R54" s="25">
        <f t="shared" si="5"/>
        <v>1</v>
      </c>
      <c r="S54" s="25">
        <f t="shared" si="6"/>
        <v>1</v>
      </c>
      <c r="T54" s="25">
        <f t="shared" si="7"/>
        <v>0</v>
      </c>
      <c r="U54" s="25">
        <f t="shared" si="8"/>
        <v>0</v>
      </c>
      <c r="V54" s="25">
        <f t="shared" si="9"/>
        <v>0</v>
      </c>
      <c r="W54" s="25">
        <f t="shared" si="10"/>
        <v>0</v>
      </c>
      <c r="X54" s="25">
        <f t="shared" si="11"/>
        <v>0</v>
      </c>
      <c r="Y54" s="25">
        <f t="shared" si="12"/>
        <v>0</v>
      </c>
      <c r="Z54" s="25">
        <f t="shared" si="13"/>
        <v>1</v>
      </c>
      <c r="AA54" s="25">
        <f t="shared" si="14"/>
        <v>1</v>
      </c>
      <c r="AB54" s="3">
        <f t="shared" si="15"/>
        <v>0.4</v>
      </c>
      <c r="AC54" s="3">
        <f t="shared" si="16"/>
        <v>0.6</v>
      </c>
      <c r="AD54" s="3">
        <f t="shared" si="17"/>
        <v>0.24</v>
      </c>
      <c r="AE54" s="33"/>
    </row>
    <row r="55" spans="1:31" ht="28" x14ac:dyDescent="0.3">
      <c r="A55" s="52" t="s">
        <v>170</v>
      </c>
      <c r="B55" s="25">
        <v>1</v>
      </c>
      <c r="C55" s="25">
        <v>1</v>
      </c>
      <c r="D55" s="25">
        <v>1</v>
      </c>
      <c r="E55" s="25">
        <v>1</v>
      </c>
      <c r="F55" s="25">
        <v>0</v>
      </c>
      <c r="G55" s="25">
        <v>0</v>
      </c>
      <c r="H55" s="25">
        <v>0</v>
      </c>
      <c r="I55" s="25">
        <v>0</v>
      </c>
      <c r="J55" s="25">
        <v>1</v>
      </c>
      <c r="K55" s="25">
        <v>1</v>
      </c>
      <c r="L55" s="3">
        <f t="shared" si="0"/>
        <v>0.6</v>
      </c>
      <c r="M55" s="26" t="str">
        <f t="shared" si="1"/>
        <v>sedang</v>
      </c>
      <c r="N55" s="3">
        <f t="shared" si="2"/>
        <v>1</v>
      </c>
      <c r="O55" s="26" t="str">
        <f t="shared" si="3"/>
        <v>soal diterima baik</v>
      </c>
      <c r="P55" s="33"/>
      <c r="Q55" s="26">
        <v>50</v>
      </c>
      <c r="R55" s="25">
        <f t="shared" si="5"/>
        <v>1</v>
      </c>
      <c r="S55" s="25">
        <f t="shared" si="6"/>
        <v>1</v>
      </c>
      <c r="T55" s="25">
        <f t="shared" si="7"/>
        <v>1</v>
      </c>
      <c r="U55" s="25">
        <f t="shared" si="8"/>
        <v>1</v>
      </c>
      <c r="V55" s="25">
        <f t="shared" si="9"/>
        <v>0</v>
      </c>
      <c r="W55" s="25">
        <f t="shared" si="10"/>
        <v>0</v>
      </c>
      <c r="X55" s="25">
        <f t="shared" si="11"/>
        <v>0</v>
      </c>
      <c r="Y55" s="25">
        <f t="shared" si="12"/>
        <v>0</v>
      </c>
      <c r="Z55" s="25">
        <f t="shared" si="13"/>
        <v>1</v>
      </c>
      <c r="AA55" s="25">
        <f t="shared" si="14"/>
        <v>1</v>
      </c>
      <c r="AB55" s="3">
        <f t="shared" si="15"/>
        <v>0.6</v>
      </c>
      <c r="AC55" s="3">
        <f t="shared" si="16"/>
        <v>0.4</v>
      </c>
      <c r="AD55" s="3">
        <f t="shared" si="17"/>
        <v>0.24</v>
      </c>
      <c r="AE55" s="33"/>
    </row>
    <row r="56" spans="1:31" ht="56" x14ac:dyDescent="0.3">
      <c r="A56" s="52" t="s">
        <v>171</v>
      </c>
      <c r="B56" s="25">
        <v>1</v>
      </c>
      <c r="C56" s="25">
        <v>1</v>
      </c>
      <c r="D56" s="25">
        <v>1</v>
      </c>
      <c r="E56" s="25">
        <v>1</v>
      </c>
      <c r="F56" s="25">
        <v>0</v>
      </c>
      <c r="G56" s="25">
        <v>0</v>
      </c>
      <c r="H56" s="25">
        <v>0</v>
      </c>
      <c r="I56" s="25">
        <v>0</v>
      </c>
      <c r="J56" s="25">
        <v>1</v>
      </c>
      <c r="K56" s="25">
        <v>1</v>
      </c>
      <c r="L56" s="3">
        <f t="shared" si="0"/>
        <v>0.6</v>
      </c>
      <c r="M56" s="26" t="str">
        <f t="shared" si="1"/>
        <v>sedang</v>
      </c>
      <c r="N56" s="3">
        <f t="shared" si="2"/>
        <v>1</v>
      </c>
      <c r="O56" s="26" t="str">
        <f t="shared" si="3"/>
        <v>soal diterima baik</v>
      </c>
      <c r="P56" s="33"/>
      <c r="Q56" s="26">
        <v>51</v>
      </c>
      <c r="R56" s="25">
        <f t="shared" si="5"/>
        <v>1</v>
      </c>
      <c r="S56" s="25">
        <f t="shared" si="6"/>
        <v>1</v>
      </c>
      <c r="T56" s="25">
        <f t="shared" si="7"/>
        <v>1</v>
      </c>
      <c r="U56" s="25">
        <f t="shared" si="8"/>
        <v>1</v>
      </c>
      <c r="V56" s="25">
        <f t="shared" si="9"/>
        <v>0</v>
      </c>
      <c r="W56" s="25">
        <f t="shared" si="10"/>
        <v>0</v>
      </c>
      <c r="X56" s="25">
        <f t="shared" si="11"/>
        <v>0</v>
      </c>
      <c r="Y56" s="25">
        <f t="shared" si="12"/>
        <v>0</v>
      </c>
      <c r="Z56" s="25">
        <f t="shared" si="13"/>
        <v>1</v>
      </c>
      <c r="AA56" s="25">
        <f t="shared" si="14"/>
        <v>1</v>
      </c>
      <c r="AB56" s="3">
        <f t="shared" si="15"/>
        <v>0.6</v>
      </c>
      <c r="AC56" s="3">
        <f t="shared" si="16"/>
        <v>0.4</v>
      </c>
      <c r="AD56" s="3">
        <f t="shared" si="17"/>
        <v>0.24</v>
      </c>
      <c r="AE56" s="33"/>
    </row>
    <row r="57" spans="1:31" ht="42" x14ac:dyDescent="0.3">
      <c r="A57" s="52" t="s">
        <v>172</v>
      </c>
      <c r="B57" s="25">
        <v>0</v>
      </c>
      <c r="C57" s="25">
        <v>0</v>
      </c>
      <c r="D57" s="25">
        <v>1</v>
      </c>
      <c r="E57" s="25">
        <v>1</v>
      </c>
      <c r="F57" s="25">
        <v>0</v>
      </c>
      <c r="G57" s="25">
        <v>0</v>
      </c>
      <c r="H57" s="25">
        <v>0</v>
      </c>
      <c r="I57" s="25">
        <v>0</v>
      </c>
      <c r="J57" s="25">
        <v>1</v>
      </c>
      <c r="K57" s="25">
        <v>1</v>
      </c>
      <c r="L57" s="3">
        <f t="shared" si="0"/>
        <v>0.4</v>
      </c>
      <c r="M57" s="26" t="str">
        <f t="shared" si="1"/>
        <v>sedang</v>
      </c>
      <c r="N57" s="3">
        <f t="shared" si="2"/>
        <v>0.5</v>
      </c>
      <c r="O57" s="26" t="str">
        <f t="shared" si="3"/>
        <v>soal diterima baik</v>
      </c>
      <c r="P57" s="33"/>
      <c r="Q57" s="26">
        <v>52</v>
      </c>
      <c r="R57" s="25">
        <f t="shared" si="5"/>
        <v>1</v>
      </c>
      <c r="S57" s="25">
        <f t="shared" si="6"/>
        <v>1</v>
      </c>
      <c r="T57" s="25">
        <f t="shared" si="7"/>
        <v>1</v>
      </c>
      <c r="U57" s="25">
        <f t="shared" si="8"/>
        <v>1</v>
      </c>
      <c r="V57" s="25">
        <f t="shared" si="9"/>
        <v>0</v>
      </c>
      <c r="W57" s="25">
        <f t="shared" si="10"/>
        <v>0</v>
      </c>
      <c r="X57" s="25">
        <f t="shared" si="11"/>
        <v>0</v>
      </c>
      <c r="Y57" s="25">
        <f t="shared" si="12"/>
        <v>0</v>
      </c>
      <c r="Z57" s="25">
        <f t="shared" si="13"/>
        <v>1</v>
      </c>
      <c r="AA57" s="25">
        <f t="shared" si="14"/>
        <v>1</v>
      </c>
      <c r="AB57" s="3">
        <f t="shared" si="15"/>
        <v>0.6</v>
      </c>
      <c r="AC57" s="3">
        <f t="shared" si="16"/>
        <v>0.4</v>
      </c>
      <c r="AD57" s="3">
        <f t="shared" si="17"/>
        <v>0.24</v>
      </c>
      <c r="AE57" s="33"/>
    </row>
    <row r="58" spans="1:31" ht="56" x14ac:dyDescent="0.3">
      <c r="A58" s="54" t="s">
        <v>173</v>
      </c>
      <c r="B58" s="25">
        <v>1</v>
      </c>
      <c r="C58" s="25">
        <v>1</v>
      </c>
      <c r="D58" s="25">
        <v>1</v>
      </c>
      <c r="E58" s="25">
        <v>1</v>
      </c>
      <c r="F58" s="25">
        <v>0</v>
      </c>
      <c r="G58" s="25">
        <v>0</v>
      </c>
      <c r="H58" s="25">
        <v>0</v>
      </c>
      <c r="I58" s="25">
        <v>0</v>
      </c>
      <c r="J58" s="25">
        <v>0</v>
      </c>
      <c r="K58" s="25">
        <v>0</v>
      </c>
      <c r="L58" s="3">
        <f t="shared" si="0"/>
        <v>0.4</v>
      </c>
      <c r="M58" s="26" t="str">
        <f t="shared" si="1"/>
        <v>sedang</v>
      </c>
      <c r="N58" s="3">
        <f t="shared" si="2"/>
        <v>1</v>
      </c>
      <c r="O58" s="26" t="str">
        <f t="shared" si="3"/>
        <v>soal diterima baik</v>
      </c>
      <c r="P58" s="33"/>
      <c r="Q58" s="26">
        <v>53</v>
      </c>
      <c r="R58" s="25">
        <f t="shared" si="5"/>
        <v>0</v>
      </c>
      <c r="S58" s="25">
        <f t="shared" si="6"/>
        <v>0</v>
      </c>
      <c r="T58" s="25">
        <f t="shared" si="7"/>
        <v>1</v>
      </c>
      <c r="U58" s="25">
        <f t="shared" si="8"/>
        <v>1</v>
      </c>
      <c r="V58" s="25">
        <f t="shared" si="9"/>
        <v>0</v>
      </c>
      <c r="W58" s="25">
        <f t="shared" si="10"/>
        <v>0</v>
      </c>
      <c r="X58" s="25">
        <f t="shared" si="11"/>
        <v>0</v>
      </c>
      <c r="Y58" s="25">
        <f t="shared" si="12"/>
        <v>0</v>
      </c>
      <c r="Z58" s="25">
        <f t="shared" si="13"/>
        <v>1</v>
      </c>
      <c r="AA58" s="25">
        <f t="shared" si="14"/>
        <v>1</v>
      </c>
      <c r="AB58" s="3">
        <f t="shared" si="15"/>
        <v>0.4</v>
      </c>
      <c r="AC58" s="3">
        <f t="shared" si="16"/>
        <v>0.6</v>
      </c>
      <c r="AD58" s="3">
        <f t="shared" si="17"/>
        <v>0.24</v>
      </c>
      <c r="AE58" s="33"/>
    </row>
    <row r="59" spans="1:31" ht="28" x14ac:dyDescent="0.3">
      <c r="A59" s="53" t="s">
        <v>174</v>
      </c>
      <c r="B59" s="25">
        <v>1</v>
      </c>
      <c r="C59" s="25">
        <v>1</v>
      </c>
      <c r="D59" s="25">
        <v>1</v>
      </c>
      <c r="E59" s="25">
        <v>1</v>
      </c>
      <c r="F59" s="25">
        <v>0</v>
      </c>
      <c r="G59" s="25">
        <v>0</v>
      </c>
      <c r="H59" s="25">
        <v>0</v>
      </c>
      <c r="I59" s="25">
        <v>0</v>
      </c>
      <c r="J59" s="25">
        <v>1</v>
      </c>
      <c r="K59" s="25">
        <v>1</v>
      </c>
      <c r="L59" s="3">
        <f t="shared" si="0"/>
        <v>0.6</v>
      </c>
      <c r="M59" s="26" t="str">
        <f t="shared" si="1"/>
        <v>sedang</v>
      </c>
      <c r="N59" s="3">
        <f t="shared" si="2"/>
        <v>1</v>
      </c>
      <c r="O59" s="26" t="str">
        <f t="shared" si="3"/>
        <v>soal diterima baik</v>
      </c>
      <c r="P59" s="33"/>
      <c r="Q59" s="26">
        <v>54</v>
      </c>
      <c r="R59" s="25">
        <f t="shared" si="5"/>
        <v>1</v>
      </c>
      <c r="S59" s="25">
        <f t="shared" si="6"/>
        <v>1</v>
      </c>
      <c r="T59" s="25">
        <f t="shared" si="7"/>
        <v>1</v>
      </c>
      <c r="U59" s="25">
        <f t="shared" si="8"/>
        <v>1</v>
      </c>
      <c r="V59" s="25">
        <f t="shared" si="9"/>
        <v>0</v>
      </c>
      <c r="W59" s="25">
        <f t="shared" si="10"/>
        <v>0</v>
      </c>
      <c r="X59" s="25">
        <f t="shared" si="11"/>
        <v>0</v>
      </c>
      <c r="Y59" s="25">
        <f t="shared" si="12"/>
        <v>0</v>
      </c>
      <c r="Z59" s="25">
        <f t="shared" si="13"/>
        <v>0</v>
      </c>
      <c r="AA59" s="25">
        <f t="shared" si="14"/>
        <v>0</v>
      </c>
      <c r="AB59" s="3">
        <f t="shared" si="15"/>
        <v>0.4</v>
      </c>
      <c r="AC59" s="3">
        <f t="shared" si="16"/>
        <v>0.6</v>
      </c>
      <c r="AD59" s="3">
        <f t="shared" si="17"/>
        <v>0.24</v>
      </c>
      <c r="AE59" s="33"/>
    </row>
    <row r="60" spans="1:31" ht="56" x14ac:dyDescent="0.3">
      <c r="A60" s="54" t="s">
        <v>175</v>
      </c>
      <c r="B60" s="25">
        <v>1</v>
      </c>
      <c r="C60" s="25">
        <v>1</v>
      </c>
      <c r="D60" s="25">
        <v>1</v>
      </c>
      <c r="E60" s="25">
        <v>1</v>
      </c>
      <c r="F60" s="25">
        <v>0</v>
      </c>
      <c r="G60" s="25">
        <v>0</v>
      </c>
      <c r="H60" s="25">
        <v>1</v>
      </c>
      <c r="I60" s="25">
        <v>1</v>
      </c>
      <c r="J60" s="25">
        <v>1</v>
      </c>
      <c r="K60" s="25">
        <v>1</v>
      </c>
      <c r="L60" s="3">
        <f t="shared" si="0"/>
        <v>0.8</v>
      </c>
      <c r="M60" s="26" t="str">
        <f t="shared" si="1"/>
        <v>mudah</v>
      </c>
      <c r="N60" s="3">
        <f t="shared" si="2"/>
        <v>0.5</v>
      </c>
      <c r="O60" s="26" t="str">
        <f t="shared" si="3"/>
        <v>soal diterima baik</v>
      </c>
      <c r="P60" s="33"/>
      <c r="Q60" s="26">
        <v>55</v>
      </c>
      <c r="R60" s="25">
        <f t="shared" si="5"/>
        <v>1</v>
      </c>
      <c r="S60" s="25">
        <f t="shared" si="6"/>
        <v>1</v>
      </c>
      <c r="T60" s="25">
        <f t="shared" si="7"/>
        <v>1</v>
      </c>
      <c r="U60" s="25">
        <f t="shared" si="8"/>
        <v>1</v>
      </c>
      <c r="V60" s="25">
        <f t="shared" si="9"/>
        <v>0</v>
      </c>
      <c r="W60" s="25">
        <f t="shared" si="10"/>
        <v>0</v>
      </c>
      <c r="X60" s="25">
        <f t="shared" si="11"/>
        <v>0</v>
      </c>
      <c r="Y60" s="25">
        <f t="shared" si="12"/>
        <v>0</v>
      </c>
      <c r="Z60" s="25">
        <f t="shared" si="13"/>
        <v>1</v>
      </c>
      <c r="AA60" s="25">
        <f t="shared" si="14"/>
        <v>1</v>
      </c>
      <c r="AB60" s="3">
        <f t="shared" si="15"/>
        <v>0.6</v>
      </c>
      <c r="AC60" s="3">
        <f t="shared" si="16"/>
        <v>0.4</v>
      </c>
      <c r="AD60" s="3">
        <f t="shared" si="17"/>
        <v>0.24</v>
      </c>
      <c r="AE60" s="33"/>
    </row>
    <row r="61" spans="1:31" ht="84" x14ac:dyDescent="0.3">
      <c r="A61" s="54" t="s">
        <v>176</v>
      </c>
      <c r="B61" s="25">
        <v>1</v>
      </c>
      <c r="C61" s="25">
        <v>1</v>
      </c>
      <c r="D61" s="25">
        <v>1</v>
      </c>
      <c r="E61" s="25">
        <v>1</v>
      </c>
      <c r="F61" s="25">
        <v>0</v>
      </c>
      <c r="G61" s="25">
        <v>0</v>
      </c>
      <c r="H61" s="25">
        <v>0</v>
      </c>
      <c r="I61" s="25">
        <v>0</v>
      </c>
      <c r="J61" s="25">
        <v>1</v>
      </c>
      <c r="K61" s="25">
        <v>1</v>
      </c>
      <c r="L61" s="3">
        <f t="shared" si="0"/>
        <v>0.6</v>
      </c>
      <c r="M61" s="26" t="str">
        <f t="shared" si="1"/>
        <v>sedang</v>
      </c>
      <c r="N61" s="3">
        <f t="shared" si="2"/>
        <v>1</v>
      </c>
      <c r="O61" s="26" t="str">
        <f t="shared" si="3"/>
        <v>soal diterima baik</v>
      </c>
      <c r="P61" s="33"/>
      <c r="Q61" s="26">
        <v>56</v>
      </c>
      <c r="R61" s="25">
        <f t="shared" si="5"/>
        <v>1</v>
      </c>
      <c r="S61" s="25">
        <f t="shared" si="6"/>
        <v>1</v>
      </c>
      <c r="T61" s="25">
        <f t="shared" si="7"/>
        <v>1</v>
      </c>
      <c r="U61" s="25">
        <f t="shared" si="8"/>
        <v>1</v>
      </c>
      <c r="V61" s="25">
        <f t="shared" si="9"/>
        <v>0</v>
      </c>
      <c r="W61" s="25">
        <f t="shared" si="10"/>
        <v>0</v>
      </c>
      <c r="X61" s="25">
        <f t="shared" si="11"/>
        <v>1</v>
      </c>
      <c r="Y61" s="25">
        <f t="shared" si="12"/>
        <v>1</v>
      </c>
      <c r="Z61" s="25">
        <f t="shared" si="13"/>
        <v>1</v>
      </c>
      <c r="AA61" s="25">
        <f t="shared" si="14"/>
        <v>1</v>
      </c>
      <c r="AB61" s="3">
        <f t="shared" si="15"/>
        <v>0.8</v>
      </c>
      <c r="AC61" s="3">
        <f t="shared" si="16"/>
        <v>0.19999999999999996</v>
      </c>
      <c r="AD61" s="3">
        <f t="shared" si="17"/>
        <v>0.15999999999999998</v>
      </c>
      <c r="AE61" s="33"/>
    </row>
    <row r="62" spans="1:31" ht="70" x14ac:dyDescent="0.3">
      <c r="A62" s="53" t="s">
        <v>177</v>
      </c>
      <c r="B62" s="25">
        <v>0</v>
      </c>
      <c r="C62" s="25">
        <v>0</v>
      </c>
      <c r="D62" s="25">
        <v>1</v>
      </c>
      <c r="E62" s="25">
        <v>1</v>
      </c>
      <c r="F62" s="25">
        <v>1</v>
      </c>
      <c r="G62" s="25">
        <v>1</v>
      </c>
      <c r="H62" s="25">
        <v>1</v>
      </c>
      <c r="I62" s="25">
        <v>1</v>
      </c>
      <c r="J62" s="25">
        <v>1</v>
      </c>
      <c r="K62" s="25">
        <v>1</v>
      </c>
      <c r="L62" s="3">
        <f t="shared" si="0"/>
        <v>0.8</v>
      </c>
      <c r="M62" s="26" t="str">
        <f t="shared" si="1"/>
        <v>mudah</v>
      </c>
      <c r="N62" s="3">
        <f t="shared" si="2"/>
        <v>0.5</v>
      </c>
      <c r="O62" s="26" t="str">
        <f t="shared" si="3"/>
        <v>soal diterima baik</v>
      </c>
      <c r="P62" s="33"/>
      <c r="Q62" s="26">
        <v>57</v>
      </c>
      <c r="R62" s="25">
        <f t="shared" si="5"/>
        <v>1</v>
      </c>
      <c r="S62" s="25">
        <f t="shared" si="6"/>
        <v>1</v>
      </c>
      <c r="T62" s="25">
        <f t="shared" si="7"/>
        <v>1</v>
      </c>
      <c r="U62" s="25">
        <f t="shared" si="8"/>
        <v>1</v>
      </c>
      <c r="V62" s="25">
        <f t="shared" si="9"/>
        <v>0</v>
      </c>
      <c r="W62" s="25">
        <f t="shared" si="10"/>
        <v>0</v>
      </c>
      <c r="X62" s="25">
        <f t="shared" si="11"/>
        <v>0</v>
      </c>
      <c r="Y62" s="25">
        <f t="shared" si="12"/>
        <v>0</v>
      </c>
      <c r="Z62" s="25">
        <f t="shared" si="13"/>
        <v>1</v>
      </c>
      <c r="AA62" s="25">
        <f t="shared" si="14"/>
        <v>1</v>
      </c>
      <c r="AB62" s="3">
        <f t="shared" si="15"/>
        <v>0.6</v>
      </c>
      <c r="AC62" s="3">
        <f t="shared" si="16"/>
        <v>0.4</v>
      </c>
      <c r="AD62" s="3">
        <f t="shared" si="17"/>
        <v>0.24</v>
      </c>
      <c r="AE62" s="33"/>
    </row>
    <row r="63" spans="1:31" ht="98" x14ac:dyDescent="0.3">
      <c r="A63" s="52" t="s">
        <v>178</v>
      </c>
      <c r="B63" s="25">
        <v>1</v>
      </c>
      <c r="C63" s="25">
        <v>1</v>
      </c>
      <c r="D63" s="25">
        <v>1</v>
      </c>
      <c r="E63" s="25">
        <v>1</v>
      </c>
      <c r="F63" s="25">
        <v>0</v>
      </c>
      <c r="G63" s="25">
        <v>0</v>
      </c>
      <c r="H63" s="25">
        <v>1</v>
      </c>
      <c r="I63" s="25">
        <v>1</v>
      </c>
      <c r="J63" s="25">
        <v>1</v>
      </c>
      <c r="K63" s="25">
        <v>1</v>
      </c>
      <c r="L63" s="3">
        <f t="shared" si="0"/>
        <v>0.8</v>
      </c>
      <c r="M63" s="26" t="str">
        <f t="shared" si="1"/>
        <v>mudah</v>
      </c>
      <c r="N63" s="3">
        <f t="shared" si="2"/>
        <v>0.5</v>
      </c>
      <c r="O63" s="26" t="str">
        <f t="shared" si="3"/>
        <v>soal diterima baik</v>
      </c>
      <c r="P63" s="33"/>
      <c r="Q63" s="26">
        <v>58</v>
      </c>
      <c r="R63" s="25">
        <f t="shared" si="5"/>
        <v>0</v>
      </c>
      <c r="S63" s="25">
        <f t="shared" si="6"/>
        <v>0</v>
      </c>
      <c r="T63" s="25">
        <f t="shared" si="7"/>
        <v>1</v>
      </c>
      <c r="U63" s="25">
        <f t="shared" si="8"/>
        <v>1</v>
      </c>
      <c r="V63" s="25">
        <f t="shared" si="9"/>
        <v>1</v>
      </c>
      <c r="W63" s="25">
        <f t="shared" si="10"/>
        <v>1</v>
      </c>
      <c r="X63" s="25">
        <f t="shared" si="11"/>
        <v>1</v>
      </c>
      <c r="Y63" s="25">
        <f t="shared" si="12"/>
        <v>1</v>
      </c>
      <c r="Z63" s="25">
        <f t="shared" si="13"/>
        <v>1</v>
      </c>
      <c r="AA63" s="25">
        <f t="shared" si="14"/>
        <v>1</v>
      </c>
      <c r="AB63" s="3">
        <f t="shared" si="15"/>
        <v>0.8</v>
      </c>
      <c r="AC63" s="3">
        <f t="shared" si="16"/>
        <v>0.19999999999999996</v>
      </c>
      <c r="AD63" s="3">
        <f t="shared" si="17"/>
        <v>0.15999999999999998</v>
      </c>
      <c r="AE63" s="33"/>
    </row>
    <row r="64" spans="1:31" ht="70" x14ac:dyDescent="0.3">
      <c r="A64" s="53" t="s">
        <v>179</v>
      </c>
      <c r="B64" s="25">
        <v>1</v>
      </c>
      <c r="C64" s="25">
        <v>1</v>
      </c>
      <c r="D64" s="25">
        <v>1</v>
      </c>
      <c r="E64" s="25">
        <v>1</v>
      </c>
      <c r="F64" s="25">
        <v>1</v>
      </c>
      <c r="G64" s="25">
        <v>1</v>
      </c>
      <c r="H64" s="25">
        <v>0</v>
      </c>
      <c r="I64" s="25">
        <v>0</v>
      </c>
      <c r="J64" s="25">
        <v>1</v>
      </c>
      <c r="K64" s="25">
        <v>1</v>
      </c>
      <c r="L64" s="3">
        <f t="shared" si="0"/>
        <v>0.8</v>
      </c>
      <c r="M64" s="26" t="str">
        <f t="shared" si="1"/>
        <v>mudah</v>
      </c>
      <c r="N64" s="3">
        <f t="shared" si="2"/>
        <v>0.5</v>
      </c>
      <c r="O64" s="26" t="str">
        <f t="shared" si="3"/>
        <v>soal diterima baik</v>
      </c>
      <c r="P64" s="33"/>
      <c r="Q64" s="26">
        <v>59</v>
      </c>
      <c r="R64" s="25">
        <f t="shared" si="5"/>
        <v>1</v>
      </c>
      <c r="S64" s="25">
        <f t="shared" si="6"/>
        <v>1</v>
      </c>
      <c r="T64" s="25">
        <f t="shared" si="7"/>
        <v>1</v>
      </c>
      <c r="U64" s="25">
        <f t="shared" si="8"/>
        <v>1</v>
      </c>
      <c r="V64" s="25">
        <f t="shared" si="9"/>
        <v>0</v>
      </c>
      <c r="W64" s="25">
        <f t="shared" si="10"/>
        <v>0</v>
      </c>
      <c r="X64" s="25">
        <f t="shared" si="11"/>
        <v>1</v>
      </c>
      <c r="Y64" s="25">
        <f t="shared" si="12"/>
        <v>1</v>
      </c>
      <c r="Z64" s="25">
        <f t="shared" si="13"/>
        <v>1</v>
      </c>
      <c r="AA64" s="25">
        <f t="shared" si="14"/>
        <v>1</v>
      </c>
      <c r="AB64" s="3">
        <f t="shared" si="15"/>
        <v>0.8</v>
      </c>
      <c r="AC64" s="3">
        <f t="shared" si="16"/>
        <v>0.19999999999999996</v>
      </c>
      <c r="AD64" s="3">
        <f t="shared" si="17"/>
        <v>0.15999999999999998</v>
      </c>
      <c r="AE64" s="33"/>
    </row>
    <row r="65" spans="1:31" ht="42" x14ac:dyDescent="0.3">
      <c r="A65" s="53" t="s">
        <v>180</v>
      </c>
      <c r="B65" s="25">
        <v>1</v>
      </c>
      <c r="C65" s="25">
        <v>1</v>
      </c>
      <c r="D65" s="25">
        <v>0</v>
      </c>
      <c r="E65" s="25">
        <v>0</v>
      </c>
      <c r="F65" s="25">
        <v>0</v>
      </c>
      <c r="G65" s="25">
        <v>0</v>
      </c>
      <c r="H65" s="25">
        <v>0</v>
      </c>
      <c r="I65" s="25">
        <v>0</v>
      </c>
      <c r="J65" s="25">
        <v>1</v>
      </c>
      <c r="K65" s="25">
        <v>1</v>
      </c>
      <c r="L65" s="3">
        <f t="shared" si="0"/>
        <v>0.4</v>
      </c>
      <c r="M65" s="26" t="str">
        <f t="shared" si="1"/>
        <v>sedang</v>
      </c>
      <c r="N65" s="3">
        <f t="shared" si="2"/>
        <v>0.5</v>
      </c>
      <c r="O65" s="26" t="str">
        <f t="shared" si="3"/>
        <v>soal diterima baik</v>
      </c>
      <c r="P65" s="33"/>
      <c r="Q65" s="26">
        <v>60</v>
      </c>
      <c r="R65" s="25">
        <f t="shared" si="5"/>
        <v>1</v>
      </c>
      <c r="S65" s="25">
        <f t="shared" si="6"/>
        <v>1</v>
      </c>
      <c r="T65" s="25">
        <f t="shared" si="7"/>
        <v>1</v>
      </c>
      <c r="U65" s="25">
        <f t="shared" si="8"/>
        <v>1</v>
      </c>
      <c r="V65" s="25">
        <f t="shared" si="9"/>
        <v>1</v>
      </c>
      <c r="W65" s="25">
        <f t="shared" si="10"/>
        <v>1</v>
      </c>
      <c r="X65" s="25">
        <f t="shared" si="11"/>
        <v>0</v>
      </c>
      <c r="Y65" s="25">
        <f t="shared" si="12"/>
        <v>0</v>
      </c>
      <c r="Z65" s="25">
        <f t="shared" si="13"/>
        <v>1</v>
      </c>
      <c r="AA65" s="25">
        <f t="shared" si="14"/>
        <v>1</v>
      </c>
      <c r="AB65" s="3">
        <f t="shared" si="15"/>
        <v>0.8</v>
      </c>
      <c r="AC65" s="3">
        <f t="shared" si="16"/>
        <v>0.19999999999999996</v>
      </c>
      <c r="AD65" s="3">
        <f t="shared" si="17"/>
        <v>0.15999999999999998</v>
      </c>
      <c r="AE65" s="33"/>
    </row>
    <row r="66" spans="1:31" ht="70" x14ac:dyDescent="0.3">
      <c r="A66" s="53" t="s">
        <v>181</v>
      </c>
      <c r="B66" s="25">
        <v>1</v>
      </c>
      <c r="C66" s="25">
        <v>1</v>
      </c>
      <c r="D66" s="25">
        <v>0</v>
      </c>
      <c r="E66" s="25">
        <v>0</v>
      </c>
      <c r="F66" s="25">
        <v>0</v>
      </c>
      <c r="G66" s="25">
        <v>0</v>
      </c>
      <c r="H66" s="25">
        <v>0</v>
      </c>
      <c r="I66" s="25">
        <v>0</v>
      </c>
      <c r="J66" s="25">
        <v>0</v>
      </c>
      <c r="K66" s="25">
        <v>0</v>
      </c>
      <c r="L66" s="3">
        <f t="shared" si="0"/>
        <v>0.2</v>
      </c>
      <c r="M66" s="26" t="str">
        <f t="shared" si="1"/>
        <v>sukar</v>
      </c>
      <c r="N66" s="3">
        <f t="shared" si="2"/>
        <v>0.5</v>
      </c>
      <c r="O66" s="26" t="str">
        <f t="shared" si="3"/>
        <v>soal diterima baik</v>
      </c>
      <c r="P66" s="33"/>
      <c r="Q66" s="26">
        <v>61</v>
      </c>
      <c r="R66" s="25">
        <f t="shared" si="5"/>
        <v>1</v>
      </c>
      <c r="S66" s="25">
        <f t="shared" si="6"/>
        <v>1</v>
      </c>
      <c r="T66" s="25">
        <f t="shared" si="7"/>
        <v>0</v>
      </c>
      <c r="U66" s="25">
        <f t="shared" si="8"/>
        <v>0</v>
      </c>
      <c r="V66" s="25">
        <f t="shared" si="9"/>
        <v>0</v>
      </c>
      <c r="W66" s="25">
        <f t="shared" si="10"/>
        <v>0</v>
      </c>
      <c r="X66" s="25">
        <f t="shared" si="11"/>
        <v>0</v>
      </c>
      <c r="Y66" s="25">
        <f t="shared" si="12"/>
        <v>0</v>
      </c>
      <c r="Z66" s="25">
        <f t="shared" si="13"/>
        <v>1</v>
      </c>
      <c r="AA66" s="25">
        <f t="shared" si="14"/>
        <v>1</v>
      </c>
      <c r="AB66" s="3">
        <f t="shared" si="15"/>
        <v>0.4</v>
      </c>
      <c r="AC66" s="3">
        <f t="shared" si="16"/>
        <v>0.6</v>
      </c>
      <c r="AD66" s="3">
        <f t="shared" si="17"/>
        <v>0.24</v>
      </c>
      <c r="AE66" s="33"/>
    </row>
    <row r="67" spans="1:31" ht="84" x14ac:dyDescent="0.3">
      <c r="A67" s="52" t="s">
        <v>182</v>
      </c>
      <c r="B67" s="25">
        <v>1</v>
      </c>
      <c r="C67" s="25">
        <v>1</v>
      </c>
      <c r="D67" s="25">
        <v>1</v>
      </c>
      <c r="E67" s="25">
        <v>1</v>
      </c>
      <c r="F67" s="25">
        <v>0</v>
      </c>
      <c r="G67" s="25">
        <v>0</v>
      </c>
      <c r="H67" s="25">
        <v>1</v>
      </c>
      <c r="I67" s="25">
        <v>1</v>
      </c>
      <c r="J67" s="25">
        <v>1</v>
      </c>
      <c r="K67" s="25">
        <v>1</v>
      </c>
      <c r="L67" s="3">
        <f t="shared" si="0"/>
        <v>0.8</v>
      </c>
      <c r="M67" s="26" t="str">
        <f t="shared" si="1"/>
        <v>mudah</v>
      </c>
      <c r="N67" s="3">
        <f t="shared" si="2"/>
        <v>0.5</v>
      </c>
      <c r="O67" s="26" t="str">
        <f t="shared" si="3"/>
        <v>soal diterima baik</v>
      </c>
      <c r="P67" s="33"/>
      <c r="Q67" s="26">
        <v>62</v>
      </c>
      <c r="R67" s="25">
        <f t="shared" si="5"/>
        <v>1</v>
      </c>
      <c r="S67" s="25">
        <f t="shared" si="6"/>
        <v>1</v>
      </c>
      <c r="T67" s="25">
        <f t="shared" si="7"/>
        <v>0</v>
      </c>
      <c r="U67" s="25">
        <f t="shared" si="8"/>
        <v>0</v>
      </c>
      <c r="V67" s="25">
        <f t="shared" si="9"/>
        <v>0</v>
      </c>
      <c r="W67" s="25">
        <f t="shared" si="10"/>
        <v>0</v>
      </c>
      <c r="X67" s="25">
        <f t="shared" si="11"/>
        <v>0</v>
      </c>
      <c r="Y67" s="25">
        <f t="shared" si="12"/>
        <v>0</v>
      </c>
      <c r="Z67" s="25">
        <f t="shared" si="13"/>
        <v>0</v>
      </c>
      <c r="AA67" s="25">
        <f t="shared" si="14"/>
        <v>0</v>
      </c>
      <c r="AB67" s="3">
        <f t="shared" si="15"/>
        <v>0.2</v>
      </c>
      <c r="AC67" s="3">
        <f t="shared" si="16"/>
        <v>0.8</v>
      </c>
      <c r="AD67" s="3">
        <f t="shared" si="17"/>
        <v>0.16000000000000003</v>
      </c>
      <c r="AE67" s="33"/>
    </row>
    <row r="68" spans="1:31" ht="84" x14ac:dyDescent="0.3">
      <c r="A68" s="54" t="s">
        <v>183</v>
      </c>
      <c r="B68" s="25">
        <v>1</v>
      </c>
      <c r="C68" s="25">
        <v>1</v>
      </c>
      <c r="D68" s="25">
        <v>1</v>
      </c>
      <c r="E68" s="25">
        <v>1</v>
      </c>
      <c r="F68" s="25">
        <v>0</v>
      </c>
      <c r="G68" s="25">
        <v>0</v>
      </c>
      <c r="H68" s="25">
        <v>0</v>
      </c>
      <c r="I68" s="25">
        <v>0</v>
      </c>
      <c r="J68" s="25">
        <v>0</v>
      </c>
      <c r="K68" s="25">
        <v>0</v>
      </c>
      <c r="L68" s="3">
        <f t="shared" si="0"/>
        <v>0.4</v>
      </c>
      <c r="M68" s="26" t="str">
        <f t="shared" si="1"/>
        <v>sedang</v>
      </c>
      <c r="N68" s="3">
        <f t="shared" si="2"/>
        <v>1</v>
      </c>
      <c r="O68" s="26" t="str">
        <f t="shared" si="3"/>
        <v>soal diterima baik</v>
      </c>
      <c r="P68" s="33"/>
      <c r="Q68" s="26">
        <v>63</v>
      </c>
      <c r="R68" s="25">
        <f t="shared" si="5"/>
        <v>1</v>
      </c>
      <c r="S68" s="25">
        <f t="shared" si="6"/>
        <v>1</v>
      </c>
      <c r="T68" s="25">
        <f t="shared" si="7"/>
        <v>1</v>
      </c>
      <c r="U68" s="25">
        <f t="shared" si="8"/>
        <v>1</v>
      </c>
      <c r="V68" s="25">
        <f t="shared" si="9"/>
        <v>0</v>
      </c>
      <c r="W68" s="25">
        <f t="shared" si="10"/>
        <v>0</v>
      </c>
      <c r="X68" s="25">
        <f t="shared" si="11"/>
        <v>1</v>
      </c>
      <c r="Y68" s="25">
        <f t="shared" si="12"/>
        <v>1</v>
      </c>
      <c r="Z68" s="25">
        <f t="shared" si="13"/>
        <v>1</v>
      </c>
      <c r="AA68" s="25">
        <f t="shared" si="14"/>
        <v>1</v>
      </c>
      <c r="AB68" s="3">
        <f t="shared" si="15"/>
        <v>0.8</v>
      </c>
      <c r="AC68" s="3">
        <f t="shared" si="16"/>
        <v>0.19999999999999996</v>
      </c>
      <c r="AD68" s="3">
        <f t="shared" si="17"/>
        <v>0.15999999999999998</v>
      </c>
      <c r="AE68" s="33"/>
    </row>
    <row r="69" spans="1:31" ht="84" x14ac:dyDescent="0.3">
      <c r="A69" s="54" t="s">
        <v>184</v>
      </c>
      <c r="B69" s="25">
        <v>1</v>
      </c>
      <c r="C69" s="25">
        <v>1</v>
      </c>
      <c r="D69" s="25">
        <v>1</v>
      </c>
      <c r="E69" s="25">
        <v>1</v>
      </c>
      <c r="F69" s="25">
        <v>0</v>
      </c>
      <c r="G69" s="25">
        <v>0</v>
      </c>
      <c r="H69" s="25">
        <v>0</v>
      </c>
      <c r="I69" s="25">
        <v>0</v>
      </c>
      <c r="J69" s="25">
        <v>1</v>
      </c>
      <c r="K69" s="25">
        <v>1</v>
      </c>
      <c r="L69" s="3">
        <f t="shared" si="0"/>
        <v>0.6</v>
      </c>
      <c r="M69" s="26" t="str">
        <f t="shared" si="1"/>
        <v>sedang</v>
      </c>
      <c r="N69" s="3">
        <f t="shared" si="2"/>
        <v>1</v>
      </c>
      <c r="O69" s="26" t="str">
        <f t="shared" si="3"/>
        <v>soal diterima baik</v>
      </c>
      <c r="P69" s="33"/>
      <c r="Q69" s="26">
        <v>64</v>
      </c>
      <c r="R69" s="25">
        <f t="shared" si="5"/>
        <v>1</v>
      </c>
      <c r="S69" s="25">
        <f t="shared" si="6"/>
        <v>1</v>
      </c>
      <c r="T69" s="25">
        <f t="shared" si="7"/>
        <v>1</v>
      </c>
      <c r="U69" s="25">
        <f t="shared" si="8"/>
        <v>1</v>
      </c>
      <c r="V69" s="25">
        <f t="shared" si="9"/>
        <v>0</v>
      </c>
      <c r="W69" s="25">
        <f t="shared" si="10"/>
        <v>0</v>
      </c>
      <c r="X69" s="25">
        <f t="shared" si="11"/>
        <v>0</v>
      </c>
      <c r="Y69" s="25">
        <f t="shared" si="12"/>
        <v>0</v>
      </c>
      <c r="Z69" s="25">
        <f t="shared" si="13"/>
        <v>0</v>
      </c>
      <c r="AA69" s="25">
        <f t="shared" si="14"/>
        <v>0</v>
      </c>
      <c r="AB69" s="3">
        <f t="shared" si="15"/>
        <v>0.4</v>
      </c>
      <c r="AC69" s="3">
        <f t="shared" si="16"/>
        <v>0.6</v>
      </c>
      <c r="AD69" s="3">
        <f t="shared" si="17"/>
        <v>0.24</v>
      </c>
      <c r="AE69" s="33"/>
    </row>
    <row r="70" spans="1:31" ht="42" x14ac:dyDescent="0.3">
      <c r="A70" s="54" t="s">
        <v>185</v>
      </c>
      <c r="B70" s="25">
        <v>1</v>
      </c>
      <c r="C70" s="25">
        <v>1</v>
      </c>
      <c r="D70" s="25">
        <v>0</v>
      </c>
      <c r="E70" s="25">
        <v>0</v>
      </c>
      <c r="F70" s="25">
        <v>1</v>
      </c>
      <c r="G70" s="25">
        <v>1</v>
      </c>
      <c r="H70" s="25">
        <v>1</v>
      </c>
      <c r="I70" s="25">
        <v>1</v>
      </c>
      <c r="J70" s="25">
        <v>0</v>
      </c>
      <c r="K70" s="25">
        <v>0</v>
      </c>
      <c r="L70" s="3">
        <f t="shared" ref="L70:L104" si="18">SUM(B70:K70)/10</f>
        <v>0.6</v>
      </c>
      <c r="M70" s="26" t="str">
        <f t="shared" ref="M70:M104" si="19">IF(L70&lt;0.31,"sukar",IF(L70&lt;0.71,"sedang","mudah"))</f>
        <v>sedang</v>
      </c>
      <c r="N70" s="3">
        <f t="shared" ref="N70:N104" si="20">ABS((SUM(B70:E70)-SUM(F70:I70))*2/8)</f>
        <v>0.5</v>
      </c>
      <c r="O70" s="26" t="str">
        <f t="shared" ref="O70:O104" si="21">IF(N70&lt;0.2,"soal dibuang",IF(N70&lt;0.3,"soal diperbaiki",IF(N70&lt;0.4,"soal diterima tapi perlu diperbaiki","soal diterima baik")))</f>
        <v>soal diterima baik</v>
      </c>
      <c r="P70" s="33"/>
      <c r="Q70" s="26">
        <v>65</v>
      </c>
      <c r="R70" s="25">
        <f t="shared" si="5"/>
        <v>1</v>
      </c>
      <c r="S70" s="25">
        <f t="shared" si="6"/>
        <v>1</v>
      </c>
      <c r="T70" s="25">
        <f t="shared" si="7"/>
        <v>1</v>
      </c>
      <c r="U70" s="25">
        <f t="shared" si="8"/>
        <v>1</v>
      </c>
      <c r="V70" s="25">
        <f t="shared" si="9"/>
        <v>0</v>
      </c>
      <c r="W70" s="25">
        <f t="shared" si="10"/>
        <v>0</v>
      </c>
      <c r="X70" s="25">
        <f t="shared" si="11"/>
        <v>0</v>
      </c>
      <c r="Y70" s="25">
        <f t="shared" si="12"/>
        <v>0</v>
      </c>
      <c r="Z70" s="25">
        <f t="shared" si="13"/>
        <v>1</v>
      </c>
      <c r="AA70" s="25">
        <f t="shared" si="14"/>
        <v>1</v>
      </c>
      <c r="AB70" s="3">
        <f t="shared" si="15"/>
        <v>0.6</v>
      </c>
      <c r="AC70" s="3">
        <f t="shared" si="16"/>
        <v>0.4</v>
      </c>
      <c r="AD70" s="3">
        <f t="shared" si="17"/>
        <v>0.24</v>
      </c>
      <c r="AE70" s="33"/>
    </row>
    <row r="71" spans="1:31" ht="70" x14ac:dyDescent="0.3">
      <c r="A71" s="53" t="s">
        <v>186</v>
      </c>
      <c r="B71" s="25">
        <v>1</v>
      </c>
      <c r="C71" s="25">
        <v>1</v>
      </c>
      <c r="D71" s="25">
        <v>1</v>
      </c>
      <c r="E71" s="25">
        <v>1</v>
      </c>
      <c r="F71" s="25">
        <v>1</v>
      </c>
      <c r="G71" s="25">
        <v>1</v>
      </c>
      <c r="H71" s="25">
        <v>0</v>
      </c>
      <c r="I71" s="25">
        <v>0</v>
      </c>
      <c r="J71" s="25">
        <v>1</v>
      </c>
      <c r="K71" s="25">
        <v>1</v>
      </c>
      <c r="L71" s="3">
        <f t="shared" si="18"/>
        <v>0.8</v>
      </c>
      <c r="M71" s="26" t="str">
        <f t="shared" si="19"/>
        <v>mudah</v>
      </c>
      <c r="N71" s="3">
        <f t="shared" si="20"/>
        <v>0.5</v>
      </c>
      <c r="O71" s="26" t="str">
        <f t="shared" si="21"/>
        <v>soal diterima baik</v>
      </c>
      <c r="P71" s="33"/>
      <c r="Q71" s="26">
        <v>66</v>
      </c>
      <c r="R71" s="25">
        <f t="shared" ref="R71:R105" si="22">B70</f>
        <v>1</v>
      </c>
      <c r="S71" s="25">
        <f t="shared" ref="S71:S105" si="23">C70</f>
        <v>1</v>
      </c>
      <c r="T71" s="25">
        <f t="shared" ref="T71:T105" si="24">D70</f>
        <v>0</v>
      </c>
      <c r="U71" s="25">
        <f t="shared" ref="U71:U105" si="25">E70</f>
        <v>0</v>
      </c>
      <c r="V71" s="25">
        <f t="shared" ref="V71:V105" si="26">F70</f>
        <v>1</v>
      </c>
      <c r="W71" s="25">
        <f t="shared" ref="W71:W105" si="27">G70</f>
        <v>1</v>
      </c>
      <c r="X71" s="25">
        <f t="shared" ref="X71:X105" si="28">H70</f>
        <v>1</v>
      </c>
      <c r="Y71" s="25">
        <f t="shared" ref="Y71:Y105" si="29">I70</f>
        <v>1</v>
      </c>
      <c r="Z71" s="25">
        <f t="shared" ref="Z71:Z105" si="30">J70</f>
        <v>0</v>
      </c>
      <c r="AA71" s="25">
        <f t="shared" ref="AA71:AA105" si="31">K70</f>
        <v>0</v>
      </c>
      <c r="AB71" s="3">
        <f t="shared" ref="AB71:AB104" si="32">SUM(R71:AA71)/COUNT(R71:AA71)</f>
        <v>0.6</v>
      </c>
      <c r="AC71" s="3">
        <f t="shared" ref="AC71:AC105" si="33">1-AB71</f>
        <v>0.4</v>
      </c>
      <c r="AD71" s="3">
        <f t="shared" ref="AD71:AD105" si="34">AB71*AC71</f>
        <v>0.24</v>
      </c>
      <c r="AE71" s="33"/>
    </row>
    <row r="72" spans="1:31" ht="42" x14ac:dyDescent="0.3">
      <c r="A72" s="53" t="s">
        <v>187</v>
      </c>
      <c r="B72" s="25">
        <v>1</v>
      </c>
      <c r="C72" s="25">
        <v>1</v>
      </c>
      <c r="D72" s="25">
        <v>1</v>
      </c>
      <c r="E72" s="25">
        <v>1</v>
      </c>
      <c r="F72" s="25">
        <v>0</v>
      </c>
      <c r="G72" s="25">
        <v>0</v>
      </c>
      <c r="H72" s="25">
        <v>0</v>
      </c>
      <c r="I72" s="25">
        <v>0</v>
      </c>
      <c r="J72" s="25">
        <v>0</v>
      </c>
      <c r="K72" s="25">
        <v>0</v>
      </c>
      <c r="L72" s="3">
        <f t="shared" si="18"/>
        <v>0.4</v>
      </c>
      <c r="M72" s="26" t="str">
        <f t="shared" si="19"/>
        <v>sedang</v>
      </c>
      <c r="N72" s="3">
        <f t="shared" si="20"/>
        <v>1</v>
      </c>
      <c r="O72" s="26" t="str">
        <f t="shared" si="21"/>
        <v>soal diterima baik</v>
      </c>
      <c r="P72" s="33"/>
      <c r="Q72" s="26">
        <v>67</v>
      </c>
      <c r="R72" s="25">
        <f t="shared" si="22"/>
        <v>1</v>
      </c>
      <c r="S72" s="25">
        <f t="shared" si="23"/>
        <v>1</v>
      </c>
      <c r="T72" s="25">
        <f t="shared" si="24"/>
        <v>1</v>
      </c>
      <c r="U72" s="25">
        <f t="shared" si="25"/>
        <v>1</v>
      </c>
      <c r="V72" s="25">
        <f t="shared" si="26"/>
        <v>1</v>
      </c>
      <c r="W72" s="25">
        <f t="shared" si="27"/>
        <v>1</v>
      </c>
      <c r="X72" s="25">
        <f t="shared" si="28"/>
        <v>0</v>
      </c>
      <c r="Y72" s="25">
        <f t="shared" si="29"/>
        <v>0</v>
      </c>
      <c r="Z72" s="25">
        <f t="shared" si="30"/>
        <v>1</v>
      </c>
      <c r="AA72" s="25">
        <f t="shared" si="31"/>
        <v>1</v>
      </c>
      <c r="AB72" s="3">
        <f t="shared" si="32"/>
        <v>0.8</v>
      </c>
      <c r="AC72" s="3">
        <f t="shared" si="33"/>
        <v>0.19999999999999996</v>
      </c>
      <c r="AD72" s="3">
        <f t="shared" si="34"/>
        <v>0.15999999999999998</v>
      </c>
      <c r="AE72" s="33"/>
    </row>
    <row r="73" spans="1:31" ht="56" x14ac:dyDescent="0.3">
      <c r="A73" s="52" t="s">
        <v>188</v>
      </c>
      <c r="B73" s="25">
        <v>1</v>
      </c>
      <c r="C73" s="25">
        <v>1</v>
      </c>
      <c r="D73" s="25">
        <v>0</v>
      </c>
      <c r="E73" s="25">
        <v>0</v>
      </c>
      <c r="F73" s="25">
        <v>0</v>
      </c>
      <c r="G73" s="25">
        <v>0</v>
      </c>
      <c r="H73" s="25">
        <v>0</v>
      </c>
      <c r="I73" s="25">
        <v>0</v>
      </c>
      <c r="J73" s="25">
        <v>0</v>
      </c>
      <c r="K73" s="25">
        <v>0</v>
      </c>
      <c r="L73" s="3">
        <f t="shared" si="18"/>
        <v>0.2</v>
      </c>
      <c r="M73" s="26" t="str">
        <f t="shared" si="19"/>
        <v>sukar</v>
      </c>
      <c r="N73" s="3">
        <f t="shared" si="20"/>
        <v>0.5</v>
      </c>
      <c r="O73" s="26" t="str">
        <f t="shared" si="21"/>
        <v>soal diterima baik</v>
      </c>
      <c r="P73" s="33"/>
      <c r="Q73" s="26">
        <v>68</v>
      </c>
      <c r="R73" s="25">
        <f t="shared" si="22"/>
        <v>1</v>
      </c>
      <c r="S73" s="25">
        <f t="shared" si="23"/>
        <v>1</v>
      </c>
      <c r="T73" s="25">
        <f t="shared" si="24"/>
        <v>1</v>
      </c>
      <c r="U73" s="25">
        <f t="shared" si="25"/>
        <v>1</v>
      </c>
      <c r="V73" s="25">
        <f t="shared" si="26"/>
        <v>0</v>
      </c>
      <c r="W73" s="25">
        <f t="shared" si="27"/>
        <v>0</v>
      </c>
      <c r="X73" s="25">
        <f t="shared" si="28"/>
        <v>0</v>
      </c>
      <c r="Y73" s="25">
        <f t="shared" si="29"/>
        <v>0</v>
      </c>
      <c r="Z73" s="25">
        <f t="shared" si="30"/>
        <v>0</v>
      </c>
      <c r="AA73" s="25">
        <f t="shared" si="31"/>
        <v>0</v>
      </c>
      <c r="AB73" s="3">
        <f t="shared" si="32"/>
        <v>0.4</v>
      </c>
      <c r="AC73" s="3">
        <f t="shared" si="33"/>
        <v>0.6</v>
      </c>
      <c r="AD73" s="3">
        <f t="shared" si="34"/>
        <v>0.24</v>
      </c>
      <c r="AE73" s="33"/>
    </row>
    <row r="74" spans="1:31" ht="42" x14ac:dyDescent="0.3">
      <c r="A74" s="52" t="s">
        <v>189</v>
      </c>
      <c r="B74" s="25">
        <v>1</v>
      </c>
      <c r="C74" s="25">
        <v>1</v>
      </c>
      <c r="D74" s="25">
        <v>0</v>
      </c>
      <c r="E74" s="25">
        <v>0</v>
      </c>
      <c r="F74" s="25">
        <v>0</v>
      </c>
      <c r="G74" s="25">
        <v>0</v>
      </c>
      <c r="H74" s="25">
        <v>0</v>
      </c>
      <c r="I74" s="25">
        <v>0</v>
      </c>
      <c r="J74" s="25">
        <v>0</v>
      </c>
      <c r="K74" s="25">
        <v>0</v>
      </c>
      <c r="L74" s="3">
        <f t="shared" si="18"/>
        <v>0.2</v>
      </c>
      <c r="M74" s="26" t="str">
        <f t="shared" si="19"/>
        <v>sukar</v>
      </c>
      <c r="N74" s="3">
        <f t="shared" si="20"/>
        <v>0.5</v>
      </c>
      <c r="O74" s="26" t="str">
        <f t="shared" si="21"/>
        <v>soal diterima baik</v>
      </c>
      <c r="P74" s="33"/>
      <c r="Q74" s="26">
        <v>69</v>
      </c>
      <c r="R74" s="25">
        <f t="shared" si="22"/>
        <v>1</v>
      </c>
      <c r="S74" s="25">
        <f t="shared" si="23"/>
        <v>1</v>
      </c>
      <c r="T74" s="25">
        <f t="shared" si="24"/>
        <v>0</v>
      </c>
      <c r="U74" s="25">
        <f t="shared" si="25"/>
        <v>0</v>
      </c>
      <c r="V74" s="25">
        <f t="shared" si="26"/>
        <v>0</v>
      </c>
      <c r="W74" s="25">
        <f t="shared" si="27"/>
        <v>0</v>
      </c>
      <c r="X74" s="25">
        <f t="shared" si="28"/>
        <v>0</v>
      </c>
      <c r="Y74" s="25">
        <f t="shared" si="29"/>
        <v>0</v>
      </c>
      <c r="Z74" s="25">
        <f t="shared" si="30"/>
        <v>0</v>
      </c>
      <c r="AA74" s="25">
        <f t="shared" si="31"/>
        <v>0</v>
      </c>
      <c r="AB74" s="3">
        <f t="shared" si="32"/>
        <v>0.2</v>
      </c>
      <c r="AC74" s="3">
        <f t="shared" si="33"/>
        <v>0.8</v>
      </c>
      <c r="AD74" s="3">
        <f t="shared" si="34"/>
        <v>0.16000000000000003</v>
      </c>
      <c r="AE74" s="33"/>
    </row>
    <row r="75" spans="1:31" ht="56" x14ac:dyDescent="0.3">
      <c r="A75" s="52" t="s">
        <v>190</v>
      </c>
      <c r="B75" s="25">
        <v>0</v>
      </c>
      <c r="C75" s="25">
        <v>0</v>
      </c>
      <c r="D75" s="25">
        <v>1</v>
      </c>
      <c r="E75" s="25">
        <v>1</v>
      </c>
      <c r="F75" s="25">
        <v>0</v>
      </c>
      <c r="G75" s="25">
        <v>0</v>
      </c>
      <c r="H75" s="25">
        <v>0</v>
      </c>
      <c r="I75" s="25">
        <v>0</v>
      </c>
      <c r="J75" s="25">
        <v>0</v>
      </c>
      <c r="K75" s="25">
        <v>0</v>
      </c>
      <c r="L75" s="3">
        <f t="shared" si="18"/>
        <v>0.2</v>
      </c>
      <c r="M75" s="26" t="str">
        <f t="shared" si="19"/>
        <v>sukar</v>
      </c>
      <c r="N75" s="3">
        <f t="shared" si="20"/>
        <v>0.5</v>
      </c>
      <c r="O75" s="26" t="str">
        <f t="shared" si="21"/>
        <v>soal diterima baik</v>
      </c>
      <c r="P75" s="33"/>
      <c r="Q75" s="26">
        <v>70</v>
      </c>
      <c r="R75" s="25">
        <f t="shared" si="22"/>
        <v>1</v>
      </c>
      <c r="S75" s="25">
        <f t="shared" si="23"/>
        <v>1</v>
      </c>
      <c r="T75" s="25">
        <f t="shared" si="24"/>
        <v>0</v>
      </c>
      <c r="U75" s="25">
        <f t="shared" si="25"/>
        <v>0</v>
      </c>
      <c r="V75" s="25">
        <f t="shared" si="26"/>
        <v>0</v>
      </c>
      <c r="W75" s="25">
        <f t="shared" si="27"/>
        <v>0</v>
      </c>
      <c r="X75" s="25">
        <f t="shared" si="28"/>
        <v>0</v>
      </c>
      <c r="Y75" s="25">
        <f t="shared" si="29"/>
        <v>0</v>
      </c>
      <c r="Z75" s="25">
        <f t="shared" si="30"/>
        <v>0</v>
      </c>
      <c r="AA75" s="25">
        <f t="shared" si="31"/>
        <v>0</v>
      </c>
      <c r="AB75" s="3">
        <f t="shared" si="32"/>
        <v>0.2</v>
      </c>
      <c r="AC75" s="3">
        <f t="shared" si="33"/>
        <v>0.8</v>
      </c>
      <c r="AD75" s="3">
        <f t="shared" si="34"/>
        <v>0.16000000000000003</v>
      </c>
      <c r="AE75" s="33"/>
    </row>
    <row r="76" spans="1:31" ht="56" x14ac:dyDescent="0.3">
      <c r="A76" s="52" t="s">
        <v>191</v>
      </c>
      <c r="B76" s="25">
        <v>1</v>
      </c>
      <c r="C76" s="25">
        <v>1</v>
      </c>
      <c r="D76" s="25">
        <v>1</v>
      </c>
      <c r="E76" s="25">
        <v>1</v>
      </c>
      <c r="F76" s="25">
        <v>0</v>
      </c>
      <c r="G76" s="25">
        <v>0</v>
      </c>
      <c r="H76" s="25">
        <v>1</v>
      </c>
      <c r="I76" s="25">
        <v>1</v>
      </c>
      <c r="J76" s="25">
        <v>0</v>
      </c>
      <c r="K76" s="25">
        <v>0</v>
      </c>
      <c r="L76" s="3">
        <f t="shared" si="18"/>
        <v>0.6</v>
      </c>
      <c r="M76" s="26" t="str">
        <f t="shared" si="19"/>
        <v>sedang</v>
      </c>
      <c r="N76" s="3">
        <f t="shared" si="20"/>
        <v>0.5</v>
      </c>
      <c r="O76" s="26" t="str">
        <f t="shared" si="21"/>
        <v>soal diterima baik</v>
      </c>
      <c r="P76" s="33"/>
      <c r="Q76" s="26">
        <v>71</v>
      </c>
      <c r="R76" s="25">
        <f t="shared" si="22"/>
        <v>0</v>
      </c>
      <c r="S76" s="25">
        <f t="shared" si="23"/>
        <v>0</v>
      </c>
      <c r="T76" s="25">
        <f t="shared" si="24"/>
        <v>1</v>
      </c>
      <c r="U76" s="25">
        <f t="shared" si="25"/>
        <v>1</v>
      </c>
      <c r="V76" s="25">
        <f t="shared" si="26"/>
        <v>0</v>
      </c>
      <c r="W76" s="25">
        <f t="shared" si="27"/>
        <v>0</v>
      </c>
      <c r="X76" s="25">
        <f t="shared" si="28"/>
        <v>0</v>
      </c>
      <c r="Y76" s="25">
        <f t="shared" si="29"/>
        <v>0</v>
      </c>
      <c r="Z76" s="25">
        <f t="shared" si="30"/>
        <v>0</v>
      </c>
      <c r="AA76" s="25">
        <f t="shared" si="31"/>
        <v>0</v>
      </c>
      <c r="AB76" s="3">
        <f t="shared" si="32"/>
        <v>0.2</v>
      </c>
      <c r="AC76" s="3">
        <f t="shared" si="33"/>
        <v>0.8</v>
      </c>
      <c r="AD76" s="3">
        <f t="shared" si="34"/>
        <v>0.16000000000000003</v>
      </c>
      <c r="AE76" s="33"/>
    </row>
    <row r="77" spans="1:31" ht="28" x14ac:dyDescent="0.3">
      <c r="A77" s="53" t="s">
        <v>192</v>
      </c>
      <c r="B77" s="25">
        <v>0</v>
      </c>
      <c r="C77" s="25">
        <v>0</v>
      </c>
      <c r="D77" s="25">
        <v>1</v>
      </c>
      <c r="E77" s="25">
        <v>1</v>
      </c>
      <c r="F77" s="25">
        <v>0</v>
      </c>
      <c r="G77" s="25">
        <v>0</v>
      </c>
      <c r="H77" s="25">
        <v>0</v>
      </c>
      <c r="I77" s="25">
        <v>0</v>
      </c>
      <c r="J77" s="25">
        <v>0</v>
      </c>
      <c r="K77" s="25">
        <v>0</v>
      </c>
      <c r="L77" s="3">
        <f t="shared" si="18"/>
        <v>0.2</v>
      </c>
      <c r="M77" s="26" t="str">
        <f t="shared" si="19"/>
        <v>sukar</v>
      </c>
      <c r="N77" s="3">
        <f t="shared" si="20"/>
        <v>0.5</v>
      </c>
      <c r="O77" s="26" t="str">
        <f t="shared" si="21"/>
        <v>soal diterima baik</v>
      </c>
      <c r="P77" s="33"/>
      <c r="Q77" s="26">
        <v>72</v>
      </c>
      <c r="R77" s="25">
        <f t="shared" si="22"/>
        <v>1</v>
      </c>
      <c r="S77" s="25">
        <f t="shared" si="23"/>
        <v>1</v>
      </c>
      <c r="T77" s="25">
        <f t="shared" si="24"/>
        <v>1</v>
      </c>
      <c r="U77" s="25">
        <f t="shared" si="25"/>
        <v>1</v>
      </c>
      <c r="V77" s="25">
        <f t="shared" si="26"/>
        <v>0</v>
      </c>
      <c r="W77" s="25">
        <f t="shared" si="27"/>
        <v>0</v>
      </c>
      <c r="X77" s="25">
        <f t="shared" si="28"/>
        <v>1</v>
      </c>
      <c r="Y77" s="25">
        <f t="shared" si="29"/>
        <v>1</v>
      </c>
      <c r="Z77" s="25">
        <f t="shared" si="30"/>
        <v>0</v>
      </c>
      <c r="AA77" s="25">
        <f t="shared" si="31"/>
        <v>0</v>
      </c>
      <c r="AB77" s="3">
        <f t="shared" si="32"/>
        <v>0.6</v>
      </c>
      <c r="AC77" s="3">
        <f t="shared" si="33"/>
        <v>0.4</v>
      </c>
      <c r="AD77" s="3">
        <f t="shared" si="34"/>
        <v>0.24</v>
      </c>
      <c r="AE77" s="33"/>
    </row>
    <row r="78" spans="1:31" ht="28" x14ac:dyDescent="0.3">
      <c r="A78" s="52" t="s">
        <v>193</v>
      </c>
      <c r="B78" s="25">
        <v>0</v>
      </c>
      <c r="C78" s="25">
        <v>0</v>
      </c>
      <c r="D78" s="25">
        <v>1</v>
      </c>
      <c r="E78" s="25">
        <v>1</v>
      </c>
      <c r="F78" s="25">
        <v>1</v>
      </c>
      <c r="G78" s="25">
        <v>1</v>
      </c>
      <c r="H78" s="25">
        <v>1</v>
      </c>
      <c r="I78" s="25">
        <v>1</v>
      </c>
      <c r="J78" s="25">
        <v>1</v>
      </c>
      <c r="K78" s="25">
        <v>1</v>
      </c>
      <c r="L78" s="3">
        <f t="shared" si="18"/>
        <v>0.8</v>
      </c>
      <c r="M78" s="26" t="str">
        <f t="shared" si="19"/>
        <v>mudah</v>
      </c>
      <c r="N78" s="3">
        <f t="shared" si="20"/>
        <v>0.5</v>
      </c>
      <c r="O78" s="26" t="str">
        <f t="shared" si="21"/>
        <v>soal diterima baik</v>
      </c>
      <c r="P78" s="33"/>
      <c r="Q78" s="26">
        <v>73</v>
      </c>
      <c r="R78" s="25">
        <f t="shared" si="22"/>
        <v>0</v>
      </c>
      <c r="S78" s="25">
        <f t="shared" si="23"/>
        <v>0</v>
      </c>
      <c r="T78" s="25">
        <f t="shared" si="24"/>
        <v>1</v>
      </c>
      <c r="U78" s="25">
        <f t="shared" si="25"/>
        <v>1</v>
      </c>
      <c r="V78" s="25">
        <f t="shared" si="26"/>
        <v>0</v>
      </c>
      <c r="W78" s="25">
        <f t="shared" si="27"/>
        <v>0</v>
      </c>
      <c r="X78" s="25">
        <f t="shared" si="28"/>
        <v>0</v>
      </c>
      <c r="Y78" s="25">
        <f t="shared" si="29"/>
        <v>0</v>
      </c>
      <c r="Z78" s="25">
        <f t="shared" si="30"/>
        <v>0</v>
      </c>
      <c r="AA78" s="25">
        <f t="shared" si="31"/>
        <v>0</v>
      </c>
      <c r="AB78" s="3">
        <f t="shared" si="32"/>
        <v>0.2</v>
      </c>
      <c r="AC78" s="3">
        <f t="shared" si="33"/>
        <v>0.8</v>
      </c>
      <c r="AD78" s="3">
        <f t="shared" si="34"/>
        <v>0.16000000000000003</v>
      </c>
      <c r="AE78" s="33"/>
    </row>
    <row r="79" spans="1:31" ht="56" x14ac:dyDescent="0.3">
      <c r="A79" s="52" t="s">
        <v>194</v>
      </c>
      <c r="B79" s="25">
        <v>1</v>
      </c>
      <c r="C79" s="25">
        <v>1</v>
      </c>
      <c r="D79" s="25">
        <v>1</v>
      </c>
      <c r="E79" s="25">
        <v>1</v>
      </c>
      <c r="F79" s="25">
        <v>0</v>
      </c>
      <c r="G79" s="25">
        <v>0</v>
      </c>
      <c r="H79" s="25">
        <v>1</v>
      </c>
      <c r="I79" s="25">
        <v>1</v>
      </c>
      <c r="J79" s="25">
        <v>0</v>
      </c>
      <c r="K79" s="25">
        <v>0</v>
      </c>
      <c r="L79" s="3">
        <f t="shared" si="18"/>
        <v>0.6</v>
      </c>
      <c r="M79" s="26" t="str">
        <f t="shared" si="19"/>
        <v>sedang</v>
      </c>
      <c r="N79" s="3">
        <f t="shared" si="20"/>
        <v>0.5</v>
      </c>
      <c r="O79" s="26" t="str">
        <f t="shared" si="21"/>
        <v>soal diterima baik</v>
      </c>
      <c r="P79" s="33"/>
      <c r="Q79" s="26">
        <v>74</v>
      </c>
      <c r="R79" s="25">
        <f t="shared" si="22"/>
        <v>0</v>
      </c>
      <c r="S79" s="25">
        <f t="shared" si="23"/>
        <v>0</v>
      </c>
      <c r="T79" s="25">
        <f t="shared" si="24"/>
        <v>1</v>
      </c>
      <c r="U79" s="25">
        <f t="shared" si="25"/>
        <v>1</v>
      </c>
      <c r="V79" s="25">
        <f t="shared" si="26"/>
        <v>1</v>
      </c>
      <c r="W79" s="25">
        <f t="shared" si="27"/>
        <v>1</v>
      </c>
      <c r="X79" s="25">
        <f t="shared" si="28"/>
        <v>1</v>
      </c>
      <c r="Y79" s="25">
        <f t="shared" si="29"/>
        <v>1</v>
      </c>
      <c r="Z79" s="25">
        <f t="shared" si="30"/>
        <v>1</v>
      </c>
      <c r="AA79" s="25">
        <f t="shared" si="31"/>
        <v>1</v>
      </c>
      <c r="AB79" s="3">
        <f t="shared" si="32"/>
        <v>0.8</v>
      </c>
      <c r="AC79" s="3">
        <f t="shared" si="33"/>
        <v>0.19999999999999996</v>
      </c>
      <c r="AD79" s="3">
        <f t="shared" si="34"/>
        <v>0.15999999999999998</v>
      </c>
      <c r="AE79" s="33"/>
    </row>
    <row r="80" spans="1:31" ht="84" x14ac:dyDescent="0.3">
      <c r="A80" s="53" t="s">
        <v>195</v>
      </c>
      <c r="B80" s="25">
        <v>0</v>
      </c>
      <c r="C80" s="25">
        <v>0</v>
      </c>
      <c r="D80" s="25">
        <v>1</v>
      </c>
      <c r="E80" s="25">
        <v>1</v>
      </c>
      <c r="F80" s="25">
        <v>0</v>
      </c>
      <c r="G80" s="25">
        <v>0</v>
      </c>
      <c r="H80" s="25">
        <v>0</v>
      </c>
      <c r="I80" s="25">
        <v>0</v>
      </c>
      <c r="J80" s="25">
        <v>1</v>
      </c>
      <c r="K80" s="25">
        <v>1</v>
      </c>
      <c r="L80" s="3">
        <f t="shared" si="18"/>
        <v>0.4</v>
      </c>
      <c r="M80" s="26" t="str">
        <f t="shared" si="19"/>
        <v>sedang</v>
      </c>
      <c r="N80" s="3">
        <f t="shared" si="20"/>
        <v>0.5</v>
      </c>
      <c r="O80" s="26" t="str">
        <f t="shared" si="21"/>
        <v>soal diterima baik</v>
      </c>
      <c r="P80" s="33"/>
      <c r="Q80" s="26">
        <v>75</v>
      </c>
      <c r="R80" s="25">
        <f t="shared" si="22"/>
        <v>1</v>
      </c>
      <c r="S80" s="25">
        <f t="shared" si="23"/>
        <v>1</v>
      </c>
      <c r="T80" s="25">
        <f t="shared" si="24"/>
        <v>1</v>
      </c>
      <c r="U80" s="25">
        <f t="shared" si="25"/>
        <v>1</v>
      </c>
      <c r="V80" s="25">
        <f t="shared" si="26"/>
        <v>0</v>
      </c>
      <c r="W80" s="25">
        <f t="shared" si="27"/>
        <v>0</v>
      </c>
      <c r="X80" s="25">
        <f t="shared" si="28"/>
        <v>1</v>
      </c>
      <c r="Y80" s="25">
        <f t="shared" si="29"/>
        <v>1</v>
      </c>
      <c r="Z80" s="25">
        <f t="shared" si="30"/>
        <v>0</v>
      </c>
      <c r="AA80" s="25">
        <f t="shared" si="31"/>
        <v>0</v>
      </c>
      <c r="AB80" s="3">
        <f t="shared" si="32"/>
        <v>0.6</v>
      </c>
      <c r="AC80" s="3">
        <f t="shared" si="33"/>
        <v>0.4</v>
      </c>
      <c r="AD80" s="3">
        <f t="shared" si="34"/>
        <v>0.24</v>
      </c>
      <c r="AE80" s="33"/>
    </row>
    <row r="81" spans="1:31" ht="42" x14ac:dyDescent="0.3">
      <c r="A81" s="54" t="s">
        <v>196</v>
      </c>
      <c r="B81" s="25">
        <v>1</v>
      </c>
      <c r="C81" s="25">
        <v>1</v>
      </c>
      <c r="D81" s="25">
        <v>0</v>
      </c>
      <c r="E81" s="25">
        <v>0</v>
      </c>
      <c r="F81" s="25">
        <v>0</v>
      </c>
      <c r="G81" s="25">
        <v>0</v>
      </c>
      <c r="H81" s="25">
        <v>0</v>
      </c>
      <c r="I81" s="25">
        <v>0</v>
      </c>
      <c r="J81" s="25">
        <v>1</v>
      </c>
      <c r="K81" s="25">
        <v>1</v>
      </c>
      <c r="L81" s="3">
        <f t="shared" si="18"/>
        <v>0.4</v>
      </c>
      <c r="M81" s="26" t="str">
        <f t="shared" si="19"/>
        <v>sedang</v>
      </c>
      <c r="N81" s="3">
        <f t="shared" si="20"/>
        <v>0.5</v>
      </c>
      <c r="O81" s="26" t="str">
        <f t="shared" si="21"/>
        <v>soal diterima baik</v>
      </c>
      <c r="P81" s="33"/>
      <c r="Q81" s="26">
        <v>76</v>
      </c>
      <c r="R81" s="25">
        <f t="shared" si="22"/>
        <v>0</v>
      </c>
      <c r="S81" s="25">
        <f t="shared" si="23"/>
        <v>0</v>
      </c>
      <c r="T81" s="25">
        <f t="shared" si="24"/>
        <v>1</v>
      </c>
      <c r="U81" s="25">
        <f t="shared" si="25"/>
        <v>1</v>
      </c>
      <c r="V81" s="25">
        <f t="shared" si="26"/>
        <v>0</v>
      </c>
      <c r="W81" s="25">
        <f t="shared" si="27"/>
        <v>0</v>
      </c>
      <c r="X81" s="25">
        <f t="shared" si="28"/>
        <v>0</v>
      </c>
      <c r="Y81" s="25">
        <f t="shared" si="29"/>
        <v>0</v>
      </c>
      <c r="Z81" s="25">
        <f t="shared" si="30"/>
        <v>1</v>
      </c>
      <c r="AA81" s="25">
        <f t="shared" si="31"/>
        <v>1</v>
      </c>
      <c r="AB81" s="3">
        <f t="shared" si="32"/>
        <v>0.4</v>
      </c>
      <c r="AC81" s="3">
        <f t="shared" si="33"/>
        <v>0.6</v>
      </c>
      <c r="AD81" s="3">
        <f t="shared" si="34"/>
        <v>0.24</v>
      </c>
      <c r="AE81" s="33"/>
    </row>
    <row r="82" spans="1:31" ht="70" x14ac:dyDescent="0.3">
      <c r="A82" s="52" t="s">
        <v>197</v>
      </c>
      <c r="B82" s="25">
        <v>1</v>
      </c>
      <c r="C82" s="25">
        <v>1</v>
      </c>
      <c r="D82" s="25">
        <v>1</v>
      </c>
      <c r="E82" s="25">
        <v>1</v>
      </c>
      <c r="F82" s="25">
        <v>0</v>
      </c>
      <c r="G82" s="25">
        <v>0</v>
      </c>
      <c r="H82" s="25">
        <v>0</v>
      </c>
      <c r="I82" s="25">
        <v>0</v>
      </c>
      <c r="J82" s="25">
        <v>1</v>
      </c>
      <c r="K82" s="25">
        <v>1</v>
      </c>
      <c r="L82" s="3">
        <f t="shared" si="18"/>
        <v>0.6</v>
      </c>
      <c r="M82" s="26" t="str">
        <f t="shared" si="19"/>
        <v>sedang</v>
      </c>
      <c r="N82" s="3">
        <f t="shared" si="20"/>
        <v>1</v>
      </c>
      <c r="O82" s="26" t="str">
        <f t="shared" si="21"/>
        <v>soal diterima baik</v>
      </c>
      <c r="P82" s="33"/>
      <c r="Q82" s="26">
        <v>77</v>
      </c>
      <c r="R82" s="25">
        <f t="shared" si="22"/>
        <v>1</v>
      </c>
      <c r="S82" s="25">
        <f t="shared" si="23"/>
        <v>1</v>
      </c>
      <c r="T82" s="25">
        <f t="shared" si="24"/>
        <v>0</v>
      </c>
      <c r="U82" s="25">
        <f t="shared" si="25"/>
        <v>0</v>
      </c>
      <c r="V82" s="25">
        <f t="shared" si="26"/>
        <v>0</v>
      </c>
      <c r="W82" s="25">
        <f t="shared" si="27"/>
        <v>0</v>
      </c>
      <c r="X82" s="25">
        <f t="shared" si="28"/>
        <v>0</v>
      </c>
      <c r="Y82" s="25">
        <f t="shared" si="29"/>
        <v>0</v>
      </c>
      <c r="Z82" s="25">
        <f t="shared" si="30"/>
        <v>1</v>
      </c>
      <c r="AA82" s="25">
        <f t="shared" si="31"/>
        <v>1</v>
      </c>
      <c r="AB82" s="3">
        <f t="shared" si="32"/>
        <v>0.4</v>
      </c>
      <c r="AC82" s="3">
        <f t="shared" si="33"/>
        <v>0.6</v>
      </c>
      <c r="AD82" s="3">
        <f t="shared" si="34"/>
        <v>0.24</v>
      </c>
      <c r="AE82" s="33"/>
    </row>
    <row r="83" spans="1:31" ht="28" x14ac:dyDescent="0.3">
      <c r="A83" s="52" t="s">
        <v>198</v>
      </c>
      <c r="B83" s="25">
        <v>1</v>
      </c>
      <c r="C83" s="25">
        <v>1</v>
      </c>
      <c r="D83" s="25">
        <v>1</v>
      </c>
      <c r="E83" s="25">
        <v>1</v>
      </c>
      <c r="F83" s="25">
        <v>0</v>
      </c>
      <c r="G83" s="25">
        <v>0</v>
      </c>
      <c r="H83" s="25">
        <v>0</v>
      </c>
      <c r="I83" s="25">
        <v>0</v>
      </c>
      <c r="J83" s="25">
        <v>0</v>
      </c>
      <c r="K83" s="25">
        <v>0</v>
      </c>
      <c r="L83" s="3">
        <f t="shared" si="18"/>
        <v>0.4</v>
      </c>
      <c r="M83" s="26" t="str">
        <f t="shared" si="19"/>
        <v>sedang</v>
      </c>
      <c r="N83" s="3">
        <f t="shared" si="20"/>
        <v>1</v>
      </c>
      <c r="O83" s="26" t="str">
        <f t="shared" si="21"/>
        <v>soal diterima baik</v>
      </c>
      <c r="P83" s="33"/>
      <c r="Q83" s="26">
        <v>78</v>
      </c>
      <c r="R83" s="25">
        <f t="shared" si="22"/>
        <v>1</v>
      </c>
      <c r="S83" s="25">
        <f t="shared" si="23"/>
        <v>1</v>
      </c>
      <c r="T83" s="25">
        <f t="shared" si="24"/>
        <v>1</v>
      </c>
      <c r="U83" s="25">
        <f t="shared" si="25"/>
        <v>1</v>
      </c>
      <c r="V83" s="25">
        <f t="shared" si="26"/>
        <v>0</v>
      </c>
      <c r="W83" s="25">
        <f t="shared" si="27"/>
        <v>0</v>
      </c>
      <c r="X83" s="25">
        <f t="shared" si="28"/>
        <v>0</v>
      </c>
      <c r="Y83" s="25">
        <f t="shared" si="29"/>
        <v>0</v>
      </c>
      <c r="Z83" s="25">
        <f t="shared" si="30"/>
        <v>1</v>
      </c>
      <c r="AA83" s="25">
        <f t="shared" si="31"/>
        <v>1</v>
      </c>
      <c r="AB83" s="3">
        <f t="shared" si="32"/>
        <v>0.6</v>
      </c>
      <c r="AC83" s="3">
        <f t="shared" si="33"/>
        <v>0.4</v>
      </c>
      <c r="AD83" s="3">
        <f t="shared" si="34"/>
        <v>0.24</v>
      </c>
      <c r="AE83" s="33"/>
    </row>
    <row r="84" spans="1:31" ht="42" x14ac:dyDescent="0.3">
      <c r="A84" s="54" t="s">
        <v>199</v>
      </c>
      <c r="B84" s="25">
        <v>0</v>
      </c>
      <c r="C84" s="25">
        <v>0</v>
      </c>
      <c r="D84" s="25">
        <v>1</v>
      </c>
      <c r="E84" s="25">
        <v>1</v>
      </c>
      <c r="F84" s="25">
        <v>0</v>
      </c>
      <c r="G84" s="25">
        <v>0</v>
      </c>
      <c r="H84" s="25">
        <v>0</v>
      </c>
      <c r="I84" s="25">
        <v>0</v>
      </c>
      <c r="J84" s="25">
        <v>0</v>
      </c>
      <c r="K84" s="25">
        <v>0</v>
      </c>
      <c r="L84" s="3">
        <f t="shared" si="18"/>
        <v>0.2</v>
      </c>
      <c r="M84" s="26" t="str">
        <f t="shared" si="19"/>
        <v>sukar</v>
      </c>
      <c r="N84" s="3">
        <f t="shared" si="20"/>
        <v>0.5</v>
      </c>
      <c r="O84" s="26" t="str">
        <f t="shared" si="21"/>
        <v>soal diterima baik</v>
      </c>
      <c r="P84" s="33"/>
      <c r="Q84" s="26">
        <v>79</v>
      </c>
      <c r="R84" s="25">
        <f t="shared" si="22"/>
        <v>1</v>
      </c>
      <c r="S84" s="25">
        <f t="shared" si="23"/>
        <v>1</v>
      </c>
      <c r="T84" s="25">
        <f t="shared" si="24"/>
        <v>1</v>
      </c>
      <c r="U84" s="25">
        <f t="shared" si="25"/>
        <v>1</v>
      </c>
      <c r="V84" s="25">
        <f t="shared" si="26"/>
        <v>0</v>
      </c>
      <c r="W84" s="25">
        <f t="shared" si="27"/>
        <v>0</v>
      </c>
      <c r="X84" s="25">
        <f t="shared" si="28"/>
        <v>0</v>
      </c>
      <c r="Y84" s="25">
        <f t="shared" si="29"/>
        <v>0</v>
      </c>
      <c r="Z84" s="25">
        <f t="shared" si="30"/>
        <v>0</v>
      </c>
      <c r="AA84" s="25">
        <f t="shared" si="31"/>
        <v>0</v>
      </c>
      <c r="AB84" s="3">
        <f t="shared" si="32"/>
        <v>0.4</v>
      </c>
      <c r="AC84" s="3">
        <f t="shared" si="33"/>
        <v>0.6</v>
      </c>
      <c r="AD84" s="3">
        <f t="shared" si="34"/>
        <v>0.24</v>
      </c>
      <c r="AE84" s="33"/>
    </row>
    <row r="85" spans="1:31" ht="42" x14ac:dyDescent="0.3">
      <c r="A85" s="53" t="s">
        <v>200</v>
      </c>
      <c r="B85" s="25">
        <v>1</v>
      </c>
      <c r="C85" s="25">
        <v>1</v>
      </c>
      <c r="D85" s="25">
        <v>1</v>
      </c>
      <c r="E85" s="25">
        <v>1</v>
      </c>
      <c r="F85" s="25">
        <v>0</v>
      </c>
      <c r="G85" s="25">
        <v>0</v>
      </c>
      <c r="H85" s="25">
        <v>0</v>
      </c>
      <c r="I85" s="25">
        <v>0</v>
      </c>
      <c r="J85" s="25">
        <v>0</v>
      </c>
      <c r="K85" s="25">
        <v>0</v>
      </c>
      <c r="L85" s="3">
        <f t="shared" si="18"/>
        <v>0.4</v>
      </c>
      <c r="M85" s="26" t="str">
        <f t="shared" si="19"/>
        <v>sedang</v>
      </c>
      <c r="N85" s="3">
        <f t="shared" si="20"/>
        <v>1</v>
      </c>
      <c r="O85" s="26" t="str">
        <f t="shared" si="21"/>
        <v>soal diterima baik</v>
      </c>
      <c r="P85" s="33"/>
      <c r="Q85" s="26">
        <v>80</v>
      </c>
      <c r="R85" s="25">
        <f t="shared" si="22"/>
        <v>0</v>
      </c>
      <c r="S85" s="25">
        <f t="shared" si="23"/>
        <v>0</v>
      </c>
      <c r="T85" s="25">
        <f t="shared" si="24"/>
        <v>1</v>
      </c>
      <c r="U85" s="25">
        <f t="shared" si="25"/>
        <v>1</v>
      </c>
      <c r="V85" s="25">
        <f t="shared" si="26"/>
        <v>0</v>
      </c>
      <c r="W85" s="25">
        <f t="shared" si="27"/>
        <v>0</v>
      </c>
      <c r="X85" s="25">
        <f t="shared" si="28"/>
        <v>0</v>
      </c>
      <c r="Y85" s="25">
        <f t="shared" si="29"/>
        <v>0</v>
      </c>
      <c r="Z85" s="25">
        <f t="shared" si="30"/>
        <v>0</v>
      </c>
      <c r="AA85" s="25">
        <f t="shared" si="31"/>
        <v>0</v>
      </c>
      <c r="AB85" s="3">
        <f t="shared" si="32"/>
        <v>0.2</v>
      </c>
      <c r="AC85" s="3">
        <f t="shared" si="33"/>
        <v>0.8</v>
      </c>
      <c r="AD85" s="3">
        <f t="shared" si="34"/>
        <v>0.16000000000000003</v>
      </c>
      <c r="AE85" s="33"/>
    </row>
    <row r="86" spans="1:31" ht="70" x14ac:dyDescent="0.3">
      <c r="A86" s="52" t="s">
        <v>201</v>
      </c>
      <c r="B86" s="25">
        <v>1</v>
      </c>
      <c r="C86" s="25">
        <v>1</v>
      </c>
      <c r="D86" s="25">
        <v>1</v>
      </c>
      <c r="E86" s="25">
        <v>1</v>
      </c>
      <c r="F86" s="25">
        <v>1</v>
      </c>
      <c r="G86" s="25">
        <v>1</v>
      </c>
      <c r="H86" s="25">
        <v>0</v>
      </c>
      <c r="I86" s="25">
        <v>0</v>
      </c>
      <c r="J86" s="25">
        <v>0</v>
      </c>
      <c r="K86" s="25">
        <v>0</v>
      </c>
      <c r="L86" s="3">
        <f t="shared" si="18"/>
        <v>0.6</v>
      </c>
      <c r="M86" s="26" t="str">
        <f t="shared" si="19"/>
        <v>sedang</v>
      </c>
      <c r="N86" s="3">
        <f t="shared" si="20"/>
        <v>0.5</v>
      </c>
      <c r="O86" s="26" t="str">
        <f t="shared" si="21"/>
        <v>soal diterima baik</v>
      </c>
      <c r="P86" s="33"/>
      <c r="Q86" s="26">
        <v>81</v>
      </c>
      <c r="R86" s="25">
        <f t="shared" si="22"/>
        <v>1</v>
      </c>
      <c r="S86" s="25">
        <f t="shared" si="23"/>
        <v>1</v>
      </c>
      <c r="T86" s="25">
        <f t="shared" si="24"/>
        <v>1</v>
      </c>
      <c r="U86" s="25">
        <f t="shared" si="25"/>
        <v>1</v>
      </c>
      <c r="V86" s="25">
        <f t="shared" si="26"/>
        <v>0</v>
      </c>
      <c r="W86" s="25">
        <f t="shared" si="27"/>
        <v>0</v>
      </c>
      <c r="X86" s="25">
        <f t="shared" si="28"/>
        <v>0</v>
      </c>
      <c r="Y86" s="25">
        <f t="shared" si="29"/>
        <v>0</v>
      </c>
      <c r="Z86" s="25">
        <f t="shared" si="30"/>
        <v>0</v>
      </c>
      <c r="AA86" s="25">
        <f t="shared" si="31"/>
        <v>0</v>
      </c>
      <c r="AB86" s="3">
        <f t="shared" si="32"/>
        <v>0.4</v>
      </c>
      <c r="AC86" s="3">
        <f t="shared" si="33"/>
        <v>0.6</v>
      </c>
      <c r="AD86" s="3">
        <f t="shared" si="34"/>
        <v>0.24</v>
      </c>
      <c r="AE86" s="33"/>
    </row>
    <row r="87" spans="1:31" ht="42" x14ac:dyDescent="0.3">
      <c r="A87" s="54" t="s">
        <v>202</v>
      </c>
      <c r="B87" s="25">
        <v>0</v>
      </c>
      <c r="C87" s="25">
        <v>0</v>
      </c>
      <c r="D87" s="25">
        <v>1</v>
      </c>
      <c r="E87" s="25">
        <v>1</v>
      </c>
      <c r="F87" s="25">
        <v>0</v>
      </c>
      <c r="G87" s="25">
        <v>0</v>
      </c>
      <c r="H87" s="25">
        <v>0</v>
      </c>
      <c r="I87" s="25">
        <v>0</v>
      </c>
      <c r="J87" s="25">
        <v>0</v>
      </c>
      <c r="K87" s="25">
        <v>0</v>
      </c>
      <c r="L87" s="3">
        <f t="shared" si="18"/>
        <v>0.2</v>
      </c>
      <c r="M87" s="26" t="str">
        <f t="shared" si="19"/>
        <v>sukar</v>
      </c>
      <c r="N87" s="3">
        <f t="shared" si="20"/>
        <v>0.5</v>
      </c>
      <c r="O87" s="26" t="str">
        <f t="shared" si="21"/>
        <v>soal diterima baik</v>
      </c>
      <c r="P87" s="33"/>
      <c r="Q87" s="26">
        <v>82</v>
      </c>
      <c r="R87" s="25">
        <f t="shared" si="22"/>
        <v>1</v>
      </c>
      <c r="S87" s="25">
        <f t="shared" si="23"/>
        <v>1</v>
      </c>
      <c r="T87" s="25">
        <f t="shared" si="24"/>
        <v>1</v>
      </c>
      <c r="U87" s="25">
        <f t="shared" si="25"/>
        <v>1</v>
      </c>
      <c r="V87" s="25">
        <f t="shared" si="26"/>
        <v>1</v>
      </c>
      <c r="W87" s="25">
        <f t="shared" si="27"/>
        <v>1</v>
      </c>
      <c r="X87" s="25">
        <f t="shared" si="28"/>
        <v>0</v>
      </c>
      <c r="Y87" s="25">
        <f t="shared" si="29"/>
        <v>0</v>
      </c>
      <c r="Z87" s="25">
        <f t="shared" si="30"/>
        <v>0</v>
      </c>
      <c r="AA87" s="25">
        <f t="shared" si="31"/>
        <v>0</v>
      </c>
      <c r="AB87" s="3">
        <f t="shared" si="32"/>
        <v>0.6</v>
      </c>
      <c r="AC87" s="3">
        <f t="shared" si="33"/>
        <v>0.4</v>
      </c>
      <c r="AD87" s="3">
        <f t="shared" si="34"/>
        <v>0.24</v>
      </c>
      <c r="AE87" s="33"/>
    </row>
    <row r="88" spans="1:31" ht="42" x14ac:dyDescent="0.3">
      <c r="A88" s="54" t="s">
        <v>203</v>
      </c>
      <c r="B88" s="25">
        <v>1</v>
      </c>
      <c r="C88" s="25">
        <v>1</v>
      </c>
      <c r="D88" s="25">
        <v>1</v>
      </c>
      <c r="E88" s="25">
        <v>1</v>
      </c>
      <c r="F88" s="25">
        <v>0</v>
      </c>
      <c r="G88" s="25">
        <v>0</v>
      </c>
      <c r="H88" s="25">
        <v>0</v>
      </c>
      <c r="I88" s="25">
        <v>0</v>
      </c>
      <c r="J88" s="25">
        <v>0</v>
      </c>
      <c r="K88" s="25">
        <v>0</v>
      </c>
      <c r="L88" s="3">
        <f t="shared" si="18"/>
        <v>0.4</v>
      </c>
      <c r="M88" s="26" t="str">
        <f t="shared" si="19"/>
        <v>sedang</v>
      </c>
      <c r="N88" s="3">
        <f t="shared" si="20"/>
        <v>1</v>
      </c>
      <c r="O88" s="26" t="str">
        <f t="shared" si="21"/>
        <v>soal diterima baik</v>
      </c>
      <c r="P88" s="33"/>
      <c r="Q88" s="26">
        <v>83</v>
      </c>
      <c r="R88" s="25">
        <f t="shared" si="22"/>
        <v>0</v>
      </c>
      <c r="S88" s="25">
        <f t="shared" si="23"/>
        <v>0</v>
      </c>
      <c r="T88" s="25">
        <f t="shared" si="24"/>
        <v>1</v>
      </c>
      <c r="U88" s="25">
        <f t="shared" si="25"/>
        <v>1</v>
      </c>
      <c r="V88" s="25">
        <f t="shared" si="26"/>
        <v>0</v>
      </c>
      <c r="W88" s="25">
        <f t="shared" si="27"/>
        <v>0</v>
      </c>
      <c r="X88" s="25">
        <f t="shared" si="28"/>
        <v>0</v>
      </c>
      <c r="Y88" s="25">
        <f t="shared" si="29"/>
        <v>0</v>
      </c>
      <c r="Z88" s="25">
        <f t="shared" si="30"/>
        <v>0</v>
      </c>
      <c r="AA88" s="25">
        <f t="shared" si="31"/>
        <v>0</v>
      </c>
      <c r="AB88" s="3">
        <f t="shared" si="32"/>
        <v>0.2</v>
      </c>
      <c r="AC88" s="3">
        <f t="shared" si="33"/>
        <v>0.8</v>
      </c>
      <c r="AD88" s="3">
        <f t="shared" si="34"/>
        <v>0.16000000000000003</v>
      </c>
      <c r="AE88" s="33"/>
    </row>
    <row r="89" spans="1:31" ht="42" x14ac:dyDescent="0.3">
      <c r="A89" s="54" t="s">
        <v>204</v>
      </c>
      <c r="B89" s="25">
        <v>1</v>
      </c>
      <c r="C89" s="25">
        <v>1</v>
      </c>
      <c r="D89" s="25">
        <v>0</v>
      </c>
      <c r="E89" s="25">
        <v>0</v>
      </c>
      <c r="F89" s="25">
        <v>0</v>
      </c>
      <c r="G89" s="25">
        <v>0</v>
      </c>
      <c r="H89" s="25">
        <v>0</v>
      </c>
      <c r="I89" s="25">
        <v>0</v>
      </c>
      <c r="J89" s="25">
        <v>0</v>
      </c>
      <c r="K89" s="25">
        <v>0</v>
      </c>
      <c r="L89" s="3">
        <f t="shared" si="18"/>
        <v>0.2</v>
      </c>
      <c r="M89" s="26" t="str">
        <f t="shared" si="19"/>
        <v>sukar</v>
      </c>
      <c r="N89" s="3">
        <f t="shared" si="20"/>
        <v>0.5</v>
      </c>
      <c r="O89" s="26" t="str">
        <f t="shared" si="21"/>
        <v>soal diterima baik</v>
      </c>
      <c r="P89" s="33"/>
      <c r="Q89" s="26">
        <v>84</v>
      </c>
      <c r="R89" s="25">
        <f t="shared" si="22"/>
        <v>1</v>
      </c>
      <c r="S89" s="25">
        <f t="shared" si="23"/>
        <v>1</v>
      </c>
      <c r="T89" s="25">
        <f t="shared" si="24"/>
        <v>1</v>
      </c>
      <c r="U89" s="25">
        <f t="shared" si="25"/>
        <v>1</v>
      </c>
      <c r="V89" s="25">
        <f t="shared" si="26"/>
        <v>0</v>
      </c>
      <c r="W89" s="25">
        <f t="shared" si="27"/>
        <v>0</v>
      </c>
      <c r="X89" s="25">
        <f t="shared" si="28"/>
        <v>0</v>
      </c>
      <c r="Y89" s="25">
        <f t="shared" si="29"/>
        <v>0</v>
      </c>
      <c r="Z89" s="25">
        <f t="shared" si="30"/>
        <v>0</v>
      </c>
      <c r="AA89" s="25">
        <f t="shared" si="31"/>
        <v>0</v>
      </c>
      <c r="AB89" s="3">
        <f t="shared" si="32"/>
        <v>0.4</v>
      </c>
      <c r="AC89" s="3">
        <f t="shared" si="33"/>
        <v>0.6</v>
      </c>
      <c r="AD89" s="3">
        <f t="shared" si="34"/>
        <v>0.24</v>
      </c>
      <c r="AE89" s="33"/>
    </row>
    <row r="90" spans="1:31" ht="42" x14ac:dyDescent="0.3">
      <c r="A90" s="53" t="s">
        <v>205</v>
      </c>
      <c r="B90" s="25">
        <v>1</v>
      </c>
      <c r="C90" s="25">
        <v>1</v>
      </c>
      <c r="D90" s="25">
        <v>1</v>
      </c>
      <c r="E90" s="25">
        <v>1</v>
      </c>
      <c r="F90" s="25">
        <v>0</v>
      </c>
      <c r="G90" s="25">
        <v>0</v>
      </c>
      <c r="H90" s="25">
        <v>0</v>
      </c>
      <c r="I90" s="25">
        <v>0</v>
      </c>
      <c r="J90" s="25">
        <v>1</v>
      </c>
      <c r="K90" s="25">
        <v>1</v>
      </c>
      <c r="L90" s="3">
        <f t="shared" si="18"/>
        <v>0.6</v>
      </c>
      <c r="M90" s="26" t="str">
        <f t="shared" si="19"/>
        <v>sedang</v>
      </c>
      <c r="N90" s="3">
        <f t="shared" si="20"/>
        <v>1</v>
      </c>
      <c r="O90" s="26" t="str">
        <f t="shared" si="21"/>
        <v>soal diterima baik</v>
      </c>
      <c r="P90" s="33"/>
      <c r="Q90" s="26">
        <v>85</v>
      </c>
      <c r="R90" s="25">
        <f t="shared" si="22"/>
        <v>1</v>
      </c>
      <c r="S90" s="25">
        <f t="shared" si="23"/>
        <v>1</v>
      </c>
      <c r="T90" s="25">
        <f t="shared" si="24"/>
        <v>0</v>
      </c>
      <c r="U90" s="25">
        <f t="shared" si="25"/>
        <v>0</v>
      </c>
      <c r="V90" s="25">
        <f t="shared" si="26"/>
        <v>0</v>
      </c>
      <c r="W90" s="25">
        <f t="shared" si="27"/>
        <v>0</v>
      </c>
      <c r="X90" s="25">
        <f t="shared" si="28"/>
        <v>0</v>
      </c>
      <c r="Y90" s="25">
        <f t="shared" si="29"/>
        <v>0</v>
      </c>
      <c r="Z90" s="25">
        <f t="shared" si="30"/>
        <v>0</v>
      </c>
      <c r="AA90" s="25">
        <f t="shared" si="31"/>
        <v>0</v>
      </c>
      <c r="AB90" s="3">
        <f t="shared" si="32"/>
        <v>0.2</v>
      </c>
      <c r="AC90" s="3">
        <f t="shared" si="33"/>
        <v>0.8</v>
      </c>
      <c r="AD90" s="3">
        <f t="shared" si="34"/>
        <v>0.16000000000000003</v>
      </c>
      <c r="AE90" s="33"/>
    </row>
    <row r="91" spans="1:31" ht="28" x14ac:dyDescent="0.3">
      <c r="A91" s="54" t="s">
        <v>206</v>
      </c>
      <c r="B91" s="25">
        <v>1</v>
      </c>
      <c r="C91" s="25">
        <v>1</v>
      </c>
      <c r="D91" s="25">
        <v>1</v>
      </c>
      <c r="E91" s="25">
        <v>1</v>
      </c>
      <c r="F91" s="25">
        <v>0</v>
      </c>
      <c r="G91" s="25">
        <v>0</v>
      </c>
      <c r="H91" s="25">
        <v>0</v>
      </c>
      <c r="I91" s="25">
        <v>0</v>
      </c>
      <c r="J91" s="25">
        <v>0</v>
      </c>
      <c r="K91" s="25">
        <v>0</v>
      </c>
      <c r="L91" s="3">
        <f t="shared" si="18"/>
        <v>0.4</v>
      </c>
      <c r="M91" s="26" t="str">
        <f t="shared" si="19"/>
        <v>sedang</v>
      </c>
      <c r="N91" s="3">
        <f t="shared" si="20"/>
        <v>1</v>
      </c>
      <c r="O91" s="26" t="str">
        <f t="shared" si="21"/>
        <v>soal diterima baik</v>
      </c>
      <c r="P91" s="33"/>
      <c r="Q91" s="26">
        <v>86</v>
      </c>
      <c r="R91" s="25">
        <f t="shared" si="22"/>
        <v>1</v>
      </c>
      <c r="S91" s="25">
        <f t="shared" si="23"/>
        <v>1</v>
      </c>
      <c r="T91" s="25">
        <f t="shared" si="24"/>
        <v>1</v>
      </c>
      <c r="U91" s="25">
        <f t="shared" si="25"/>
        <v>1</v>
      </c>
      <c r="V91" s="25">
        <f t="shared" si="26"/>
        <v>0</v>
      </c>
      <c r="W91" s="25">
        <f t="shared" si="27"/>
        <v>0</v>
      </c>
      <c r="X91" s="25">
        <f t="shared" si="28"/>
        <v>0</v>
      </c>
      <c r="Y91" s="25">
        <f t="shared" si="29"/>
        <v>0</v>
      </c>
      <c r="Z91" s="25">
        <f t="shared" si="30"/>
        <v>1</v>
      </c>
      <c r="AA91" s="25">
        <f t="shared" si="31"/>
        <v>1</v>
      </c>
      <c r="AB91" s="3">
        <f t="shared" si="32"/>
        <v>0.6</v>
      </c>
      <c r="AC91" s="3">
        <f t="shared" si="33"/>
        <v>0.4</v>
      </c>
      <c r="AD91" s="3">
        <f t="shared" si="34"/>
        <v>0.24</v>
      </c>
      <c r="AE91" s="33"/>
    </row>
    <row r="92" spans="1:31" ht="42" x14ac:dyDescent="0.3">
      <c r="A92" s="54" t="s">
        <v>207</v>
      </c>
      <c r="B92" s="25">
        <v>1</v>
      </c>
      <c r="C92" s="25">
        <v>1</v>
      </c>
      <c r="D92" s="25">
        <v>1</v>
      </c>
      <c r="E92" s="25">
        <v>1</v>
      </c>
      <c r="F92" s="25">
        <v>0</v>
      </c>
      <c r="G92" s="25">
        <v>0</v>
      </c>
      <c r="H92" s="25">
        <v>0</v>
      </c>
      <c r="I92" s="25">
        <v>0</v>
      </c>
      <c r="J92" s="25">
        <v>0</v>
      </c>
      <c r="K92" s="25">
        <v>0</v>
      </c>
      <c r="L92" s="3">
        <f t="shared" si="18"/>
        <v>0.4</v>
      </c>
      <c r="M92" s="26" t="str">
        <f t="shared" si="19"/>
        <v>sedang</v>
      </c>
      <c r="N92" s="3">
        <f t="shared" si="20"/>
        <v>1</v>
      </c>
      <c r="O92" s="26" t="str">
        <f t="shared" si="21"/>
        <v>soal diterima baik</v>
      </c>
      <c r="P92" s="33"/>
      <c r="Q92" s="26">
        <v>87</v>
      </c>
      <c r="R92" s="25">
        <f t="shared" si="22"/>
        <v>1</v>
      </c>
      <c r="S92" s="25">
        <f t="shared" si="23"/>
        <v>1</v>
      </c>
      <c r="T92" s="25">
        <f t="shared" si="24"/>
        <v>1</v>
      </c>
      <c r="U92" s="25">
        <f t="shared" si="25"/>
        <v>1</v>
      </c>
      <c r="V92" s="25">
        <f t="shared" si="26"/>
        <v>0</v>
      </c>
      <c r="W92" s="25">
        <f t="shared" si="27"/>
        <v>0</v>
      </c>
      <c r="X92" s="25">
        <f t="shared" si="28"/>
        <v>0</v>
      </c>
      <c r="Y92" s="25">
        <f t="shared" si="29"/>
        <v>0</v>
      </c>
      <c r="Z92" s="25">
        <f t="shared" si="30"/>
        <v>0</v>
      </c>
      <c r="AA92" s="25">
        <f t="shared" si="31"/>
        <v>0</v>
      </c>
      <c r="AB92" s="3">
        <f t="shared" si="32"/>
        <v>0.4</v>
      </c>
      <c r="AC92" s="3">
        <f t="shared" si="33"/>
        <v>0.6</v>
      </c>
      <c r="AD92" s="3">
        <f t="shared" si="34"/>
        <v>0.24</v>
      </c>
      <c r="AE92" s="33"/>
    </row>
    <row r="93" spans="1:31" ht="56" x14ac:dyDescent="0.3">
      <c r="A93" s="54" t="s">
        <v>208</v>
      </c>
      <c r="B93" s="25">
        <v>1</v>
      </c>
      <c r="C93" s="25">
        <v>1</v>
      </c>
      <c r="D93" s="25">
        <v>0</v>
      </c>
      <c r="E93" s="25">
        <v>0</v>
      </c>
      <c r="F93" s="25">
        <v>0</v>
      </c>
      <c r="G93" s="25">
        <v>0</v>
      </c>
      <c r="H93" s="25">
        <v>0</v>
      </c>
      <c r="I93" s="25">
        <v>0</v>
      </c>
      <c r="J93" s="25">
        <v>0</v>
      </c>
      <c r="K93" s="25">
        <v>0</v>
      </c>
      <c r="L93" s="3">
        <f t="shared" si="18"/>
        <v>0.2</v>
      </c>
      <c r="M93" s="26" t="str">
        <f t="shared" si="19"/>
        <v>sukar</v>
      </c>
      <c r="N93" s="3">
        <f t="shared" si="20"/>
        <v>0.5</v>
      </c>
      <c r="O93" s="26" t="str">
        <f t="shared" si="21"/>
        <v>soal diterima baik</v>
      </c>
      <c r="P93" s="33"/>
      <c r="Q93" s="26">
        <v>88</v>
      </c>
      <c r="R93" s="25">
        <f t="shared" si="22"/>
        <v>1</v>
      </c>
      <c r="S93" s="25">
        <f t="shared" si="23"/>
        <v>1</v>
      </c>
      <c r="T93" s="25">
        <f t="shared" si="24"/>
        <v>1</v>
      </c>
      <c r="U93" s="25">
        <f t="shared" si="25"/>
        <v>1</v>
      </c>
      <c r="V93" s="25">
        <f t="shared" si="26"/>
        <v>0</v>
      </c>
      <c r="W93" s="25">
        <f t="shared" si="27"/>
        <v>0</v>
      </c>
      <c r="X93" s="25">
        <f t="shared" si="28"/>
        <v>0</v>
      </c>
      <c r="Y93" s="25">
        <f t="shared" si="29"/>
        <v>0</v>
      </c>
      <c r="Z93" s="25">
        <f t="shared" si="30"/>
        <v>0</v>
      </c>
      <c r="AA93" s="25">
        <f t="shared" si="31"/>
        <v>0</v>
      </c>
      <c r="AB93" s="3">
        <f t="shared" si="32"/>
        <v>0.4</v>
      </c>
      <c r="AC93" s="3">
        <f t="shared" si="33"/>
        <v>0.6</v>
      </c>
      <c r="AD93" s="3">
        <f t="shared" si="34"/>
        <v>0.24</v>
      </c>
      <c r="AE93" s="33"/>
    </row>
    <row r="94" spans="1:31" x14ac:dyDescent="0.3">
      <c r="A94" s="52" t="s">
        <v>209</v>
      </c>
      <c r="B94" s="25">
        <v>1</v>
      </c>
      <c r="C94" s="25">
        <v>1</v>
      </c>
      <c r="D94" s="25">
        <v>1</v>
      </c>
      <c r="E94" s="25">
        <v>1</v>
      </c>
      <c r="F94" s="25">
        <v>1</v>
      </c>
      <c r="G94" s="25">
        <v>1</v>
      </c>
      <c r="H94" s="25">
        <v>0</v>
      </c>
      <c r="I94" s="25">
        <v>0</v>
      </c>
      <c r="J94" s="25">
        <v>1</v>
      </c>
      <c r="K94" s="25">
        <v>1</v>
      </c>
      <c r="L94" s="3">
        <f t="shared" si="18"/>
        <v>0.8</v>
      </c>
      <c r="M94" s="26" t="str">
        <f t="shared" si="19"/>
        <v>mudah</v>
      </c>
      <c r="N94" s="3">
        <f t="shared" si="20"/>
        <v>0.5</v>
      </c>
      <c r="O94" s="26" t="str">
        <f t="shared" si="21"/>
        <v>soal diterima baik</v>
      </c>
      <c r="P94" s="33"/>
      <c r="Q94" s="26">
        <v>89</v>
      </c>
      <c r="R94" s="25">
        <f t="shared" si="22"/>
        <v>1</v>
      </c>
      <c r="S94" s="25">
        <f t="shared" si="23"/>
        <v>1</v>
      </c>
      <c r="T94" s="25">
        <f t="shared" si="24"/>
        <v>0</v>
      </c>
      <c r="U94" s="25">
        <f t="shared" si="25"/>
        <v>0</v>
      </c>
      <c r="V94" s="25">
        <f t="shared" si="26"/>
        <v>0</v>
      </c>
      <c r="W94" s="25">
        <f t="shared" si="27"/>
        <v>0</v>
      </c>
      <c r="X94" s="25">
        <f t="shared" si="28"/>
        <v>0</v>
      </c>
      <c r="Y94" s="25">
        <f t="shared" si="29"/>
        <v>0</v>
      </c>
      <c r="Z94" s="25">
        <f t="shared" si="30"/>
        <v>0</v>
      </c>
      <c r="AA94" s="25">
        <f t="shared" si="31"/>
        <v>0</v>
      </c>
      <c r="AB94" s="3">
        <f t="shared" si="32"/>
        <v>0.2</v>
      </c>
      <c r="AC94" s="3">
        <f t="shared" si="33"/>
        <v>0.8</v>
      </c>
      <c r="AD94" s="3">
        <f t="shared" si="34"/>
        <v>0.16000000000000003</v>
      </c>
      <c r="AE94" s="33"/>
    </row>
    <row r="95" spans="1:31" ht="28" x14ac:dyDescent="0.3">
      <c r="A95" s="52" t="s">
        <v>210</v>
      </c>
      <c r="B95" s="25">
        <v>0</v>
      </c>
      <c r="C95" s="25">
        <v>0</v>
      </c>
      <c r="D95" s="25">
        <v>1</v>
      </c>
      <c r="E95" s="25">
        <v>1</v>
      </c>
      <c r="F95" s="25">
        <v>0</v>
      </c>
      <c r="G95" s="25">
        <v>0</v>
      </c>
      <c r="H95" s="25">
        <v>0</v>
      </c>
      <c r="I95" s="25">
        <v>0</v>
      </c>
      <c r="J95" s="25">
        <v>0</v>
      </c>
      <c r="K95" s="25">
        <v>0</v>
      </c>
      <c r="L95" s="3">
        <f t="shared" si="18"/>
        <v>0.2</v>
      </c>
      <c r="M95" s="26" t="str">
        <f t="shared" si="19"/>
        <v>sukar</v>
      </c>
      <c r="N95" s="3">
        <f t="shared" si="20"/>
        <v>0.5</v>
      </c>
      <c r="O95" s="26" t="str">
        <f t="shared" si="21"/>
        <v>soal diterima baik</v>
      </c>
      <c r="P95" s="33"/>
      <c r="Q95" s="26">
        <v>90</v>
      </c>
      <c r="R95" s="25">
        <f t="shared" si="22"/>
        <v>1</v>
      </c>
      <c r="S95" s="25">
        <f t="shared" si="23"/>
        <v>1</v>
      </c>
      <c r="T95" s="25">
        <f t="shared" si="24"/>
        <v>1</v>
      </c>
      <c r="U95" s="25">
        <f t="shared" si="25"/>
        <v>1</v>
      </c>
      <c r="V95" s="25">
        <f t="shared" si="26"/>
        <v>1</v>
      </c>
      <c r="W95" s="25">
        <f t="shared" si="27"/>
        <v>1</v>
      </c>
      <c r="X95" s="25">
        <f t="shared" si="28"/>
        <v>0</v>
      </c>
      <c r="Y95" s="25">
        <f t="shared" si="29"/>
        <v>0</v>
      </c>
      <c r="Z95" s="25">
        <f t="shared" si="30"/>
        <v>1</v>
      </c>
      <c r="AA95" s="25">
        <f t="shared" si="31"/>
        <v>1</v>
      </c>
      <c r="AB95" s="3">
        <f t="shared" si="32"/>
        <v>0.8</v>
      </c>
      <c r="AC95" s="3">
        <f t="shared" si="33"/>
        <v>0.19999999999999996</v>
      </c>
      <c r="AD95" s="3">
        <f t="shared" si="34"/>
        <v>0.15999999999999998</v>
      </c>
      <c r="AE95" s="33"/>
    </row>
    <row r="96" spans="1:31" ht="28" x14ac:dyDescent="0.3">
      <c r="A96" s="53" t="s">
        <v>211</v>
      </c>
      <c r="B96" s="25">
        <v>1</v>
      </c>
      <c r="C96" s="25">
        <v>1</v>
      </c>
      <c r="D96" s="25">
        <v>1</v>
      </c>
      <c r="E96" s="25">
        <v>1</v>
      </c>
      <c r="F96" s="25">
        <v>0</v>
      </c>
      <c r="G96" s="25">
        <v>0</v>
      </c>
      <c r="H96" s="25">
        <v>0</v>
      </c>
      <c r="I96" s="25">
        <v>0</v>
      </c>
      <c r="J96" s="25">
        <v>1</v>
      </c>
      <c r="K96" s="25">
        <v>1</v>
      </c>
      <c r="L96" s="3">
        <f t="shared" si="18"/>
        <v>0.6</v>
      </c>
      <c r="M96" s="26" t="str">
        <f t="shared" si="19"/>
        <v>sedang</v>
      </c>
      <c r="N96" s="3">
        <f t="shared" si="20"/>
        <v>1</v>
      </c>
      <c r="O96" s="26" t="str">
        <f t="shared" si="21"/>
        <v>soal diterima baik</v>
      </c>
      <c r="P96" s="33"/>
      <c r="Q96" s="26">
        <v>91</v>
      </c>
      <c r="R96" s="25">
        <f t="shared" si="22"/>
        <v>0</v>
      </c>
      <c r="S96" s="25">
        <f t="shared" si="23"/>
        <v>0</v>
      </c>
      <c r="T96" s="25">
        <f t="shared" si="24"/>
        <v>1</v>
      </c>
      <c r="U96" s="25">
        <f t="shared" si="25"/>
        <v>1</v>
      </c>
      <c r="V96" s="25">
        <f t="shared" si="26"/>
        <v>0</v>
      </c>
      <c r="W96" s="25">
        <f t="shared" si="27"/>
        <v>0</v>
      </c>
      <c r="X96" s="25">
        <f t="shared" si="28"/>
        <v>0</v>
      </c>
      <c r="Y96" s="25">
        <f t="shared" si="29"/>
        <v>0</v>
      </c>
      <c r="Z96" s="25">
        <f t="shared" si="30"/>
        <v>0</v>
      </c>
      <c r="AA96" s="25">
        <f t="shared" si="31"/>
        <v>0</v>
      </c>
      <c r="AB96" s="3">
        <f t="shared" si="32"/>
        <v>0.2</v>
      </c>
      <c r="AC96" s="3">
        <f t="shared" si="33"/>
        <v>0.8</v>
      </c>
      <c r="AD96" s="3">
        <f t="shared" si="34"/>
        <v>0.16000000000000003</v>
      </c>
      <c r="AE96" s="33"/>
    </row>
    <row r="97" spans="1:32" ht="42" x14ac:dyDescent="0.3">
      <c r="A97" s="54" t="s">
        <v>212</v>
      </c>
      <c r="B97" s="25">
        <v>1</v>
      </c>
      <c r="C97" s="25">
        <v>1</v>
      </c>
      <c r="D97" s="25">
        <v>1</v>
      </c>
      <c r="E97" s="25">
        <v>1</v>
      </c>
      <c r="F97" s="25">
        <v>0</v>
      </c>
      <c r="G97" s="25">
        <v>0</v>
      </c>
      <c r="H97" s="25">
        <v>0</v>
      </c>
      <c r="I97" s="25">
        <v>0</v>
      </c>
      <c r="J97" s="25">
        <v>0</v>
      </c>
      <c r="K97" s="25">
        <v>0</v>
      </c>
      <c r="L97" s="3">
        <f t="shared" si="18"/>
        <v>0.4</v>
      </c>
      <c r="M97" s="26" t="str">
        <f t="shared" si="19"/>
        <v>sedang</v>
      </c>
      <c r="N97" s="3">
        <f t="shared" si="20"/>
        <v>1</v>
      </c>
      <c r="O97" s="26" t="str">
        <f t="shared" si="21"/>
        <v>soal diterima baik</v>
      </c>
      <c r="P97" s="33"/>
      <c r="Q97" s="26">
        <v>92</v>
      </c>
      <c r="R97" s="25">
        <f t="shared" si="22"/>
        <v>1</v>
      </c>
      <c r="S97" s="25">
        <f t="shared" si="23"/>
        <v>1</v>
      </c>
      <c r="T97" s="25">
        <f t="shared" si="24"/>
        <v>1</v>
      </c>
      <c r="U97" s="25">
        <f t="shared" si="25"/>
        <v>1</v>
      </c>
      <c r="V97" s="25">
        <f t="shared" si="26"/>
        <v>0</v>
      </c>
      <c r="W97" s="25">
        <f t="shared" si="27"/>
        <v>0</v>
      </c>
      <c r="X97" s="25">
        <f t="shared" si="28"/>
        <v>0</v>
      </c>
      <c r="Y97" s="25">
        <f t="shared" si="29"/>
        <v>0</v>
      </c>
      <c r="Z97" s="25">
        <f t="shared" si="30"/>
        <v>1</v>
      </c>
      <c r="AA97" s="25">
        <f t="shared" si="31"/>
        <v>1</v>
      </c>
      <c r="AB97" s="3">
        <f t="shared" si="32"/>
        <v>0.6</v>
      </c>
      <c r="AC97" s="3">
        <f t="shared" si="33"/>
        <v>0.4</v>
      </c>
      <c r="AD97" s="3">
        <f t="shared" si="34"/>
        <v>0.24</v>
      </c>
      <c r="AE97" s="33"/>
    </row>
    <row r="98" spans="1:32" ht="28" x14ac:dyDescent="0.3">
      <c r="A98" s="54" t="s">
        <v>213</v>
      </c>
      <c r="B98" s="25">
        <v>1</v>
      </c>
      <c r="C98" s="25">
        <v>1</v>
      </c>
      <c r="D98" s="25">
        <v>0</v>
      </c>
      <c r="E98" s="25">
        <v>0</v>
      </c>
      <c r="F98" s="25">
        <v>1</v>
      </c>
      <c r="G98" s="25">
        <v>1</v>
      </c>
      <c r="H98" s="25">
        <v>1</v>
      </c>
      <c r="I98" s="25">
        <v>1</v>
      </c>
      <c r="J98" s="25">
        <v>1</v>
      </c>
      <c r="K98" s="25">
        <v>1</v>
      </c>
      <c r="L98" s="3">
        <f t="shared" si="18"/>
        <v>0.8</v>
      </c>
      <c r="M98" s="26" t="str">
        <f t="shared" si="19"/>
        <v>mudah</v>
      </c>
      <c r="N98" s="3">
        <f t="shared" si="20"/>
        <v>0.5</v>
      </c>
      <c r="O98" s="26" t="str">
        <f t="shared" si="21"/>
        <v>soal diterima baik</v>
      </c>
      <c r="P98" s="33"/>
      <c r="Q98" s="26">
        <v>93</v>
      </c>
      <c r="R98" s="25">
        <f t="shared" si="22"/>
        <v>1</v>
      </c>
      <c r="S98" s="25">
        <f t="shared" si="23"/>
        <v>1</v>
      </c>
      <c r="T98" s="25">
        <f t="shared" si="24"/>
        <v>1</v>
      </c>
      <c r="U98" s="25">
        <f t="shared" si="25"/>
        <v>1</v>
      </c>
      <c r="V98" s="25">
        <f t="shared" si="26"/>
        <v>0</v>
      </c>
      <c r="W98" s="25">
        <f t="shared" si="27"/>
        <v>0</v>
      </c>
      <c r="X98" s="25">
        <f t="shared" si="28"/>
        <v>0</v>
      </c>
      <c r="Y98" s="25">
        <f t="shared" si="29"/>
        <v>0</v>
      </c>
      <c r="Z98" s="25">
        <f t="shared" si="30"/>
        <v>0</v>
      </c>
      <c r="AA98" s="25">
        <f t="shared" si="31"/>
        <v>0</v>
      </c>
      <c r="AB98" s="3">
        <f t="shared" si="32"/>
        <v>0.4</v>
      </c>
      <c r="AC98" s="3">
        <f t="shared" si="33"/>
        <v>0.6</v>
      </c>
      <c r="AD98" s="3">
        <f t="shared" si="34"/>
        <v>0.24</v>
      </c>
      <c r="AE98" s="33"/>
    </row>
    <row r="99" spans="1:32" ht="28" x14ac:dyDescent="0.3">
      <c r="A99" s="52" t="s">
        <v>214</v>
      </c>
      <c r="B99" s="25">
        <v>0</v>
      </c>
      <c r="C99" s="25">
        <v>0</v>
      </c>
      <c r="D99" s="25">
        <v>0</v>
      </c>
      <c r="E99" s="25">
        <v>0</v>
      </c>
      <c r="F99" s="25">
        <v>1</v>
      </c>
      <c r="G99" s="25">
        <v>1</v>
      </c>
      <c r="H99" s="25">
        <v>1</v>
      </c>
      <c r="I99" s="25">
        <v>1</v>
      </c>
      <c r="J99" s="25">
        <v>1</v>
      </c>
      <c r="K99" s="25">
        <v>1</v>
      </c>
      <c r="L99" s="3">
        <f t="shared" si="18"/>
        <v>0.6</v>
      </c>
      <c r="M99" s="26" t="str">
        <f t="shared" si="19"/>
        <v>sedang</v>
      </c>
      <c r="N99" s="3">
        <f t="shared" si="20"/>
        <v>1</v>
      </c>
      <c r="O99" s="26" t="str">
        <f t="shared" si="21"/>
        <v>soal diterima baik</v>
      </c>
      <c r="P99" s="33"/>
      <c r="Q99" s="26">
        <v>94</v>
      </c>
      <c r="R99" s="25">
        <f t="shared" si="22"/>
        <v>1</v>
      </c>
      <c r="S99" s="25">
        <f t="shared" si="23"/>
        <v>1</v>
      </c>
      <c r="T99" s="25">
        <f t="shared" si="24"/>
        <v>0</v>
      </c>
      <c r="U99" s="25">
        <f t="shared" si="25"/>
        <v>0</v>
      </c>
      <c r="V99" s="25">
        <f t="shared" si="26"/>
        <v>1</v>
      </c>
      <c r="W99" s="25">
        <f t="shared" si="27"/>
        <v>1</v>
      </c>
      <c r="X99" s="25">
        <f t="shared" si="28"/>
        <v>1</v>
      </c>
      <c r="Y99" s="25">
        <f t="shared" si="29"/>
        <v>1</v>
      </c>
      <c r="Z99" s="25">
        <f t="shared" si="30"/>
        <v>1</v>
      </c>
      <c r="AA99" s="25">
        <f t="shared" si="31"/>
        <v>1</v>
      </c>
      <c r="AB99" s="3">
        <f t="shared" si="32"/>
        <v>0.8</v>
      </c>
      <c r="AC99" s="3">
        <f t="shared" si="33"/>
        <v>0.19999999999999996</v>
      </c>
      <c r="AD99" s="3">
        <f t="shared" si="34"/>
        <v>0.15999999999999998</v>
      </c>
      <c r="AE99" s="33"/>
    </row>
    <row r="100" spans="1:32" ht="42" x14ac:dyDescent="0.3">
      <c r="A100" s="52" t="s">
        <v>215</v>
      </c>
      <c r="B100" s="25">
        <v>1</v>
      </c>
      <c r="C100" s="25">
        <v>1</v>
      </c>
      <c r="D100" s="25">
        <v>1</v>
      </c>
      <c r="E100" s="25">
        <v>1</v>
      </c>
      <c r="F100" s="25">
        <v>0</v>
      </c>
      <c r="G100" s="25">
        <v>0</v>
      </c>
      <c r="H100" s="25">
        <v>0</v>
      </c>
      <c r="I100" s="25">
        <v>0</v>
      </c>
      <c r="J100" s="25">
        <v>1</v>
      </c>
      <c r="K100" s="25">
        <v>1</v>
      </c>
      <c r="L100" s="3">
        <f t="shared" si="18"/>
        <v>0.6</v>
      </c>
      <c r="M100" s="26" t="str">
        <f t="shared" si="19"/>
        <v>sedang</v>
      </c>
      <c r="N100" s="3">
        <f t="shared" si="20"/>
        <v>1</v>
      </c>
      <c r="O100" s="26" t="str">
        <f t="shared" si="21"/>
        <v>soal diterima baik</v>
      </c>
      <c r="P100" s="33"/>
      <c r="Q100" s="26">
        <v>95</v>
      </c>
      <c r="R100" s="25">
        <f t="shared" si="22"/>
        <v>0</v>
      </c>
      <c r="S100" s="25">
        <f t="shared" si="23"/>
        <v>0</v>
      </c>
      <c r="T100" s="25">
        <f t="shared" si="24"/>
        <v>0</v>
      </c>
      <c r="U100" s="25">
        <f t="shared" si="25"/>
        <v>0</v>
      </c>
      <c r="V100" s="25">
        <f t="shared" si="26"/>
        <v>1</v>
      </c>
      <c r="W100" s="25">
        <f t="shared" si="27"/>
        <v>1</v>
      </c>
      <c r="X100" s="25">
        <f t="shared" si="28"/>
        <v>1</v>
      </c>
      <c r="Y100" s="25">
        <f t="shared" si="29"/>
        <v>1</v>
      </c>
      <c r="Z100" s="25">
        <f t="shared" si="30"/>
        <v>1</v>
      </c>
      <c r="AA100" s="25">
        <f t="shared" si="31"/>
        <v>1</v>
      </c>
      <c r="AB100" s="3">
        <f t="shared" si="32"/>
        <v>0.6</v>
      </c>
      <c r="AC100" s="3">
        <f t="shared" si="33"/>
        <v>0.4</v>
      </c>
      <c r="AD100" s="3">
        <f t="shared" si="34"/>
        <v>0.24</v>
      </c>
      <c r="AE100" s="33"/>
    </row>
    <row r="101" spans="1:32" x14ac:dyDescent="0.3">
      <c r="A101" s="54" t="s">
        <v>216</v>
      </c>
      <c r="B101" s="25">
        <v>1</v>
      </c>
      <c r="C101" s="25">
        <v>1</v>
      </c>
      <c r="D101" s="25">
        <v>1</v>
      </c>
      <c r="E101" s="25">
        <v>1</v>
      </c>
      <c r="F101" s="25">
        <v>0</v>
      </c>
      <c r="G101" s="25">
        <v>0</v>
      </c>
      <c r="H101" s="25">
        <v>0</v>
      </c>
      <c r="I101" s="25">
        <v>0</v>
      </c>
      <c r="J101" s="25">
        <v>0</v>
      </c>
      <c r="K101" s="25">
        <v>0</v>
      </c>
      <c r="L101" s="3">
        <f t="shared" si="18"/>
        <v>0.4</v>
      </c>
      <c r="M101" s="26" t="str">
        <f t="shared" si="19"/>
        <v>sedang</v>
      </c>
      <c r="N101" s="3">
        <f t="shared" si="20"/>
        <v>1</v>
      </c>
      <c r="O101" s="26" t="str">
        <f t="shared" si="21"/>
        <v>soal diterima baik</v>
      </c>
      <c r="P101" s="33"/>
      <c r="Q101" s="26">
        <v>96</v>
      </c>
      <c r="R101" s="25">
        <f t="shared" si="22"/>
        <v>1</v>
      </c>
      <c r="S101" s="25">
        <f t="shared" si="23"/>
        <v>1</v>
      </c>
      <c r="T101" s="25">
        <f t="shared" si="24"/>
        <v>1</v>
      </c>
      <c r="U101" s="25">
        <f t="shared" si="25"/>
        <v>1</v>
      </c>
      <c r="V101" s="25">
        <f t="shared" si="26"/>
        <v>0</v>
      </c>
      <c r="W101" s="25">
        <f t="shared" si="27"/>
        <v>0</v>
      </c>
      <c r="X101" s="25">
        <f t="shared" si="28"/>
        <v>0</v>
      </c>
      <c r="Y101" s="25">
        <f t="shared" si="29"/>
        <v>0</v>
      </c>
      <c r="Z101" s="25">
        <f t="shared" si="30"/>
        <v>1</v>
      </c>
      <c r="AA101" s="25">
        <f t="shared" si="31"/>
        <v>1</v>
      </c>
      <c r="AB101" s="3">
        <f t="shared" si="32"/>
        <v>0.6</v>
      </c>
      <c r="AC101" s="3">
        <f t="shared" si="33"/>
        <v>0.4</v>
      </c>
      <c r="AD101" s="3">
        <f t="shared" si="34"/>
        <v>0.24</v>
      </c>
      <c r="AE101" s="33"/>
    </row>
    <row r="102" spans="1:32" ht="42" x14ac:dyDescent="0.3">
      <c r="A102" s="54" t="s">
        <v>217</v>
      </c>
      <c r="B102" s="25">
        <v>1</v>
      </c>
      <c r="C102" s="25">
        <v>1</v>
      </c>
      <c r="D102" s="25">
        <v>1</v>
      </c>
      <c r="E102" s="25">
        <v>1</v>
      </c>
      <c r="F102" s="25">
        <v>1</v>
      </c>
      <c r="G102" s="25">
        <v>1</v>
      </c>
      <c r="H102" s="25">
        <v>0</v>
      </c>
      <c r="I102" s="25">
        <v>0</v>
      </c>
      <c r="J102" s="25">
        <v>0</v>
      </c>
      <c r="K102" s="25">
        <v>0</v>
      </c>
      <c r="L102" s="3">
        <f t="shared" si="18"/>
        <v>0.6</v>
      </c>
      <c r="M102" s="26" t="str">
        <f t="shared" si="19"/>
        <v>sedang</v>
      </c>
      <c r="N102" s="3">
        <f t="shared" si="20"/>
        <v>0.5</v>
      </c>
      <c r="O102" s="26" t="str">
        <f t="shared" si="21"/>
        <v>soal diterima baik</v>
      </c>
      <c r="P102" s="33"/>
      <c r="Q102" s="26">
        <v>97</v>
      </c>
      <c r="R102" s="25">
        <f t="shared" si="22"/>
        <v>1</v>
      </c>
      <c r="S102" s="25">
        <f t="shared" si="23"/>
        <v>1</v>
      </c>
      <c r="T102" s="25">
        <f t="shared" si="24"/>
        <v>1</v>
      </c>
      <c r="U102" s="25">
        <f t="shared" si="25"/>
        <v>1</v>
      </c>
      <c r="V102" s="25">
        <f t="shared" si="26"/>
        <v>0</v>
      </c>
      <c r="W102" s="25">
        <f t="shared" si="27"/>
        <v>0</v>
      </c>
      <c r="X102" s="25">
        <f t="shared" si="28"/>
        <v>0</v>
      </c>
      <c r="Y102" s="25">
        <f t="shared" si="29"/>
        <v>0</v>
      </c>
      <c r="Z102" s="25">
        <f t="shared" si="30"/>
        <v>0</v>
      </c>
      <c r="AA102" s="25">
        <f t="shared" si="31"/>
        <v>0</v>
      </c>
      <c r="AB102" s="3">
        <f t="shared" si="32"/>
        <v>0.4</v>
      </c>
      <c r="AC102" s="3">
        <f t="shared" si="33"/>
        <v>0.6</v>
      </c>
      <c r="AD102" s="3">
        <f t="shared" si="34"/>
        <v>0.24</v>
      </c>
      <c r="AE102" s="33"/>
    </row>
    <row r="103" spans="1:32" ht="56" x14ac:dyDescent="0.3">
      <c r="A103" s="53" t="s">
        <v>218</v>
      </c>
      <c r="B103" s="25">
        <v>1</v>
      </c>
      <c r="C103" s="25">
        <v>1</v>
      </c>
      <c r="D103" s="25">
        <v>0</v>
      </c>
      <c r="E103" s="25">
        <v>0</v>
      </c>
      <c r="F103" s="25">
        <v>0</v>
      </c>
      <c r="G103" s="25">
        <v>0</v>
      </c>
      <c r="H103" s="25">
        <v>0</v>
      </c>
      <c r="I103" s="25">
        <v>0</v>
      </c>
      <c r="J103" s="25">
        <v>0</v>
      </c>
      <c r="K103" s="25">
        <v>0</v>
      </c>
      <c r="L103" s="3">
        <f t="shared" si="18"/>
        <v>0.2</v>
      </c>
      <c r="M103" s="26" t="str">
        <f t="shared" si="19"/>
        <v>sukar</v>
      </c>
      <c r="N103" s="3">
        <f t="shared" si="20"/>
        <v>0.5</v>
      </c>
      <c r="O103" s="26" t="str">
        <f t="shared" si="21"/>
        <v>soal diterima baik</v>
      </c>
      <c r="P103" s="33"/>
      <c r="Q103" s="26">
        <v>98</v>
      </c>
      <c r="R103" s="25">
        <f t="shared" si="22"/>
        <v>1</v>
      </c>
      <c r="S103" s="25">
        <f t="shared" si="23"/>
        <v>1</v>
      </c>
      <c r="T103" s="25">
        <f t="shared" si="24"/>
        <v>1</v>
      </c>
      <c r="U103" s="25">
        <f t="shared" si="25"/>
        <v>1</v>
      </c>
      <c r="V103" s="25">
        <f t="shared" si="26"/>
        <v>1</v>
      </c>
      <c r="W103" s="25">
        <f t="shared" si="27"/>
        <v>1</v>
      </c>
      <c r="X103" s="25">
        <f t="shared" si="28"/>
        <v>0</v>
      </c>
      <c r="Y103" s="25">
        <f t="shared" si="29"/>
        <v>0</v>
      </c>
      <c r="Z103" s="25">
        <f t="shared" si="30"/>
        <v>0</v>
      </c>
      <c r="AA103" s="25">
        <f t="shared" si="31"/>
        <v>0</v>
      </c>
      <c r="AB103" s="3">
        <f t="shared" si="32"/>
        <v>0.6</v>
      </c>
      <c r="AC103" s="3">
        <f t="shared" si="33"/>
        <v>0.4</v>
      </c>
      <c r="AD103" s="3">
        <f t="shared" si="34"/>
        <v>0.24</v>
      </c>
      <c r="AE103" s="33"/>
    </row>
    <row r="104" spans="1:32" ht="28" x14ac:dyDescent="0.3">
      <c r="A104" s="52" t="s">
        <v>219</v>
      </c>
      <c r="B104" s="25">
        <v>1</v>
      </c>
      <c r="C104" s="25">
        <v>1</v>
      </c>
      <c r="D104" s="25">
        <v>1</v>
      </c>
      <c r="E104" s="25">
        <v>1</v>
      </c>
      <c r="F104" s="25">
        <v>0</v>
      </c>
      <c r="G104" s="25">
        <v>0</v>
      </c>
      <c r="H104" s="25">
        <v>1</v>
      </c>
      <c r="I104" s="25">
        <v>1</v>
      </c>
      <c r="J104" s="25">
        <v>1</v>
      </c>
      <c r="K104" s="25">
        <v>1</v>
      </c>
      <c r="L104" s="3">
        <f t="shared" si="18"/>
        <v>0.8</v>
      </c>
      <c r="M104" s="26" t="str">
        <f t="shared" si="19"/>
        <v>mudah</v>
      </c>
      <c r="N104" s="3">
        <f t="shared" si="20"/>
        <v>0.5</v>
      </c>
      <c r="O104" s="26" t="str">
        <f t="shared" si="21"/>
        <v>soal diterima baik</v>
      </c>
      <c r="P104" s="33"/>
      <c r="Q104" s="26">
        <v>99</v>
      </c>
      <c r="R104" s="25">
        <f t="shared" si="22"/>
        <v>1</v>
      </c>
      <c r="S104" s="25">
        <f t="shared" si="23"/>
        <v>1</v>
      </c>
      <c r="T104" s="25">
        <f t="shared" si="24"/>
        <v>0</v>
      </c>
      <c r="U104" s="25">
        <f t="shared" si="25"/>
        <v>0</v>
      </c>
      <c r="V104" s="25">
        <f t="shared" si="26"/>
        <v>0</v>
      </c>
      <c r="W104" s="25">
        <f t="shared" si="27"/>
        <v>0</v>
      </c>
      <c r="X104" s="25">
        <f t="shared" si="28"/>
        <v>0</v>
      </c>
      <c r="Y104" s="25">
        <f t="shared" si="29"/>
        <v>0</v>
      </c>
      <c r="Z104" s="25">
        <f t="shared" si="30"/>
        <v>0</v>
      </c>
      <c r="AA104" s="25">
        <f t="shared" si="31"/>
        <v>0</v>
      </c>
      <c r="AB104" s="3">
        <f t="shared" si="32"/>
        <v>0.2</v>
      </c>
      <c r="AC104" s="3">
        <f t="shared" si="33"/>
        <v>0.8</v>
      </c>
      <c r="AD104" s="3">
        <f t="shared" si="34"/>
        <v>0.16000000000000003</v>
      </c>
      <c r="AE104" s="33"/>
    </row>
    <row r="105" spans="1:32" x14ac:dyDescent="0.3">
      <c r="A105" s="55"/>
      <c r="B105" s="32">
        <f>SUM(B5:B104)</f>
        <v>84</v>
      </c>
      <c r="C105" s="32">
        <f t="shared" ref="C105:K105" si="35">SUM(C5:C104)</f>
        <v>84</v>
      </c>
      <c r="D105" s="32">
        <f t="shared" si="35"/>
        <v>80</v>
      </c>
      <c r="E105" s="32">
        <f t="shared" si="35"/>
        <v>80</v>
      </c>
      <c r="F105" s="32">
        <f t="shared" si="35"/>
        <v>21</v>
      </c>
      <c r="G105" s="32">
        <f t="shared" si="35"/>
        <v>21</v>
      </c>
      <c r="H105" s="32">
        <f t="shared" si="35"/>
        <v>22</v>
      </c>
      <c r="I105" s="32">
        <f t="shared" si="35"/>
        <v>22</v>
      </c>
      <c r="J105" s="32">
        <f t="shared" si="35"/>
        <v>46</v>
      </c>
      <c r="K105" s="32">
        <f t="shared" si="35"/>
        <v>46</v>
      </c>
      <c r="L105" s="33"/>
      <c r="M105" s="33"/>
      <c r="N105" s="33"/>
      <c r="O105" s="34">
        <f>COUNTIF(O5:O104,"soal dibuang")</f>
        <v>0</v>
      </c>
      <c r="P105" s="33"/>
      <c r="Q105" s="26">
        <v>100</v>
      </c>
      <c r="R105" s="25">
        <f t="shared" si="22"/>
        <v>1</v>
      </c>
      <c r="S105" s="25">
        <f t="shared" si="23"/>
        <v>1</v>
      </c>
      <c r="T105" s="25">
        <f t="shared" si="24"/>
        <v>1</v>
      </c>
      <c r="U105" s="25">
        <f t="shared" si="25"/>
        <v>1</v>
      </c>
      <c r="V105" s="25">
        <f t="shared" si="26"/>
        <v>0</v>
      </c>
      <c r="W105" s="25">
        <f t="shared" si="27"/>
        <v>0</v>
      </c>
      <c r="X105" s="25">
        <f t="shared" si="28"/>
        <v>1</v>
      </c>
      <c r="Y105" s="25">
        <f t="shared" si="29"/>
        <v>1</v>
      </c>
      <c r="Z105" s="25">
        <f t="shared" si="30"/>
        <v>1</v>
      </c>
      <c r="AA105" s="25">
        <f t="shared" si="31"/>
        <v>1</v>
      </c>
      <c r="AB105" s="3">
        <f>SUM(R105:AA105)/COUNT(R105:AA105)</f>
        <v>0.8</v>
      </c>
      <c r="AC105" s="3">
        <f t="shared" si="33"/>
        <v>0.19999999999999996</v>
      </c>
      <c r="AD105" s="3">
        <f t="shared" si="34"/>
        <v>0.15999999999999998</v>
      </c>
      <c r="AE105" s="33"/>
    </row>
    <row r="106" spans="1:32" ht="28" x14ac:dyDescent="0.3">
      <c r="A106" s="55"/>
      <c r="B106" s="35" t="s">
        <v>105</v>
      </c>
      <c r="C106" s="35" t="s">
        <v>105</v>
      </c>
      <c r="D106" s="35" t="s">
        <v>105</v>
      </c>
      <c r="E106" s="35" t="s">
        <v>105</v>
      </c>
      <c r="F106" s="35" t="s">
        <v>104</v>
      </c>
      <c r="G106" s="35" t="s">
        <v>104</v>
      </c>
      <c r="H106" s="35" t="s">
        <v>104</v>
      </c>
      <c r="I106" s="35" t="s">
        <v>104</v>
      </c>
      <c r="J106" s="32" t="s">
        <v>104</v>
      </c>
      <c r="K106" s="32" t="s">
        <v>104</v>
      </c>
      <c r="L106" s="33"/>
      <c r="M106" s="45">
        <f>COUNTIF(M5:M104,"mudah")</f>
        <v>16</v>
      </c>
      <c r="N106" s="33"/>
      <c r="O106" s="33"/>
      <c r="P106" s="33"/>
      <c r="Q106" s="65" t="s">
        <v>112</v>
      </c>
      <c r="R106" s="36">
        <f>SUM(R6:R105)</f>
        <v>84</v>
      </c>
      <c r="S106" s="36">
        <f t="shared" ref="S106:AA106" si="36">SUM(S6:S105)</f>
        <v>84</v>
      </c>
      <c r="T106" s="36">
        <f t="shared" si="36"/>
        <v>80</v>
      </c>
      <c r="U106" s="36">
        <f t="shared" si="36"/>
        <v>80</v>
      </c>
      <c r="V106" s="36">
        <f t="shared" si="36"/>
        <v>21</v>
      </c>
      <c r="W106" s="36">
        <f t="shared" si="36"/>
        <v>21</v>
      </c>
      <c r="X106" s="36">
        <f t="shared" si="36"/>
        <v>22</v>
      </c>
      <c r="Y106" s="36">
        <f t="shared" si="36"/>
        <v>22</v>
      </c>
      <c r="Z106" s="36">
        <f t="shared" si="36"/>
        <v>46</v>
      </c>
      <c r="AA106" s="36">
        <f t="shared" si="36"/>
        <v>46</v>
      </c>
      <c r="AB106" s="36"/>
      <c r="AC106" s="36"/>
      <c r="AD106" s="10">
        <f>SUM(AD6:AD105)</f>
        <v>21.359999999999985</v>
      </c>
      <c r="AE106" s="36" t="s">
        <v>111</v>
      </c>
      <c r="AF106" s="9"/>
    </row>
    <row r="107" spans="1:32" x14ac:dyDescent="0.3">
      <c r="A107" s="55"/>
      <c r="B107" s="37"/>
      <c r="C107" s="37"/>
      <c r="D107" s="37"/>
      <c r="E107" s="37"/>
      <c r="F107" s="37"/>
      <c r="G107" s="37"/>
      <c r="H107" s="37"/>
      <c r="I107" s="37"/>
      <c r="J107" s="37"/>
      <c r="K107" s="37"/>
      <c r="L107" s="33"/>
      <c r="M107" s="45">
        <f>COUNTIF(M5:M104,"sedang")</f>
        <v>67</v>
      </c>
      <c r="N107" s="33"/>
      <c r="O107" s="33"/>
      <c r="P107" s="33"/>
      <c r="Q107" s="65" t="s">
        <v>113</v>
      </c>
      <c r="R107" s="36">
        <f>SUM(R106:AA106)</f>
        <v>506</v>
      </c>
      <c r="S107" s="36"/>
      <c r="T107" s="36"/>
      <c r="U107" s="36"/>
      <c r="V107" s="36"/>
      <c r="W107" s="36"/>
      <c r="X107" s="36"/>
      <c r="Y107" s="36"/>
      <c r="Z107" s="36"/>
      <c r="AA107" s="36"/>
      <c r="AB107" s="36"/>
      <c r="AC107" s="36"/>
      <c r="AD107" s="36"/>
      <c r="AE107" s="36"/>
      <c r="AF107" s="9"/>
    </row>
    <row r="108" spans="1:32" ht="32.25" customHeight="1" x14ac:dyDescent="0.3">
      <c r="A108" s="56"/>
      <c r="B108" s="110" t="s">
        <v>630</v>
      </c>
      <c r="C108" s="110"/>
      <c r="D108" s="110"/>
      <c r="E108" s="25">
        <v>40</v>
      </c>
      <c r="F108" s="37"/>
      <c r="G108" s="37"/>
      <c r="H108" s="37"/>
      <c r="I108" s="37"/>
      <c r="J108" s="37"/>
      <c r="K108" s="37"/>
      <c r="L108" s="33"/>
      <c r="M108" s="33">
        <f>100-M106-M107</f>
        <v>17</v>
      </c>
      <c r="N108" s="33"/>
      <c r="O108" s="33"/>
      <c r="P108" s="33"/>
      <c r="Q108" s="65" t="s">
        <v>114</v>
      </c>
      <c r="R108" s="36">
        <f>$R$107/10</f>
        <v>50.6</v>
      </c>
      <c r="S108" s="36">
        <f t="shared" ref="S108:AA108" si="37">$R$107/10</f>
        <v>50.6</v>
      </c>
      <c r="T108" s="36">
        <f t="shared" si="37"/>
        <v>50.6</v>
      </c>
      <c r="U108" s="36">
        <f t="shared" si="37"/>
        <v>50.6</v>
      </c>
      <c r="V108" s="36">
        <f t="shared" si="37"/>
        <v>50.6</v>
      </c>
      <c r="W108" s="36">
        <f t="shared" si="37"/>
        <v>50.6</v>
      </c>
      <c r="X108" s="36">
        <f>$R$107/10</f>
        <v>50.6</v>
      </c>
      <c r="Y108" s="36">
        <f t="shared" si="37"/>
        <v>50.6</v>
      </c>
      <c r="Z108" s="36">
        <f t="shared" si="37"/>
        <v>50.6</v>
      </c>
      <c r="AA108" s="36">
        <f t="shared" si="37"/>
        <v>50.6</v>
      </c>
      <c r="AB108" s="36"/>
      <c r="AC108" s="36"/>
      <c r="AD108" s="36"/>
      <c r="AE108" s="36"/>
      <c r="AF108" s="9"/>
    </row>
    <row r="109" spans="1:32" ht="32.25" customHeight="1" x14ac:dyDescent="0.3">
      <c r="A109" s="54"/>
      <c r="B109" s="110" t="s">
        <v>631</v>
      </c>
      <c r="C109" s="110"/>
      <c r="D109" s="110"/>
      <c r="E109" s="25">
        <v>30</v>
      </c>
      <c r="F109" s="37"/>
      <c r="G109" s="37"/>
      <c r="H109" s="37"/>
      <c r="I109" s="37"/>
      <c r="J109" s="37"/>
      <c r="K109" s="37"/>
      <c r="L109" s="33"/>
      <c r="M109" s="33"/>
      <c r="N109" s="33"/>
      <c r="O109" s="33"/>
      <c r="P109" s="33"/>
      <c r="Q109" s="65" t="s">
        <v>115</v>
      </c>
      <c r="R109" s="10">
        <f>R106-R108</f>
        <v>33.4</v>
      </c>
      <c r="S109" s="10">
        <f t="shared" ref="S109:AA109" si="38">S106-S108</f>
        <v>33.4</v>
      </c>
      <c r="T109" s="10">
        <f t="shared" si="38"/>
        <v>29.4</v>
      </c>
      <c r="U109" s="10">
        <f t="shared" si="38"/>
        <v>29.4</v>
      </c>
      <c r="V109" s="10">
        <f t="shared" si="38"/>
        <v>-29.6</v>
      </c>
      <c r="W109" s="10">
        <f t="shared" si="38"/>
        <v>-29.6</v>
      </c>
      <c r="X109" s="10">
        <f t="shared" si="38"/>
        <v>-28.6</v>
      </c>
      <c r="Y109" s="10">
        <f t="shared" si="38"/>
        <v>-28.6</v>
      </c>
      <c r="Z109" s="10">
        <f t="shared" si="38"/>
        <v>-4.6000000000000014</v>
      </c>
      <c r="AA109" s="10">
        <f t="shared" si="38"/>
        <v>-4.6000000000000014</v>
      </c>
      <c r="AB109" s="36"/>
      <c r="AC109" s="36"/>
      <c r="AD109" s="36"/>
      <c r="AE109" s="36"/>
      <c r="AF109" s="9"/>
    </row>
    <row r="110" spans="1:32" ht="32.25" customHeight="1" x14ac:dyDescent="0.3">
      <c r="A110" s="53"/>
      <c r="B110" s="110" t="s">
        <v>632</v>
      </c>
      <c r="C110" s="110"/>
      <c r="D110" s="110"/>
      <c r="E110" s="25">
        <v>30</v>
      </c>
      <c r="F110" s="37"/>
      <c r="G110" s="37"/>
      <c r="H110" s="37"/>
      <c r="I110" s="37"/>
      <c r="J110" s="37"/>
      <c r="K110" s="37"/>
      <c r="L110" s="33"/>
      <c r="M110" s="33"/>
      <c r="N110" s="33"/>
      <c r="O110" s="33"/>
      <c r="P110" s="33"/>
      <c r="Q110" s="65" t="s">
        <v>116</v>
      </c>
      <c r="R110" s="11">
        <f>R109^2</f>
        <v>1115.56</v>
      </c>
      <c r="S110" s="11">
        <f t="shared" ref="S110:AA110" si="39">S109^2</f>
        <v>1115.56</v>
      </c>
      <c r="T110" s="11">
        <f t="shared" si="39"/>
        <v>864.3599999999999</v>
      </c>
      <c r="U110" s="11">
        <f t="shared" si="39"/>
        <v>864.3599999999999</v>
      </c>
      <c r="V110" s="11">
        <f t="shared" si="39"/>
        <v>876.16000000000008</v>
      </c>
      <c r="W110" s="11">
        <f t="shared" si="39"/>
        <v>876.16000000000008</v>
      </c>
      <c r="X110" s="11">
        <f t="shared" si="39"/>
        <v>817.96</v>
      </c>
      <c r="Y110" s="11">
        <f t="shared" si="39"/>
        <v>817.96</v>
      </c>
      <c r="Z110" s="11">
        <f t="shared" si="39"/>
        <v>21.160000000000014</v>
      </c>
      <c r="AA110" s="11">
        <f t="shared" si="39"/>
        <v>21.160000000000014</v>
      </c>
      <c r="AB110" s="36"/>
      <c r="AC110" s="36"/>
      <c r="AD110" s="36"/>
      <c r="AE110" s="36"/>
      <c r="AF110" s="9"/>
    </row>
    <row r="111" spans="1:32" x14ac:dyDescent="0.3">
      <c r="A111" s="55"/>
      <c r="B111" s="37"/>
      <c r="C111" s="37"/>
      <c r="D111" s="37"/>
      <c r="E111" s="37"/>
      <c r="F111" s="37"/>
      <c r="G111" s="37"/>
      <c r="H111" s="37"/>
      <c r="I111" s="37"/>
      <c r="J111" s="37"/>
      <c r="K111" s="37"/>
      <c r="L111" s="33"/>
      <c r="M111" s="33"/>
      <c r="N111" s="33"/>
      <c r="O111" s="33"/>
      <c r="P111" s="33"/>
      <c r="Q111" s="65" t="s">
        <v>117</v>
      </c>
      <c r="R111" s="36">
        <f>SUM(R110:AA110)/10</f>
        <v>739.03999999999985</v>
      </c>
      <c r="S111" s="36"/>
      <c r="T111" s="36"/>
      <c r="U111" s="36"/>
      <c r="V111" s="36"/>
      <c r="W111" s="36"/>
      <c r="X111" s="36"/>
      <c r="Y111" s="36"/>
      <c r="Z111" s="36"/>
      <c r="AA111" s="36"/>
      <c r="AB111" s="36"/>
      <c r="AC111" s="36"/>
      <c r="AD111" s="36"/>
      <c r="AE111" s="36"/>
      <c r="AF111" s="9"/>
    </row>
    <row r="112" spans="1:32" x14ac:dyDescent="0.3">
      <c r="A112" s="55"/>
      <c r="B112" s="37"/>
      <c r="C112" s="37"/>
      <c r="D112" s="37"/>
      <c r="E112" s="37"/>
      <c r="F112" s="37"/>
      <c r="G112" s="37"/>
      <c r="H112" s="37"/>
      <c r="I112" s="37"/>
      <c r="J112" s="37"/>
      <c r="K112" s="37"/>
      <c r="L112" s="33"/>
      <c r="M112" s="33"/>
      <c r="N112" s="33"/>
      <c r="O112" s="33"/>
      <c r="P112" s="33"/>
      <c r="Q112" s="65" t="s">
        <v>118</v>
      </c>
      <c r="R112" s="10">
        <f>SQRT(R111)</f>
        <v>27.185290140073914</v>
      </c>
      <c r="S112" s="36"/>
      <c r="T112" s="36"/>
      <c r="U112" s="36"/>
      <c r="V112" s="36"/>
      <c r="W112" s="36"/>
      <c r="X112" s="36"/>
      <c r="Y112" s="36"/>
      <c r="Z112" s="36"/>
      <c r="AA112" s="36"/>
      <c r="AB112" s="36"/>
      <c r="AC112" s="36"/>
      <c r="AD112" s="36"/>
      <c r="AE112" s="36"/>
      <c r="AF112" s="9"/>
    </row>
    <row r="113" spans="1:32" x14ac:dyDescent="0.3">
      <c r="A113" s="55"/>
      <c r="B113" s="37"/>
      <c r="C113" s="37"/>
      <c r="D113" s="37"/>
      <c r="E113" s="37"/>
      <c r="F113" s="37"/>
      <c r="G113" s="37"/>
      <c r="H113" s="37"/>
      <c r="I113" s="37"/>
      <c r="J113" s="37"/>
      <c r="K113" s="37"/>
      <c r="L113" s="33"/>
      <c r="M113" s="33"/>
      <c r="N113" s="33"/>
      <c r="O113" s="33"/>
      <c r="P113" s="33"/>
      <c r="Q113" s="66" t="s">
        <v>106</v>
      </c>
      <c r="R113" s="42">
        <f>100/(100-1)*(1-AD106/R111)</f>
        <v>0.98090670725440154</v>
      </c>
      <c r="S113" s="43" t="s">
        <v>119</v>
      </c>
      <c r="T113" s="36"/>
      <c r="U113" s="36"/>
      <c r="V113" s="36"/>
      <c r="W113" s="36"/>
      <c r="X113" s="36"/>
      <c r="Y113" s="36"/>
      <c r="Z113" s="36"/>
      <c r="AA113" s="36"/>
      <c r="AB113" s="36"/>
      <c r="AC113" s="36"/>
      <c r="AD113" s="36"/>
      <c r="AE113" s="36"/>
      <c r="AF113" s="9"/>
    </row>
    <row r="114" spans="1:32" x14ac:dyDescent="0.3">
      <c r="Q114" s="9"/>
      <c r="R114" s="9"/>
      <c r="S114" s="9"/>
      <c r="T114" s="9"/>
      <c r="U114" s="9"/>
      <c r="V114" s="9"/>
      <c r="W114" s="9"/>
      <c r="X114" s="9"/>
      <c r="Y114" s="9"/>
      <c r="Z114" s="9"/>
      <c r="AA114" s="9"/>
      <c r="AB114" s="9"/>
      <c r="AC114" s="9"/>
      <c r="AD114" s="9"/>
      <c r="AE114" s="9"/>
      <c r="AF114" s="9"/>
    </row>
  </sheetData>
  <mergeCells count="15">
    <mergeCell ref="B110:D110"/>
    <mergeCell ref="A1:O1"/>
    <mergeCell ref="Q4:Q5"/>
    <mergeCell ref="R4:AA4"/>
    <mergeCell ref="B3:K3"/>
    <mergeCell ref="A3:A4"/>
    <mergeCell ref="L3:L4"/>
    <mergeCell ref="M3:M4"/>
    <mergeCell ref="N3:N4"/>
    <mergeCell ref="O3:O4"/>
    <mergeCell ref="AB4:AB5"/>
    <mergeCell ref="AC4:AC5"/>
    <mergeCell ref="AD4:AD5"/>
    <mergeCell ref="B108:D108"/>
    <mergeCell ref="B109:D109"/>
  </mergeCells>
  <conditionalFormatting sqref="M5:M104 M3:O3 Q3">
    <cfRule type="containsText" dxfId="52" priority="9" operator="containsText" text="sedang">
      <formula>NOT(ISERROR(SEARCH("sedang",M3)))</formula>
    </cfRule>
  </conditionalFormatting>
  <conditionalFormatting sqref="M5:M104">
    <cfRule type="containsText" dxfId="51" priority="8" operator="containsText" text="sukar">
      <formula>NOT(ISERROR(SEARCH("sukar",M5)))</formula>
    </cfRule>
  </conditionalFormatting>
  <conditionalFormatting sqref="M106:M107">
    <cfRule type="containsText" dxfId="50" priority="4" operator="containsText" text="sukar">
      <formula>NOT(ISERROR(SEARCH("sukar",M106)))</formula>
    </cfRule>
    <cfRule type="containsText" dxfId="49" priority="5" operator="containsText" text="sedang">
      <formula>NOT(ISERROR(SEARCH("sedang",M106)))</formula>
    </cfRule>
    <cfRule type="containsText" dxfId="48" priority="6" operator="containsText" text="mudah">
      <formula>NOT(ISERROR(SEARCH("mudah",M106)))</formula>
    </cfRule>
  </conditionalFormatting>
  <conditionalFormatting sqref="M3:O3 Q3 M5:M104">
    <cfRule type="containsText" dxfId="47" priority="10" operator="containsText" text="mudah">
      <formula>NOT(ISERROR(SEARCH("mudah",M3)))</formula>
    </cfRule>
  </conditionalFormatting>
  <conditionalFormatting sqref="O5:O106">
    <cfRule type="containsText" dxfId="46" priority="7" operator="containsText" text="soal dibuang">
      <formula>NOT(ISERROR(SEARCH("soal dibuang",O5)))</formula>
    </cfRule>
  </conditionalFormatting>
  <pageMargins left="0.28000000000000003" right="0.28000000000000003" top="0.47244094488188981" bottom="0.74803149606299213" header="0.31496062992125984" footer="0.31496062992125984"/>
  <pageSetup paperSize="9" scale="70"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3DE8A-3302-47F1-AEC4-E657D2EF33EE}">
  <dimension ref="A1:AC112"/>
  <sheetViews>
    <sheetView view="pageBreakPreview" zoomScale="72" zoomScaleNormal="48" zoomScaleSheetLayoutView="72" workbookViewId="0">
      <selection activeCell="L21" sqref="L21"/>
    </sheetView>
  </sheetViews>
  <sheetFormatPr defaultRowHeight="14.5" x14ac:dyDescent="0.35"/>
  <cols>
    <col min="1" max="1" width="34.81640625" customWidth="1"/>
    <col min="2" max="11" width="5.7265625" style="1" customWidth="1"/>
    <col min="12" max="12" width="5.36328125" style="1" bestFit="1" customWidth="1"/>
    <col min="13" max="13" width="5.453125" bestFit="1" customWidth="1"/>
    <col min="14" max="14" width="11.26953125" customWidth="1"/>
    <col min="15" max="15" width="5.81640625" customWidth="1"/>
    <col min="16" max="16" width="8.36328125" customWidth="1"/>
    <col min="17" max="17" width="8" customWidth="1"/>
    <col min="18" max="18" width="10.36328125" customWidth="1"/>
    <col min="19" max="19" width="9.453125" customWidth="1"/>
    <col min="20" max="20" width="7.7265625" customWidth="1"/>
    <col min="21" max="21" width="7.453125" customWidth="1"/>
    <col min="22" max="22" width="6.08984375" bestFit="1" customWidth="1"/>
    <col min="23" max="23" width="6.1796875" bestFit="1" customWidth="1"/>
    <col min="24" max="24" width="7.81640625" customWidth="1"/>
    <col min="25" max="25" width="9.08984375" customWidth="1"/>
    <col min="26" max="26" width="5.54296875" bestFit="1" customWidth="1"/>
    <col min="27" max="27" width="10.6328125" customWidth="1"/>
    <col min="28" max="28" width="12.26953125" style="1" customWidth="1"/>
    <col min="29" max="29" width="35.1796875" customWidth="1"/>
  </cols>
  <sheetData>
    <row r="1" spans="1:29" ht="15.5" x14ac:dyDescent="0.35">
      <c r="A1" s="122" t="s">
        <v>804</v>
      </c>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row>
    <row r="2" spans="1:29" x14ac:dyDescent="0.35">
      <c r="A2" s="76"/>
      <c r="B2" s="77"/>
      <c r="C2" s="77"/>
      <c r="D2" s="77"/>
      <c r="E2" s="77"/>
      <c r="F2" s="77"/>
      <c r="G2" s="77"/>
      <c r="H2" s="77"/>
      <c r="I2" s="77"/>
      <c r="J2" s="77"/>
      <c r="K2" s="77"/>
      <c r="L2" s="77"/>
      <c r="M2" s="76"/>
      <c r="N2" s="76"/>
      <c r="O2" s="76"/>
      <c r="P2" s="76"/>
      <c r="Q2" s="76"/>
      <c r="R2" s="76"/>
      <c r="S2" s="76"/>
      <c r="T2" s="76"/>
      <c r="U2" s="76"/>
      <c r="V2" s="76"/>
      <c r="W2" s="76"/>
      <c r="X2" s="76"/>
      <c r="Y2" s="76"/>
      <c r="Z2" s="76"/>
      <c r="AA2" s="76"/>
      <c r="AB2" s="77"/>
      <c r="AC2" s="76"/>
    </row>
    <row r="3" spans="1:29" ht="14.5" customHeight="1" x14ac:dyDescent="0.35">
      <c r="A3" s="79" t="s">
        <v>759</v>
      </c>
      <c r="B3" s="87">
        <v>0.5</v>
      </c>
      <c r="C3" s="86"/>
      <c r="D3" s="86"/>
      <c r="E3" s="86"/>
      <c r="F3" s="86"/>
      <c r="G3" s="86"/>
      <c r="H3" s="86"/>
      <c r="I3" s="86"/>
      <c r="J3" s="86"/>
      <c r="K3" s="93" t="s">
        <v>763</v>
      </c>
      <c r="L3" s="93"/>
      <c r="M3" s="93"/>
      <c r="N3" s="93"/>
      <c r="O3" s="92"/>
      <c r="P3" s="91"/>
      <c r="Q3" s="127" t="s">
        <v>767</v>
      </c>
      <c r="R3" s="127"/>
      <c r="S3" s="127"/>
      <c r="T3" s="127"/>
      <c r="U3" s="91"/>
      <c r="V3" s="76"/>
      <c r="W3" s="76"/>
      <c r="X3" s="76"/>
      <c r="Y3" s="76"/>
      <c r="Z3" s="76"/>
      <c r="AA3" s="76"/>
      <c r="AB3" s="77"/>
      <c r="AC3" s="76"/>
    </row>
    <row r="4" spans="1:29" ht="14.5" customHeight="1" x14ac:dyDescent="0.35">
      <c r="A4" s="79" t="s">
        <v>760</v>
      </c>
      <c r="B4" s="87">
        <v>1</v>
      </c>
      <c r="C4" s="86"/>
      <c r="D4" s="86"/>
      <c r="E4" s="86"/>
      <c r="F4" s="86"/>
      <c r="G4" s="86"/>
      <c r="H4" s="86"/>
      <c r="I4" s="86"/>
      <c r="J4" s="86"/>
      <c r="K4" s="85"/>
      <c r="L4" s="120" t="s">
        <v>764</v>
      </c>
      <c r="M4" s="120"/>
      <c r="N4" s="120"/>
      <c r="O4" s="90">
        <f>COUNTIF($AA$11:$AA$110,"DIF Besar - review")</f>
        <v>0</v>
      </c>
      <c r="P4" s="81"/>
      <c r="Q4" s="119" t="s">
        <v>768</v>
      </c>
      <c r="R4" s="119"/>
      <c r="S4" s="119"/>
      <c r="T4" s="89"/>
      <c r="U4" s="88">
        <f>COUNTIF($AB$11:$AB$110,"Berpotensi Bias - Tinjau Konten")</f>
        <v>0</v>
      </c>
      <c r="V4" s="76"/>
      <c r="W4" s="76"/>
      <c r="X4" s="76"/>
      <c r="Y4" s="76"/>
      <c r="Z4" s="76"/>
      <c r="AA4" s="76"/>
      <c r="AB4" s="77"/>
      <c r="AC4" s="76"/>
    </row>
    <row r="5" spans="1:29" ht="14.5" customHeight="1" x14ac:dyDescent="0.35">
      <c r="A5" s="79" t="s">
        <v>761</v>
      </c>
      <c r="B5" s="87">
        <v>2</v>
      </c>
      <c r="C5" s="86"/>
      <c r="D5" s="86"/>
      <c r="E5" s="86"/>
      <c r="F5" s="86"/>
      <c r="G5" s="86"/>
      <c r="H5" s="86"/>
      <c r="I5" s="86"/>
      <c r="J5" s="86"/>
      <c r="K5" s="85"/>
      <c r="L5" s="120" t="s">
        <v>765</v>
      </c>
      <c r="M5" s="120"/>
      <c r="N5" s="120"/>
      <c r="O5" s="84">
        <f>COUNTIF($AA$11:$AA$110,"DIF Moderat - cek")</f>
        <v>0</v>
      </c>
      <c r="P5" s="81"/>
      <c r="Q5" s="119" t="s">
        <v>769</v>
      </c>
      <c r="R5" s="119"/>
      <c r="S5" s="119"/>
      <c r="T5" s="119"/>
      <c r="U5" s="84">
        <f>COUNTIF($AB$11:$AB$110,"Indikasi Ringan - Pantau")</f>
        <v>0</v>
      </c>
      <c r="V5" s="76"/>
      <c r="W5" s="76"/>
      <c r="X5" s="76"/>
      <c r="Y5" s="76"/>
      <c r="Z5" s="76"/>
      <c r="AA5" s="76"/>
      <c r="AB5" s="77"/>
      <c r="AC5" s="76"/>
    </row>
    <row r="6" spans="1:29" ht="14.5" customHeight="1" x14ac:dyDescent="0.35">
      <c r="A6" s="79" t="s">
        <v>762</v>
      </c>
      <c r="B6" s="83">
        <f>_xlfn.AGGREGATE(14,6,ABS(X11:X110),1)</f>
        <v>0</v>
      </c>
      <c r="C6" s="78"/>
      <c r="D6" s="78"/>
      <c r="E6" s="78"/>
      <c r="F6" s="78"/>
      <c r="G6" s="78"/>
      <c r="H6" s="78"/>
      <c r="I6" s="78"/>
      <c r="J6" s="78"/>
      <c r="K6" s="82"/>
      <c r="L6" s="120" t="s">
        <v>766</v>
      </c>
      <c r="M6" s="120"/>
      <c r="N6" s="120"/>
      <c r="O6" s="80">
        <f>COUNTIF($AA$11:$AA$110,"Negligible")</f>
        <v>100</v>
      </c>
      <c r="P6" s="81"/>
      <c r="Q6" s="119" t="s">
        <v>770</v>
      </c>
      <c r="R6" s="119"/>
      <c r="S6" s="119"/>
      <c r="T6" s="119"/>
      <c r="U6" s="80">
        <f>COUNTIF($AB$11:$AB$110,"Tidak Ada Indikasi Bias")</f>
        <v>100</v>
      </c>
      <c r="V6" s="76"/>
      <c r="W6" s="76"/>
      <c r="X6" s="76"/>
      <c r="Y6" s="76"/>
      <c r="Z6" s="76"/>
      <c r="AA6" s="76"/>
      <c r="AB6" s="77"/>
      <c r="AC6" s="76"/>
    </row>
    <row r="7" spans="1:29" ht="32.5" customHeight="1" x14ac:dyDescent="0.35">
      <c r="A7" s="79"/>
      <c r="B7" s="78"/>
      <c r="C7" s="78"/>
      <c r="D7" s="78"/>
      <c r="E7" s="78"/>
      <c r="F7" s="78"/>
      <c r="G7" s="78"/>
      <c r="H7" s="78"/>
      <c r="I7" s="78"/>
      <c r="J7" s="78"/>
      <c r="K7" s="121" t="s">
        <v>803</v>
      </c>
      <c r="L7" s="121"/>
      <c r="M7" s="121"/>
      <c r="N7" s="121"/>
      <c r="O7" s="121"/>
      <c r="P7" s="121"/>
      <c r="Q7" s="121"/>
      <c r="R7" s="121"/>
      <c r="S7" s="121"/>
      <c r="T7" s="121"/>
      <c r="U7" s="121"/>
      <c r="V7" s="121"/>
      <c r="W7" s="121"/>
      <c r="X7" s="121"/>
      <c r="Y7" s="121"/>
      <c r="Z7" s="103"/>
      <c r="AA7" s="103"/>
      <c r="AB7" s="77"/>
      <c r="AC7" s="76"/>
    </row>
    <row r="8" spans="1:29" s="73" customFormat="1" ht="27.5" customHeight="1" x14ac:dyDescent="0.35">
      <c r="A8" s="75" t="s">
        <v>756</v>
      </c>
      <c r="B8" s="74" t="str">
        <f>AIL!B2</f>
        <v>Perempuan</v>
      </c>
      <c r="C8" s="74" t="str">
        <f>AIL!C2</f>
        <v>Laki-Laki</v>
      </c>
      <c r="D8" s="74" t="str">
        <f>AIL!D2</f>
        <v>Perempuan</v>
      </c>
      <c r="E8" s="74" t="str">
        <f>AIL!E2</f>
        <v>Laki-Laki</v>
      </c>
      <c r="F8" s="74" t="str">
        <f>AIL!F2</f>
        <v>Perempuan</v>
      </c>
      <c r="G8" s="74" t="str">
        <f>AIL!G2</f>
        <v>Laki-Laki</v>
      </c>
      <c r="H8" s="74" t="str">
        <f>AIL!H2</f>
        <v>Perempuan</v>
      </c>
      <c r="I8" s="74" t="str">
        <f>AIL!I2</f>
        <v>Laki-Laki</v>
      </c>
      <c r="J8" s="74" t="str">
        <f>AIL!J2</f>
        <v>Perempuan</v>
      </c>
      <c r="K8" s="74" t="str">
        <f>AIL!K2</f>
        <v>Laki-Laki</v>
      </c>
      <c r="L8" s="74"/>
      <c r="M8" s="74"/>
      <c r="N8" s="74"/>
      <c r="O8" s="74"/>
      <c r="P8" s="74"/>
      <c r="Q8" s="74"/>
      <c r="R8" s="74"/>
      <c r="S8" s="74"/>
      <c r="T8" s="74"/>
      <c r="U8" s="74"/>
      <c r="V8" s="74"/>
      <c r="W8" s="74"/>
      <c r="X8" s="74"/>
      <c r="Y8" s="74"/>
      <c r="Z8" s="74"/>
      <c r="AA8" s="74"/>
      <c r="AB8" s="74"/>
    </row>
    <row r="9" spans="1:29" s="72" customFormat="1" ht="23" customHeight="1" x14ac:dyDescent="0.35">
      <c r="A9" s="117" t="s">
        <v>0</v>
      </c>
      <c r="B9" s="124" t="s">
        <v>633</v>
      </c>
      <c r="C9" s="125"/>
      <c r="D9" s="125"/>
      <c r="E9" s="125"/>
      <c r="F9" s="125"/>
      <c r="G9" s="125"/>
      <c r="H9" s="125"/>
      <c r="I9" s="125"/>
      <c r="J9" s="125"/>
      <c r="K9" s="126"/>
      <c r="L9" s="117" t="s">
        <v>771</v>
      </c>
      <c r="M9" s="117" t="s">
        <v>772</v>
      </c>
      <c r="N9" s="117" t="s">
        <v>773</v>
      </c>
      <c r="O9" s="117" t="s">
        <v>774</v>
      </c>
      <c r="P9" s="117" t="s">
        <v>775</v>
      </c>
      <c r="Q9" s="117" t="s">
        <v>776</v>
      </c>
      <c r="R9" s="117" t="s">
        <v>777</v>
      </c>
      <c r="S9" s="117" t="s">
        <v>778</v>
      </c>
      <c r="T9" s="117" t="s">
        <v>779</v>
      </c>
      <c r="U9" s="117" t="s">
        <v>780</v>
      </c>
      <c r="V9" s="117" t="s">
        <v>781</v>
      </c>
      <c r="W9" s="117" t="s">
        <v>782</v>
      </c>
      <c r="X9" s="117" t="s">
        <v>783</v>
      </c>
      <c r="Y9" s="117" t="s">
        <v>784</v>
      </c>
      <c r="Z9" s="117" t="s">
        <v>785</v>
      </c>
      <c r="AA9" s="117" t="s">
        <v>786</v>
      </c>
      <c r="AB9" s="117" t="s">
        <v>787</v>
      </c>
    </row>
    <row r="10" spans="1:29" s="72" customFormat="1" ht="23" customHeight="1" x14ac:dyDescent="0.35">
      <c r="A10" s="118"/>
      <c r="B10" s="69">
        <v>1</v>
      </c>
      <c r="C10" s="69">
        <v>2</v>
      </c>
      <c r="D10" s="69">
        <v>3</v>
      </c>
      <c r="E10" s="69">
        <v>4</v>
      </c>
      <c r="F10" s="69">
        <v>5</v>
      </c>
      <c r="G10" s="69">
        <v>6</v>
      </c>
      <c r="H10" s="69">
        <v>7</v>
      </c>
      <c r="I10" s="69">
        <v>8</v>
      </c>
      <c r="J10" s="69">
        <v>9</v>
      </c>
      <c r="K10" s="69">
        <v>10</v>
      </c>
      <c r="L10" s="118"/>
      <c r="M10" s="118"/>
      <c r="N10" s="118"/>
      <c r="O10" s="118"/>
      <c r="P10" s="118"/>
      <c r="Q10" s="118"/>
      <c r="R10" s="118"/>
      <c r="S10" s="118"/>
      <c r="T10" s="118"/>
      <c r="U10" s="118"/>
      <c r="V10" s="118"/>
      <c r="W10" s="118"/>
      <c r="X10" s="118"/>
      <c r="Y10" s="118"/>
      <c r="Z10" s="118"/>
      <c r="AA10" s="118"/>
      <c r="AB10" s="118"/>
    </row>
    <row r="11" spans="1:29" ht="25" x14ac:dyDescent="0.35">
      <c r="A11" s="71" t="str">
        <f>AIL!A5</f>
        <v>1. Hal-hal yang mempengaruhi cakupan program audit adalah …</v>
      </c>
      <c r="B11" s="69">
        <f>AIL!B5</f>
        <v>1</v>
      </c>
      <c r="C11" s="69">
        <f>AIL!C5</f>
        <v>1</v>
      </c>
      <c r="D11" s="69">
        <f>AIL!D5</f>
        <v>1</v>
      </c>
      <c r="E11" s="69">
        <f>AIL!E5</f>
        <v>1</v>
      </c>
      <c r="F11" s="69">
        <f>AIL!F5</f>
        <v>1</v>
      </c>
      <c r="G11" s="69">
        <f>AIL!G5</f>
        <v>1</v>
      </c>
      <c r="H11" s="69">
        <f>AIL!H5</f>
        <v>0</v>
      </c>
      <c r="I11" s="69">
        <f>AIL!I5</f>
        <v>0</v>
      </c>
      <c r="J11" s="69">
        <f>AIL!J5</f>
        <v>0</v>
      </c>
      <c r="K11" s="69">
        <f>AIL!K5</f>
        <v>0</v>
      </c>
      <c r="L11" s="69">
        <f t="shared" ref="L11:L42" si="0">COUNTIF($B$8:$K$8,"Laki-Laki")</f>
        <v>5</v>
      </c>
      <c r="M11" s="69">
        <f t="shared" ref="M11:M42" si="1">COUNTIF($B$8:$K$8,"Perempuan")</f>
        <v>5</v>
      </c>
      <c r="N11" s="69">
        <f t="shared" ref="N11:N42" si="2">SUMIF($B$8:$K$8,"Laki-Laki",B11:K11)</f>
        <v>3</v>
      </c>
      <c r="O11" s="69">
        <f t="shared" ref="O11:O42" si="3">SUMIF($B$8:$K$8,"Perempuan",B11:K11)</f>
        <v>3</v>
      </c>
      <c r="P11" s="69">
        <f t="shared" ref="P11:P42" si="4">IF(N11=0,0.3,IF(N11=L11,L11-0.3,N11))</f>
        <v>3</v>
      </c>
      <c r="Q11" s="69">
        <f t="shared" ref="Q11:Q42" si="5">IF(O11=0,0.3,IF(O11=M11,M11-0.3,O11))</f>
        <v>3</v>
      </c>
      <c r="R11" s="70">
        <f t="shared" ref="R11:R42" si="6">LN((L11-P11)/P11)</f>
        <v>-0.40546510810816444</v>
      </c>
      <c r="S11" s="70">
        <f t="shared" ref="S11:S42" si="7">LN((M11-Q11)/Q11)</f>
        <v>-0.40546510810816444</v>
      </c>
      <c r="T11" s="70">
        <f t="shared" ref="T11:T42" si="8">R11-AVERAGE($R$11:$R$110)</f>
        <v>-0.38283619198962854</v>
      </c>
      <c r="U11" s="70">
        <f t="shared" ref="U11:U42" si="9">S11-AVERAGE($S$11:$S$110)</f>
        <v>-0.38283619198962854</v>
      </c>
      <c r="V11" s="70">
        <f t="shared" ref="V11:V42" si="10">SQRT(1/P11+1/(L11-P11))</f>
        <v>0.91287092917527679</v>
      </c>
      <c r="W11" s="70">
        <f t="shared" ref="W11:W42" si="11">SQRT(1/Q11+1/(M11-Q11))</f>
        <v>0.91287092917527679</v>
      </c>
      <c r="X11" s="70">
        <f t="shared" ref="X11:X42" si="12">T11-U11</f>
        <v>0</v>
      </c>
      <c r="Y11" s="70">
        <f t="shared" ref="Y11:Y42" si="13">SQRT(V11^2+W11^2)</f>
        <v>1.2909944487358056</v>
      </c>
      <c r="Z11" s="70">
        <f t="shared" ref="Z11:Z42" si="14">X11/Y11</f>
        <v>0</v>
      </c>
      <c r="AA11" s="69" t="str">
        <f t="shared" ref="AA11:AA42" si="15">IF(AND(ABS(X11)&gt;=$B$4,ABS(Z11)&gt;=$B$5),"DIF Besar - review",IF(AND(ABS(X11)&gt;=$B$3,ABS(Z11)&gt;=$B$5),"DIF Moderat - cek","Negligible"))</f>
        <v>Negligible</v>
      </c>
      <c r="AB11" s="69" t="str">
        <f>IF(ABS(X11)&gt;=$B$4,"Berpotensi Bias - Tinjau Konten",IF(ABS(X11)&gt;=$B$3,"Indikasi Ringan - Pantau","Tidak Ada Indikasi Bias"))</f>
        <v>Tidak Ada Indikasi Bias</v>
      </c>
    </row>
    <row r="12" spans="1:29" ht="37.5" x14ac:dyDescent="0.35">
      <c r="A12" s="71" t="str">
        <f>AIL!A6</f>
        <v>2. Manakah dari berikut ini yang merupakan manfaat terbesar dari program audit internal bagi suatu organisasi?</v>
      </c>
      <c r="B12" s="69">
        <f>AIL!B6</f>
        <v>1</v>
      </c>
      <c r="C12" s="69">
        <f>AIL!C6</f>
        <v>1</v>
      </c>
      <c r="D12" s="69">
        <f>AIL!D6</f>
        <v>1</v>
      </c>
      <c r="E12" s="69">
        <f>AIL!E6</f>
        <v>1</v>
      </c>
      <c r="F12" s="69">
        <f>AIL!F6</f>
        <v>0</v>
      </c>
      <c r="G12" s="69">
        <f>AIL!G6</f>
        <v>0</v>
      </c>
      <c r="H12" s="69">
        <f>AIL!H6</f>
        <v>1</v>
      </c>
      <c r="I12" s="69">
        <f>AIL!I6</f>
        <v>1</v>
      </c>
      <c r="J12" s="69">
        <f>AIL!J6</f>
        <v>0</v>
      </c>
      <c r="K12" s="69">
        <f>AIL!K6</f>
        <v>0</v>
      </c>
      <c r="L12" s="69">
        <f t="shared" si="0"/>
        <v>5</v>
      </c>
      <c r="M12" s="69">
        <f t="shared" si="1"/>
        <v>5</v>
      </c>
      <c r="N12" s="69">
        <f t="shared" si="2"/>
        <v>3</v>
      </c>
      <c r="O12" s="69">
        <f t="shared" si="3"/>
        <v>3</v>
      </c>
      <c r="P12" s="69">
        <f t="shared" si="4"/>
        <v>3</v>
      </c>
      <c r="Q12" s="69">
        <f t="shared" si="5"/>
        <v>3</v>
      </c>
      <c r="R12" s="70">
        <f t="shared" si="6"/>
        <v>-0.40546510810816444</v>
      </c>
      <c r="S12" s="70">
        <f t="shared" si="7"/>
        <v>-0.40546510810816444</v>
      </c>
      <c r="T12" s="70">
        <f t="shared" si="8"/>
        <v>-0.38283619198962854</v>
      </c>
      <c r="U12" s="70">
        <f t="shared" si="9"/>
        <v>-0.38283619198962854</v>
      </c>
      <c r="V12" s="70">
        <f t="shared" si="10"/>
        <v>0.91287092917527679</v>
      </c>
      <c r="W12" s="70">
        <f t="shared" si="11"/>
        <v>0.91287092917527679</v>
      </c>
      <c r="X12" s="70">
        <f t="shared" si="12"/>
        <v>0</v>
      </c>
      <c r="Y12" s="70">
        <f t="shared" si="13"/>
        <v>1.2909944487358056</v>
      </c>
      <c r="Z12" s="70">
        <f t="shared" si="14"/>
        <v>0</v>
      </c>
      <c r="AA12" s="69" t="str">
        <f t="shared" si="15"/>
        <v>Negligible</v>
      </c>
      <c r="AB12" s="69" t="str">
        <f t="shared" ref="AB12:AB42" si="16">IF(ABS(X12)&gt;=$B$4,"Berpotensi Bias - Tinjau Konten",IF(ABS(X12)&gt;=$B$3,"Indikasi Ringan - Pantau","Tidak Ada Indikasi Bias"))</f>
        <v>Tidak Ada Indikasi Bias</v>
      </c>
    </row>
    <row r="13" spans="1:29" ht="37.5" x14ac:dyDescent="0.35">
      <c r="A13" s="71" t="str">
        <f>AIL!A7</f>
        <v>3. Manakah dari berikut ini yang merupakan peran paling mendasar dari fungsi audit?</v>
      </c>
      <c r="B13" s="69">
        <f>AIL!B7</f>
        <v>1</v>
      </c>
      <c r="C13" s="69">
        <f>AIL!C7</f>
        <v>1</v>
      </c>
      <c r="D13" s="69">
        <f>AIL!D7</f>
        <v>1</v>
      </c>
      <c r="E13" s="69">
        <f>AIL!E7</f>
        <v>1</v>
      </c>
      <c r="F13" s="69">
        <f>AIL!F7</f>
        <v>1</v>
      </c>
      <c r="G13" s="69">
        <f>AIL!G7</f>
        <v>1</v>
      </c>
      <c r="H13" s="69">
        <f>AIL!H7</f>
        <v>0</v>
      </c>
      <c r="I13" s="69">
        <f>AIL!I7</f>
        <v>0</v>
      </c>
      <c r="J13" s="69">
        <f>AIL!J7</f>
        <v>1</v>
      </c>
      <c r="K13" s="69">
        <f>AIL!K7</f>
        <v>1</v>
      </c>
      <c r="L13" s="69">
        <f t="shared" si="0"/>
        <v>5</v>
      </c>
      <c r="M13" s="69">
        <f t="shared" si="1"/>
        <v>5</v>
      </c>
      <c r="N13" s="69">
        <f t="shared" si="2"/>
        <v>4</v>
      </c>
      <c r="O13" s="69">
        <f t="shared" si="3"/>
        <v>4</v>
      </c>
      <c r="P13" s="69">
        <f t="shared" si="4"/>
        <v>4</v>
      </c>
      <c r="Q13" s="69">
        <f t="shared" si="5"/>
        <v>4</v>
      </c>
      <c r="R13" s="70">
        <f t="shared" si="6"/>
        <v>-1.3862943611198906</v>
      </c>
      <c r="S13" s="70">
        <f t="shared" si="7"/>
        <v>-1.3862943611198906</v>
      </c>
      <c r="T13" s="70">
        <f t="shared" si="8"/>
        <v>-1.3636654450013548</v>
      </c>
      <c r="U13" s="70">
        <f t="shared" si="9"/>
        <v>-1.3636654450013548</v>
      </c>
      <c r="V13" s="70">
        <f t="shared" si="10"/>
        <v>1.1180339887498949</v>
      </c>
      <c r="W13" s="70">
        <f t="shared" si="11"/>
        <v>1.1180339887498949</v>
      </c>
      <c r="X13" s="70">
        <f t="shared" si="12"/>
        <v>0</v>
      </c>
      <c r="Y13" s="70">
        <f t="shared" si="13"/>
        <v>1.5811388300841898</v>
      </c>
      <c r="Z13" s="70">
        <f t="shared" si="14"/>
        <v>0</v>
      </c>
      <c r="AA13" s="69" t="str">
        <f t="shared" si="15"/>
        <v>Negligible</v>
      </c>
      <c r="AB13" s="69" t="str">
        <f t="shared" si="16"/>
        <v>Tidak Ada Indikasi Bias</v>
      </c>
    </row>
    <row r="14" spans="1:29" ht="37.5" x14ac:dyDescent="0.35">
      <c r="A14" s="71" t="str">
        <f>AIL!A8</f>
        <v>4. Personal behavior yang diperlukan untuk menjadi auditor yang ideal, kecuali …</v>
      </c>
      <c r="B14" s="69">
        <f>AIL!B8</f>
        <v>1</v>
      </c>
      <c r="C14" s="69">
        <f>AIL!C8</f>
        <v>1</v>
      </c>
      <c r="D14" s="69">
        <f>AIL!D8</f>
        <v>1</v>
      </c>
      <c r="E14" s="69">
        <f>AIL!E8</f>
        <v>1</v>
      </c>
      <c r="F14" s="69">
        <f>AIL!F8</f>
        <v>1</v>
      </c>
      <c r="G14" s="69">
        <f>AIL!G8</f>
        <v>1</v>
      </c>
      <c r="H14" s="69">
        <f>AIL!H8</f>
        <v>0</v>
      </c>
      <c r="I14" s="69">
        <f>AIL!I8</f>
        <v>0</v>
      </c>
      <c r="J14" s="69">
        <f>AIL!J8</f>
        <v>1</v>
      </c>
      <c r="K14" s="69">
        <f>AIL!K8</f>
        <v>1</v>
      </c>
      <c r="L14" s="69">
        <f t="shared" si="0"/>
        <v>5</v>
      </c>
      <c r="M14" s="69">
        <f t="shared" si="1"/>
        <v>5</v>
      </c>
      <c r="N14" s="69">
        <f t="shared" si="2"/>
        <v>4</v>
      </c>
      <c r="O14" s="69">
        <f t="shared" si="3"/>
        <v>4</v>
      </c>
      <c r="P14" s="69">
        <f t="shared" si="4"/>
        <v>4</v>
      </c>
      <c r="Q14" s="69">
        <f t="shared" si="5"/>
        <v>4</v>
      </c>
      <c r="R14" s="70">
        <f t="shared" si="6"/>
        <v>-1.3862943611198906</v>
      </c>
      <c r="S14" s="70">
        <f t="shared" si="7"/>
        <v>-1.3862943611198906</v>
      </c>
      <c r="T14" s="70">
        <f t="shared" si="8"/>
        <v>-1.3636654450013548</v>
      </c>
      <c r="U14" s="70">
        <f t="shared" si="9"/>
        <v>-1.3636654450013548</v>
      </c>
      <c r="V14" s="70">
        <f t="shared" si="10"/>
        <v>1.1180339887498949</v>
      </c>
      <c r="W14" s="70">
        <f t="shared" si="11"/>
        <v>1.1180339887498949</v>
      </c>
      <c r="X14" s="70">
        <f t="shared" si="12"/>
        <v>0</v>
      </c>
      <c r="Y14" s="70">
        <f t="shared" si="13"/>
        <v>1.5811388300841898</v>
      </c>
      <c r="Z14" s="70">
        <f t="shared" si="14"/>
        <v>0</v>
      </c>
      <c r="AA14" s="69" t="str">
        <f t="shared" si="15"/>
        <v>Negligible</v>
      </c>
      <c r="AB14" s="69" t="str">
        <f t="shared" si="16"/>
        <v>Tidak Ada Indikasi Bias</v>
      </c>
    </row>
    <row r="15" spans="1:29" ht="25" x14ac:dyDescent="0.35">
      <c r="A15" s="71" t="str">
        <f>AIL!A9</f>
        <v>5. Pengetahuan umum dan keahlian auditor mencakup, kecuali …</v>
      </c>
      <c r="B15" s="69">
        <f>AIL!B9</f>
        <v>1</v>
      </c>
      <c r="C15" s="69">
        <f>AIL!C9</f>
        <v>1</v>
      </c>
      <c r="D15" s="69">
        <f>AIL!D9</f>
        <v>1</v>
      </c>
      <c r="E15" s="69">
        <f>AIL!E9</f>
        <v>1</v>
      </c>
      <c r="F15" s="69">
        <f>AIL!F9</f>
        <v>0</v>
      </c>
      <c r="G15" s="69">
        <f>AIL!G9</f>
        <v>0</v>
      </c>
      <c r="H15" s="69">
        <f>AIL!H9</f>
        <v>0</v>
      </c>
      <c r="I15" s="69">
        <f>AIL!I9</f>
        <v>0</v>
      </c>
      <c r="J15" s="69">
        <f>AIL!J9</f>
        <v>1</v>
      </c>
      <c r="K15" s="69">
        <f>AIL!K9</f>
        <v>1</v>
      </c>
      <c r="L15" s="69">
        <f t="shared" si="0"/>
        <v>5</v>
      </c>
      <c r="M15" s="69">
        <f t="shared" si="1"/>
        <v>5</v>
      </c>
      <c r="N15" s="69">
        <f t="shared" si="2"/>
        <v>3</v>
      </c>
      <c r="O15" s="69">
        <f t="shared" si="3"/>
        <v>3</v>
      </c>
      <c r="P15" s="69">
        <f t="shared" si="4"/>
        <v>3</v>
      </c>
      <c r="Q15" s="69">
        <f t="shared" si="5"/>
        <v>3</v>
      </c>
      <c r="R15" s="70">
        <f t="shared" si="6"/>
        <v>-0.40546510810816444</v>
      </c>
      <c r="S15" s="70">
        <f t="shared" si="7"/>
        <v>-0.40546510810816444</v>
      </c>
      <c r="T15" s="70">
        <f t="shared" si="8"/>
        <v>-0.38283619198962854</v>
      </c>
      <c r="U15" s="70">
        <f t="shared" si="9"/>
        <v>-0.38283619198962854</v>
      </c>
      <c r="V15" s="70">
        <f t="shared" si="10"/>
        <v>0.91287092917527679</v>
      </c>
      <c r="W15" s="70">
        <f t="shared" si="11"/>
        <v>0.91287092917527679</v>
      </c>
      <c r="X15" s="70">
        <f t="shared" si="12"/>
        <v>0</v>
      </c>
      <c r="Y15" s="70">
        <f t="shared" si="13"/>
        <v>1.2909944487358056</v>
      </c>
      <c r="Z15" s="70">
        <f t="shared" si="14"/>
        <v>0</v>
      </c>
      <c r="AA15" s="69" t="str">
        <f t="shared" si="15"/>
        <v>Negligible</v>
      </c>
      <c r="AB15" s="69" t="str">
        <f t="shared" si="16"/>
        <v>Tidak Ada Indikasi Bias</v>
      </c>
    </row>
    <row r="16" spans="1:29" ht="37.5" customHeight="1" x14ac:dyDescent="0.35">
      <c r="A16" s="71" t="str">
        <f>AIL!A10</f>
        <v>6. Kriteria independen auditor mencakup kebebasan dari …</v>
      </c>
      <c r="B16" s="69">
        <f>AIL!B10</f>
        <v>0</v>
      </c>
      <c r="C16" s="69">
        <f>AIL!C10</f>
        <v>0</v>
      </c>
      <c r="D16" s="69">
        <f>AIL!D10</f>
        <v>1</v>
      </c>
      <c r="E16" s="69">
        <f>AIL!E10</f>
        <v>1</v>
      </c>
      <c r="F16" s="69">
        <f>AIL!F10</f>
        <v>0</v>
      </c>
      <c r="G16" s="69">
        <f>AIL!G10</f>
        <v>0</v>
      </c>
      <c r="H16" s="69">
        <f>AIL!H10</f>
        <v>0</v>
      </c>
      <c r="I16" s="69">
        <f>AIL!I10</f>
        <v>0</v>
      </c>
      <c r="J16" s="69">
        <f>AIL!J10</f>
        <v>0</v>
      </c>
      <c r="K16" s="69">
        <f>AIL!K10</f>
        <v>0</v>
      </c>
      <c r="L16" s="69">
        <f t="shared" si="0"/>
        <v>5</v>
      </c>
      <c r="M16" s="69">
        <f t="shared" si="1"/>
        <v>5</v>
      </c>
      <c r="N16" s="69">
        <f t="shared" si="2"/>
        <v>1</v>
      </c>
      <c r="O16" s="69">
        <f t="shared" si="3"/>
        <v>1</v>
      </c>
      <c r="P16" s="69">
        <f t="shared" si="4"/>
        <v>1</v>
      </c>
      <c r="Q16" s="69">
        <f t="shared" si="5"/>
        <v>1</v>
      </c>
      <c r="R16" s="70">
        <f t="shared" si="6"/>
        <v>1.3862943611198906</v>
      </c>
      <c r="S16" s="70">
        <f t="shared" si="7"/>
        <v>1.3862943611198906</v>
      </c>
      <c r="T16" s="70">
        <f t="shared" si="8"/>
        <v>1.4089232772384264</v>
      </c>
      <c r="U16" s="70">
        <f t="shared" si="9"/>
        <v>1.4089232772384264</v>
      </c>
      <c r="V16" s="70">
        <f t="shared" si="10"/>
        <v>1.1180339887498949</v>
      </c>
      <c r="W16" s="70">
        <f t="shared" si="11"/>
        <v>1.1180339887498949</v>
      </c>
      <c r="X16" s="70">
        <f t="shared" si="12"/>
        <v>0</v>
      </c>
      <c r="Y16" s="70">
        <f t="shared" si="13"/>
        <v>1.5811388300841898</v>
      </c>
      <c r="Z16" s="70">
        <f t="shared" si="14"/>
        <v>0</v>
      </c>
      <c r="AA16" s="69" t="str">
        <f t="shared" si="15"/>
        <v>Negligible</v>
      </c>
      <c r="AB16" s="69" t="str">
        <f t="shared" si="16"/>
        <v>Tidak Ada Indikasi Bias</v>
      </c>
    </row>
    <row r="17" spans="1:28" ht="37.5" customHeight="1" x14ac:dyDescent="0.35">
      <c r="A17" s="71" t="str">
        <f>AIL!A11</f>
        <v>7. Auditor dapat menggunakan flowchart dalam melaksanakan kegiatan untuk …</v>
      </c>
      <c r="B17" s="69">
        <f>AIL!B11</f>
        <v>1</v>
      </c>
      <c r="C17" s="69">
        <f>AIL!C11</f>
        <v>1</v>
      </c>
      <c r="D17" s="69">
        <f>AIL!D11</f>
        <v>1</v>
      </c>
      <c r="E17" s="69">
        <f>AIL!E11</f>
        <v>1</v>
      </c>
      <c r="F17" s="69">
        <f>AIL!F11</f>
        <v>1</v>
      </c>
      <c r="G17" s="69">
        <f>AIL!G11</f>
        <v>1</v>
      </c>
      <c r="H17" s="69">
        <f>AIL!H11</f>
        <v>0</v>
      </c>
      <c r="I17" s="69">
        <f>AIL!I11</f>
        <v>0</v>
      </c>
      <c r="J17" s="69">
        <f>AIL!J11</f>
        <v>0</v>
      </c>
      <c r="K17" s="69">
        <f>AIL!K11</f>
        <v>0</v>
      </c>
      <c r="L17" s="69">
        <f t="shared" si="0"/>
        <v>5</v>
      </c>
      <c r="M17" s="69">
        <f t="shared" si="1"/>
        <v>5</v>
      </c>
      <c r="N17" s="69">
        <f t="shared" si="2"/>
        <v>3</v>
      </c>
      <c r="O17" s="69">
        <f t="shared" si="3"/>
        <v>3</v>
      </c>
      <c r="P17" s="69">
        <f t="shared" si="4"/>
        <v>3</v>
      </c>
      <c r="Q17" s="69">
        <f t="shared" si="5"/>
        <v>3</v>
      </c>
      <c r="R17" s="70">
        <f t="shared" si="6"/>
        <v>-0.40546510810816444</v>
      </c>
      <c r="S17" s="70">
        <f t="shared" si="7"/>
        <v>-0.40546510810816444</v>
      </c>
      <c r="T17" s="70">
        <f t="shared" si="8"/>
        <v>-0.38283619198962854</v>
      </c>
      <c r="U17" s="70">
        <f t="shared" si="9"/>
        <v>-0.38283619198962854</v>
      </c>
      <c r="V17" s="70">
        <f t="shared" si="10"/>
        <v>0.91287092917527679</v>
      </c>
      <c r="W17" s="70">
        <f t="shared" si="11"/>
        <v>0.91287092917527679</v>
      </c>
      <c r="X17" s="70">
        <f t="shared" si="12"/>
        <v>0</v>
      </c>
      <c r="Y17" s="70">
        <f t="shared" si="13"/>
        <v>1.2909944487358056</v>
      </c>
      <c r="Z17" s="70">
        <f t="shared" si="14"/>
        <v>0</v>
      </c>
      <c r="AA17" s="69" t="str">
        <f t="shared" si="15"/>
        <v>Negligible</v>
      </c>
      <c r="AB17" s="69" t="str">
        <f t="shared" si="16"/>
        <v>Tidak Ada Indikasi Bias</v>
      </c>
    </row>
    <row r="18" spans="1:28" ht="37.5" x14ac:dyDescent="0.35">
      <c r="A18" s="71" t="str">
        <f>AIL!A12</f>
        <v>8. Berikut merupakan komponen yang umum diidentifikasi pada diagram sebab akibat, kecuali …</v>
      </c>
      <c r="B18" s="69">
        <f>AIL!B12</f>
        <v>1</v>
      </c>
      <c r="C18" s="69">
        <f>AIL!C12</f>
        <v>1</v>
      </c>
      <c r="D18" s="69">
        <f>AIL!D12</f>
        <v>1</v>
      </c>
      <c r="E18" s="69">
        <f>AIL!E12</f>
        <v>1</v>
      </c>
      <c r="F18" s="69">
        <f>AIL!F12</f>
        <v>0</v>
      </c>
      <c r="G18" s="69">
        <f>AIL!G12</f>
        <v>0</v>
      </c>
      <c r="H18" s="69">
        <f>AIL!H12</f>
        <v>1</v>
      </c>
      <c r="I18" s="69">
        <f>AIL!I12</f>
        <v>1</v>
      </c>
      <c r="J18" s="69">
        <f>AIL!J12</f>
        <v>0</v>
      </c>
      <c r="K18" s="69">
        <f>AIL!K12</f>
        <v>0</v>
      </c>
      <c r="L18" s="69">
        <f t="shared" si="0"/>
        <v>5</v>
      </c>
      <c r="M18" s="69">
        <f t="shared" si="1"/>
        <v>5</v>
      </c>
      <c r="N18" s="69">
        <f t="shared" si="2"/>
        <v>3</v>
      </c>
      <c r="O18" s="69">
        <f t="shared" si="3"/>
        <v>3</v>
      </c>
      <c r="P18" s="69">
        <f t="shared" si="4"/>
        <v>3</v>
      </c>
      <c r="Q18" s="69">
        <f t="shared" si="5"/>
        <v>3</v>
      </c>
      <c r="R18" s="70">
        <f t="shared" si="6"/>
        <v>-0.40546510810816444</v>
      </c>
      <c r="S18" s="70">
        <f t="shared" si="7"/>
        <v>-0.40546510810816444</v>
      </c>
      <c r="T18" s="70">
        <f t="shared" si="8"/>
        <v>-0.38283619198962854</v>
      </c>
      <c r="U18" s="70">
        <f t="shared" si="9"/>
        <v>-0.38283619198962854</v>
      </c>
      <c r="V18" s="70">
        <f t="shared" si="10"/>
        <v>0.91287092917527679</v>
      </c>
      <c r="W18" s="70">
        <f t="shared" si="11"/>
        <v>0.91287092917527679</v>
      </c>
      <c r="X18" s="70">
        <f t="shared" si="12"/>
        <v>0</v>
      </c>
      <c r="Y18" s="70">
        <f t="shared" si="13"/>
        <v>1.2909944487358056</v>
      </c>
      <c r="Z18" s="70">
        <f t="shared" si="14"/>
        <v>0</v>
      </c>
      <c r="AA18" s="69" t="str">
        <f t="shared" si="15"/>
        <v>Negligible</v>
      </c>
      <c r="AB18" s="69" t="str">
        <f t="shared" si="16"/>
        <v>Tidak Ada Indikasi Bias</v>
      </c>
    </row>
    <row r="19" spans="1:28" ht="25" x14ac:dyDescent="0.35">
      <c r="A19" s="71" t="str">
        <f>AIL!A13</f>
        <v>9. Alat statisitik mana yang tergolong kualitatif?</v>
      </c>
      <c r="B19" s="69">
        <f>AIL!B13</f>
        <v>1</v>
      </c>
      <c r="C19" s="69">
        <f>AIL!C13</f>
        <v>1</v>
      </c>
      <c r="D19" s="69">
        <f>AIL!D13</f>
        <v>1</v>
      </c>
      <c r="E19" s="69">
        <f>AIL!E13</f>
        <v>1</v>
      </c>
      <c r="F19" s="69">
        <f>AIL!F13</f>
        <v>1</v>
      </c>
      <c r="G19" s="69">
        <f>AIL!G13</f>
        <v>1</v>
      </c>
      <c r="H19" s="69">
        <f>AIL!H13</f>
        <v>0</v>
      </c>
      <c r="I19" s="69">
        <f>AIL!I13</f>
        <v>0</v>
      </c>
      <c r="J19" s="69">
        <f>AIL!J13</f>
        <v>0</v>
      </c>
      <c r="K19" s="69">
        <f>AIL!K13</f>
        <v>0</v>
      </c>
      <c r="L19" s="69">
        <f t="shared" si="0"/>
        <v>5</v>
      </c>
      <c r="M19" s="69">
        <f t="shared" si="1"/>
        <v>5</v>
      </c>
      <c r="N19" s="69">
        <f t="shared" si="2"/>
        <v>3</v>
      </c>
      <c r="O19" s="69">
        <f t="shared" si="3"/>
        <v>3</v>
      </c>
      <c r="P19" s="69">
        <f t="shared" si="4"/>
        <v>3</v>
      </c>
      <c r="Q19" s="69">
        <f t="shared" si="5"/>
        <v>3</v>
      </c>
      <c r="R19" s="70">
        <f t="shared" si="6"/>
        <v>-0.40546510810816444</v>
      </c>
      <c r="S19" s="70">
        <f t="shared" si="7"/>
        <v>-0.40546510810816444</v>
      </c>
      <c r="T19" s="70">
        <f t="shared" si="8"/>
        <v>-0.38283619198962854</v>
      </c>
      <c r="U19" s="70">
        <f t="shared" si="9"/>
        <v>-0.38283619198962854</v>
      </c>
      <c r="V19" s="70">
        <f t="shared" si="10"/>
        <v>0.91287092917527679</v>
      </c>
      <c r="W19" s="70">
        <f t="shared" si="11"/>
        <v>0.91287092917527679</v>
      </c>
      <c r="X19" s="70">
        <f t="shared" si="12"/>
        <v>0</v>
      </c>
      <c r="Y19" s="70">
        <f t="shared" si="13"/>
        <v>1.2909944487358056</v>
      </c>
      <c r="Z19" s="70">
        <f t="shared" si="14"/>
        <v>0</v>
      </c>
      <c r="AA19" s="69" t="str">
        <f t="shared" si="15"/>
        <v>Negligible</v>
      </c>
      <c r="AB19" s="69" t="str">
        <f t="shared" si="16"/>
        <v>Tidak Ada Indikasi Bias</v>
      </c>
    </row>
    <row r="20" spans="1:28" ht="37.5" x14ac:dyDescent="0.35">
      <c r="A20" s="71" t="str">
        <f>AIL!A14</f>
        <v>10. Variasi dalam proses dibagi menjadi 2 yaitu, variasi umum dan variasi khusus. Variasi umum adalah …</v>
      </c>
      <c r="B20" s="69">
        <f>AIL!B14</f>
        <v>1</v>
      </c>
      <c r="C20" s="69">
        <f>AIL!C14</f>
        <v>1</v>
      </c>
      <c r="D20" s="69">
        <f>AIL!D14</f>
        <v>1</v>
      </c>
      <c r="E20" s="69">
        <f>AIL!E14</f>
        <v>1</v>
      </c>
      <c r="F20" s="69">
        <f>AIL!F14</f>
        <v>0</v>
      </c>
      <c r="G20" s="69">
        <f>AIL!G14</f>
        <v>0</v>
      </c>
      <c r="H20" s="69">
        <f>AIL!H14</f>
        <v>1</v>
      </c>
      <c r="I20" s="69">
        <f>AIL!I14</f>
        <v>1</v>
      </c>
      <c r="J20" s="69">
        <f>AIL!J14</f>
        <v>0</v>
      </c>
      <c r="K20" s="69">
        <f>AIL!K14</f>
        <v>0</v>
      </c>
      <c r="L20" s="69">
        <f t="shared" si="0"/>
        <v>5</v>
      </c>
      <c r="M20" s="69">
        <f t="shared" si="1"/>
        <v>5</v>
      </c>
      <c r="N20" s="69">
        <f t="shared" si="2"/>
        <v>3</v>
      </c>
      <c r="O20" s="69">
        <f t="shared" si="3"/>
        <v>3</v>
      </c>
      <c r="P20" s="69">
        <f t="shared" si="4"/>
        <v>3</v>
      </c>
      <c r="Q20" s="69">
        <f t="shared" si="5"/>
        <v>3</v>
      </c>
      <c r="R20" s="70">
        <f t="shared" si="6"/>
        <v>-0.40546510810816444</v>
      </c>
      <c r="S20" s="70">
        <f t="shared" si="7"/>
        <v>-0.40546510810816444</v>
      </c>
      <c r="T20" s="70">
        <f t="shared" si="8"/>
        <v>-0.38283619198962854</v>
      </c>
      <c r="U20" s="70">
        <f t="shared" si="9"/>
        <v>-0.38283619198962854</v>
      </c>
      <c r="V20" s="70">
        <f t="shared" si="10"/>
        <v>0.91287092917527679</v>
      </c>
      <c r="W20" s="70">
        <f t="shared" si="11"/>
        <v>0.91287092917527679</v>
      </c>
      <c r="X20" s="70">
        <f t="shared" si="12"/>
        <v>0</v>
      </c>
      <c r="Y20" s="70">
        <f t="shared" si="13"/>
        <v>1.2909944487358056</v>
      </c>
      <c r="Z20" s="70">
        <f t="shared" si="14"/>
        <v>0</v>
      </c>
      <c r="AA20" s="69" t="str">
        <f t="shared" si="15"/>
        <v>Negligible</v>
      </c>
      <c r="AB20" s="69" t="str">
        <f t="shared" si="16"/>
        <v>Tidak Ada Indikasi Bias</v>
      </c>
    </row>
    <row r="21" spans="1:28" ht="25" x14ac:dyDescent="0.35">
      <c r="A21" s="71" t="str">
        <f>AIL!A15</f>
        <v>11. Apa yang dimaksud dengan confidence level dalam sampling?</v>
      </c>
      <c r="B21" s="69">
        <f>AIL!B15</f>
        <v>1</v>
      </c>
      <c r="C21" s="69">
        <f>AIL!C15</f>
        <v>1</v>
      </c>
      <c r="D21" s="69">
        <f>AIL!D15</f>
        <v>0</v>
      </c>
      <c r="E21" s="69">
        <f>AIL!E15</f>
        <v>0</v>
      </c>
      <c r="F21" s="69">
        <f>AIL!F15</f>
        <v>0</v>
      </c>
      <c r="G21" s="69">
        <f>AIL!G15</f>
        <v>0</v>
      </c>
      <c r="H21" s="69">
        <f>AIL!H15</f>
        <v>0</v>
      </c>
      <c r="I21" s="69">
        <f>AIL!I15</f>
        <v>0</v>
      </c>
      <c r="J21" s="69">
        <f>AIL!J15</f>
        <v>1</v>
      </c>
      <c r="K21" s="69">
        <f>AIL!K15</f>
        <v>1</v>
      </c>
      <c r="L21" s="69">
        <f t="shared" si="0"/>
        <v>5</v>
      </c>
      <c r="M21" s="69">
        <f t="shared" si="1"/>
        <v>5</v>
      </c>
      <c r="N21" s="69">
        <f t="shared" si="2"/>
        <v>2</v>
      </c>
      <c r="O21" s="69">
        <f t="shared" si="3"/>
        <v>2</v>
      </c>
      <c r="P21" s="69">
        <f t="shared" si="4"/>
        <v>2</v>
      </c>
      <c r="Q21" s="69">
        <f t="shared" si="5"/>
        <v>2</v>
      </c>
      <c r="R21" s="70">
        <f t="shared" si="6"/>
        <v>0.40546510810816438</v>
      </c>
      <c r="S21" s="70">
        <f t="shared" si="7"/>
        <v>0.40546510810816438</v>
      </c>
      <c r="T21" s="70">
        <f t="shared" si="8"/>
        <v>0.42809402422670029</v>
      </c>
      <c r="U21" s="70">
        <f t="shared" si="9"/>
        <v>0.42809402422670029</v>
      </c>
      <c r="V21" s="70">
        <f t="shared" si="10"/>
        <v>0.91287092917527679</v>
      </c>
      <c r="W21" s="70">
        <f t="shared" si="11"/>
        <v>0.91287092917527679</v>
      </c>
      <c r="X21" s="70">
        <f t="shared" si="12"/>
        <v>0</v>
      </c>
      <c r="Y21" s="70">
        <f t="shared" si="13"/>
        <v>1.2909944487358056</v>
      </c>
      <c r="Z21" s="70">
        <f t="shared" si="14"/>
        <v>0</v>
      </c>
      <c r="AA21" s="69" t="str">
        <f t="shared" si="15"/>
        <v>Negligible</v>
      </c>
      <c r="AB21" s="69" t="str">
        <f t="shared" si="16"/>
        <v>Tidak Ada Indikasi Bias</v>
      </c>
    </row>
    <row r="22" spans="1:28" ht="50" x14ac:dyDescent="0.35">
      <c r="A22" s="71" t="str">
        <f>AIL!A16</f>
        <v>12. Jika pendamping audit untuk suatu area berulang kali terlambat atau tidak tersedia, pilihan terbaik apa yang tersedia bagi auditor?</v>
      </c>
      <c r="B22" s="69">
        <f>AIL!B16</f>
        <v>1</v>
      </c>
      <c r="C22" s="69">
        <f>AIL!C16</f>
        <v>1</v>
      </c>
      <c r="D22" s="69">
        <f>AIL!D16</f>
        <v>1</v>
      </c>
      <c r="E22" s="69">
        <f>AIL!E16</f>
        <v>1</v>
      </c>
      <c r="F22" s="69">
        <f>AIL!F16</f>
        <v>0</v>
      </c>
      <c r="G22" s="69">
        <f>AIL!G16</f>
        <v>0</v>
      </c>
      <c r="H22" s="69">
        <f>AIL!H16</f>
        <v>1</v>
      </c>
      <c r="I22" s="69">
        <f>AIL!I16</f>
        <v>1</v>
      </c>
      <c r="J22" s="69">
        <f>AIL!J16</f>
        <v>1</v>
      </c>
      <c r="K22" s="69">
        <f>AIL!K16</f>
        <v>1</v>
      </c>
      <c r="L22" s="69">
        <f t="shared" si="0"/>
        <v>5</v>
      </c>
      <c r="M22" s="69">
        <f t="shared" si="1"/>
        <v>5</v>
      </c>
      <c r="N22" s="69">
        <f t="shared" si="2"/>
        <v>4</v>
      </c>
      <c r="O22" s="69">
        <f t="shared" si="3"/>
        <v>4</v>
      </c>
      <c r="P22" s="69">
        <f t="shared" si="4"/>
        <v>4</v>
      </c>
      <c r="Q22" s="69">
        <f t="shared" si="5"/>
        <v>4</v>
      </c>
      <c r="R22" s="70">
        <f t="shared" si="6"/>
        <v>-1.3862943611198906</v>
      </c>
      <c r="S22" s="70">
        <f t="shared" si="7"/>
        <v>-1.3862943611198906</v>
      </c>
      <c r="T22" s="70">
        <f t="shared" si="8"/>
        <v>-1.3636654450013548</v>
      </c>
      <c r="U22" s="70">
        <f t="shared" si="9"/>
        <v>-1.3636654450013548</v>
      </c>
      <c r="V22" s="70">
        <f t="shared" si="10"/>
        <v>1.1180339887498949</v>
      </c>
      <c r="W22" s="70">
        <f t="shared" si="11"/>
        <v>1.1180339887498949</v>
      </c>
      <c r="X22" s="70">
        <f t="shared" si="12"/>
        <v>0</v>
      </c>
      <c r="Y22" s="70">
        <f t="shared" si="13"/>
        <v>1.5811388300841898</v>
      </c>
      <c r="Z22" s="70">
        <f t="shared" si="14"/>
        <v>0</v>
      </c>
      <c r="AA22" s="69" t="str">
        <f t="shared" si="15"/>
        <v>Negligible</v>
      </c>
      <c r="AB22" s="69" t="str">
        <f t="shared" si="16"/>
        <v>Tidak Ada Indikasi Bias</v>
      </c>
    </row>
    <row r="23" spans="1:28" ht="62.5" x14ac:dyDescent="0.35">
      <c r="A23" s="71" t="str">
        <f>AIL!A17</f>
        <v>13. Dalam pelaksanaan audit, auditor dapat menggunakan checklist sebagai alat bantu dalam pelaksanaan audit. Beberapa fungsi dari checklist audit adalah, kecuali …</v>
      </c>
      <c r="B23" s="69">
        <f>AIL!B17</f>
        <v>1</v>
      </c>
      <c r="C23" s="69">
        <f>AIL!C17</f>
        <v>1</v>
      </c>
      <c r="D23" s="69">
        <f>AIL!D17</f>
        <v>1</v>
      </c>
      <c r="E23" s="69">
        <f>AIL!E17</f>
        <v>1</v>
      </c>
      <c r="F23" s="69">
        <f>AIL!F17</f>
        <v>0</v>
      </c>
      <c r="G23" s="69">
        <f>AIL!G17</f>
        <v>0</v>
      </c>
      <c r="H23" s="69">
        <f>AIL!H17</f>
        <v>1</v>
      </c>
      <c r="I23" s="69">
        <f>AIL!I17</f>
        <v>1</v>
      </c>
      <c r="J23" s="69">
        <f>AIL!J17</f>
        <v>0</v>
      </c>
      <c r="K23" s="69">
        <f>AIL!K17</f>
        <v>0</v>
      </c>
      <c r="L23" s="69">
        <f t="shared" si="0"/>
        <v>5</v>
      </c>
      <c r="M23" s="69">
        <f t="shared" si="1"/>
        <v>5</v>
      </c>
      <c r="N23" s="69">
        <f t="shared" si="2"/>
        <v>3</v>
      </c>
      <c r="O23" s="69">
        <f t="shared" si="3"/>
        <v>3</v>
      </c>
      <c r="P23" s="69">
        <f t="shared" si="4"/>
        <v>3</v>
      </c>
      <c r="Q23" s="69">
        <f t="shared" si="5"/>
        <v>3</v>
      </c>
      <c r="R23" s="70">
        <f t="shared" si="6"/>
        <v>-0.40546510810816444</v>
      </c>
      <c r="S23" s="70">
        <f t="shared" si="7"/>
        <v>-0.40546510810816444</v>
      </c>
      <c r="T23" s="70">
        <f t="shared" si="8"/>
        <v>-0.38283619198962854</v>
      </c>
      <c r="U23" s="70">
        <f t="shared" si="9"/>
        <v>-0.38283619198962854</v>
      </c>
      <c r="V23" s="70">
        <f t="shared" si="10"/>
        <v>0.91287092917527679</v>
      </c>
      <c r="W23" s="70">
        <f t="shared" si="11"/>
        <v>0.91287092917527679</v>
      </c>
      <c r="X23" s="70">
        <f t="shared" si="12"/>
        <v>0</v>
      </c>
      <c r="Y23" s="70">
        <f t="shared" si="13"/>
        <v>1.2909944487358056</v>
      </c>
      <c r="Z23" s="70">
        <f t="shared" si="14"/>
        <v>0</v>
      </c>
      <c r="AA23" s="69" t="str">
        <f t="shared" si="15"/>
        <v>Negligible</v>
      </c>
      <c r="AB23" s="69" t="str">
        <f t="shared" si="16"/>
        <v>Tidak Ada Indikasi Bias</v>
      </c>
    </row>
    <row r="24" spans="1:28" ht="37.5" x14ac:dyDescent="0.35">
      <c r="A24" s="71" t="str">
        <f>AIL!A18</f>
        <v>14. Kegiatan membandingkan dokumen lower – tier dengan dokumen ­higher – tier disebut juga dengan …</v>
      </c>
      <c r="B24" s="69">
        <f>AIL!B18</f>
        <v>1</v>
      </c>
      <c r="C24" s="69">
        <f>AIL!C18</f>
        <v>1</v>
      </c>
      <c r="D24" s="69">
        <f>AIL!D18</f>
        <v>0</v>
      </c>
      <c r="E24" s="69">
        <f>AIL!E18</f>
        <v>0</v>
      </c>
      <c r="F24" s="69">
        <f>AIL!F18</f>
        <v>0</v>
      </c>
      <c r="G24" s="69">
        <f>AIL!G18</f>
        <v>0</v>
      </c>
      <c r="H24" s="69">
        <f>AIL!H18</f>
        <v>0</v>
      </c>
      <c r="I24" s="69">
        <f>AIL!I18</f>
        <v>0</v>
      </c>
      <c r="J24" s="69">
        <f>AIL!J18</f>
        <v>1</v>
      </c>
      <c r="K24" s="69">
        <f>AIL!K18</f>
        <v>1</v>
      </c>
      <c r="L24" s="69">
        <f t="shared" si="0"/>
        <v>5</v>
      </c>
      <c r="M24" s="69">
        <f t="shared" si="1"/>
        <v>5</v>
      </c>
      <c r="N24" s="69">
        <f t="shared" si="2"/>
        <v>2</v>
      </c>
      <c r="O24" s="69">
        <f t="shared" si="3"/>
        <v>2</v>
      </c>
      <c r="P24" s="69">
        <f t="shared" si="4"/>
        <v>2</v>
      </c>
      <c r="Q24" s="69">
        <f t="shared" si="5"/>
        <v>2</v>
      </c>
      <c r="R24" s="70">
        <f t="shared" si="6"/>
        <v>0.40546510810816438</v>
      </c>
      <c r="S24" s="70">
        <f t="shared" si="7"/>
        <v>0.40546510810816438</v>
      </c>
      <c r="T24" s="70">
        <f t="shared" si="8"/>
        <v>0.42809402422670029</v>
      </c>
      <c r="U24" s="70">
        <f t="shared" si="9"/>
        <v>0.42809402422670029</v>
      </c>
      <c r="V24" s="70">
        <f t="shared" si="10"/>
        <v>0.91287092917527679</v>
      </c>
      <c r="W24" s="70">
        <f t="shared" si="11"/>
        <v>0.91287092917527679</v>
      </c>
      <c r="X24" s="70">
        <f t="shared" si="12"/>
        <v>0</v>
      </c>
      <c r="Y24" s="70">
        <f t="shared" si="13"/>
        <v>1.2909944487358056</v>
      </c>
      <c r="Z24" s="70">
        <f t="shared" si="14"/>
        <v>0</v>
      </c>
      <c r="AA24" s="69" t="str">
        <f t="shared" si="15"/>
        <v>Negligible</v>
      </c>
      <c r="AB24" s="69" t="str">
        <f t="shared" si="16"/>
        <v>Tidak Ada Indikasi Bias</v>
      </c>
    </row>
    <row r="25" spans="1:28" ht="75" customHeight="1" x14ac:dyDescent="0.35">
      <c r="A25" s="71" t="str">
        <f>AIL!A19</f>
        <v>15. Bukti objektif yang mendukung obervasi audit harus …</v>
      </c>
      <c r="B25" s="69">
        <f>AIL!B19</f>
        <v>1</v>
      </c>
      <c r="C25" s="69">
        <f>AIL!C19</f>
        <v>1</v>
      </c>
      <c r="D25" s="69">
        <f>AIL!D19</f>
        <v>1</v>
      </c>
      <c r="E25" s="69">
        <f>AIL!E19</f>
        <v>1</v>
      </c>
      <c r="F25" s="69">
        <f>AIL!F19</f>
        <v>0</v>
      </c>
      <c r="G25" s="69">
        <f>AIL!G19</f>
        <v>0</v>
      </c>
      <c r="H25" s="69">
        <f>AIL!H19</f>
        <v>1</v>
      </c>
      <c r="I25" s="69">
        <f>AIL!I19</f>
        <v>1</v>
      </c>
      <c r="J25" s="69">
        <f>AIL!J19</f>
        <v>0</v>
      </c>
      <c r="K25" s="69">
        <f>AIL!K19</f>
        <v>0</v>
      </c>
      <c r="L25" s="69">
        <f t="shared" si="0"/>
        <v>5</v>
      </c>
      <c r="M25" s="69">
        <f t="shared" si="1"/>
        <v>5</v>
      </c>
      <c r="N25" s="69">
        <f t="shared" si="2"/>
        <v>3</v>
      </c>
      <c r="O25" s="69">
        <f t="shared" si="3"/>
        <v>3</v>
      </c>
      <c r="P25" s="69">
        <f t="shared" si="4"/>
        <v>3</v>
      </c>
      <c r="Q25" s="69">
        <f t="shared" si="5"/>
        <v>3</v>
      </c>
      <c r="R25" s="70">
        <f t="shared" si="6"/>
        <v>-0.40546510810816444</v>
      </c>
      <c r="S25" s="70">
        <f t="shared" si="7"/>
        <v>-0.40546510810816444</v>
      </c>
      <c r="T25" s="70">
        <f t="shared" si="8"/>
        <v>-0.38283619198962854</v>
      </c>
      <c r="U25" s="70">
        <f t="shared" si="9"/>
        <v>-0.38283619198962854</v>
      </c>
      <c r="V25" s="70">
        <f t="shared" si="10"/>
        <v>0.91287092917527679</v>
      </c>
      <c r="W25" s="70">
        <f t="shared" si="11"/>
        <v>0.91287092917527679</v>
      </c>
      <c r="X25" s="70">
        <f t="shared" si="12"/>
        <v>0</v>
      </c>
      <c r="Y25" s="70">
        <f t="shared" si="13"/>
        <v>1.2909944487358056</v>
      </c>
      <c r="Z25" s="70">
        <f t="shared" si="14"/>
        <v>0</v>
      </c>
      <c r="AA25" s="69" t="str">
        <f t="shared" si="15"/>
        <v>Negligible</v>
      </c>
      <c r="AB25" s="69" t="str">
        <f t="shared" si="16"/>
        <v>Tidak Ada Indikasi Bias</v>
      </c>
    </row>
    <row r="26" spans="1:28" ht="25" x14ac:dyDescent="0.35">
      <c r="A26" s="71" t="str">
        <f>AIL!A20</f>
        <v>16. Apakah singkatan dari PLOR dalam penentuan status temuan?</v>
      </c>
      <c r="B26" s="69">
        <f>AIL!B20</f>
        <v>1</v>
      </c>
      <c r="C26" s="69">
        <f>AIL!C20</f>
        <v>1</v>
      </c>
      <c r="D26" s="69">
        <f>AIL!D20</f>
        <v>0</v>
      </c>
      <c r="E26" s="69">
        <f>AIL!E20</f>
        <v>0</v>
      </c>
      <c r="F26" s="69">
        <f>AIL!F20</f>
        <v>0</v>
      </c>
      <c r="G26" s="69">
        <f>AIL!G20</f>
        <v>0</v>
      </c>
      <c r="H26" s="69">
        <f>AIL!H20</f>
        <v>0</v>
      </c>
      <c r="I26" s="69">
        <f>AIL!I20</f>
        <v>0</v>
      </c>
      <c r="J26" s="69">
        <f>AIL!J20</f>
        <v>1</v>
      </c>
      <c r="K26" s="69">
        <f>AIL!K20</f>
        <v>1</v>
      </c>
      <c r="L26" s="69">
        <f t="shared" si="0"/>
        <v>5</v>
      </c>
      <c r="M26" s="69">
        <f t="shared" si="1"/>
        <v>5</v>
      </c>
      <c r="N26" s="69">
        <f t="shared" si="2"/>
        <v>2</v>
      </c>
      <c r="O26" s="69">
        <f t="shared" si="3"/>
        <v>2</v>
      </c>
      <c r="P26" s="69">
        <f t="shared" si="4"/>
        <v>2</v>
      </c>
      <c r="Q26" s="69">
        <f t="shared" si="5"/>
        <v>2</v>
      </c>
      <c r="R26" s="70">
        <f t="shared" si="6"/>
        <v>0.40546510810816438</v>
      </c>
      <c r="S26" s="70">
        <f t="shared" si="7"/>
        <v>0.40546510810816438</v>
      </c>
      <c r="T26" s="70">
        <f t="shared" si="8"/>
        <v>0.42809402422670029</v>
      </c>
      <c r="U26" s="70">
        <f t="shared" si="9"/>
        <v>0.42809402422670029</v>
      </c>
      <c r="V26" s="70">
        <f t="shared" si="10"/>
        <v>0.91287092917527679</v>
      </c>
      <c r="W26" s="70">
        <f t="shared" si="11"/>
        <v>0.91287092917527679</v>
      </c>
      <c r="X26" s="70">
        <f t="shared" si="12"/>
        <v>0</v>
      </c>
      <c r="Y26" s="70">
        <f t="shared" si="13"/>
        <v>1.2909944487358056</v>
      </c>
      <c r="Z26" s="70">
        <f t="shared" si="14"/>
        <v>0</v>
      </c>
      <c r="AA26" s="69" t="str">
        <f t="shared" si="15"/>
        <v>Negligible</v>
      </c>
      <c r="AB26" s="69" t="str">
        <f t="shared" si="16"/>
        <v>Tidak Ada Indikasi Bias</v>
      </c>
    </row>
    <row r="27" spans="1:28" ht="75" customHeight="1" x14ac:dyDescent="0.35">
      <c r="A27" s="71" t="str">
        <f>AIL!A21</f>
        <v>17. Jenis temuan audit yang dapat disampaikan pada saat rapat penutupan / closing meeting yaitu:</v>
      </c>
      <c r="B27" s="69">
        <f>AIL!B21</f>
        <v>1</v>
      </c>
      <c r="C27" s="69">
        <f>AIL!C21</f>
        <v>1</v>
      </c>
      <c r="D27" s="69">
        <f>AIL!D21</f>
        <v>1</v>
      </c>
      <c r="E27" s="69">
        <f>AIL!E21</f>
        <v>1</v>
      </c>
      <c r="F27" s="69">
        <f>AIL!F21</f>
        <v>1</v>
      </c>
      <c r="G27" s="69">
        <f>AIL!G21</f>
        <v>1</v>
      </c>
      <c r="H27" s="69">
        <f>AIL!H21</f>
        <v>0</v>
      </c>
      <c r="I27" s="69">
        <f>AIL!I21</f>
        <v>0</v>
      </c>
      <c r="J27" s="69">
        <f>AIL!J21</f>
        <v>1</v>
      </c>
      <c r="K27" s="69">
        <f>AIL!K21</f>
        <v>1</v>
      </c>
      <c r="L27" s="69">
        <f t="shared" si="0"/>
        <v>5</v>
      </c>
      <c r="M27" s="69">
        <f t="shared" si="1"/>
        <v>5</v>
      </c>
      <c r="N27" s="69">
        <f t="shared" si="2"/>
        <v>4</v>
      </c>
      <c r="O27" s="69">
        <f t="shared" si="3"/>
        <v>4</v>
      </c>
      <c r="P27" s="69">
        <f t="shared" si="4"/>
        <v>4</v>
      </c>
      <c r="Q27" s="69">
        <f t="shared" si="5"/>
        <v>4</v>
      </c>
      <c r="R27" s="70">
        <f t="shared" si="6"/>
        <v>-1.3862943611198906</v>
      </c>
      <c r="S27" s="70">
        <f t="shared" si="7"/>
        <v>-1.3862943611198906</v>
      </c>
      <c r="T27" s="70">
        <f t="shared" si="8"/>
        <v>-1.3636654450013548</v>
      </c>
      <c r="U27" s="70">
        <f t="shared" si="9"/>
        <v>-1.3636654450013548</v>
      </c>
      <c r="V27" s="70">
        <f t="shared" si="10"/>
        <v>1.1180339887498949</v>
      </c>
      <c r="W27" s="70">
        <f t="shared" si="11"/>
        <v>1.1180339887498949</v>
      </c>
      <c r="X27" s="70">
        <f t="shared" si="12"/>
        <v>0</v>
      </c>
      <c r="Y27" s="70">
        <f t="shared" si="13"/>
        <v>1.5811388300841898</v>
      </c>
      <c r="Z27" s="70">
        <f t="shared" si="14"/>
        <v>0</v>
      </c>
      <c r="AA27" s="69" t="str">
        <f t="shared" si="15"/>
        <v>Negligible</v>
      </c>
      <c r="AB27" s="69" t="str">
        <f t="shared" si="16"/>
        <v>Tidak Ada Indikasi Bias</v>
      </c>
    </row>
    <row r="28" spans="1:28" ht="25" x14ac:dyDescent="0.35">
      <c r="A28" s="71" t="str">
        <f>AIL!A22</f>
        <v>18. Sebuah laporan audit harus memuat …</v>
      </c>
      <c r="B28" s="69">
        <f>AIL!B22</f>
        <v>1</v>
      </c>
      <c r="C28" s="69">
        <f>AIL!C22</f>
        <v>1</v>
      </c>
      <c r="D28" s="69">
        <f>AIL!D22</f>
        <v>1</v>
      </c>
      <c r="E28" s="69">
        <f>AIL!E22</f>
        <v>1</v>
      </c>
      <c r="F28" s="69">
        <f>AIL!F22</f>
        <v>0</v>
      </c>
      <c r="G28" s="69">
        <f>AIL!G22</f>
        <v>0</v>
      </c>
      <c r="H28" s="69">
        <f>AIL!H22</f>
        <v>1</v>
      </c>
      <c r="I28" s="69">
        <f>AIL!I22</f>
        <v>1</v>
      </c>
      <c r="J28" s="69">
        <f>AIL!J22</f>
        <v>1</v>
      </c>
      <c r="K28" s="69">
        <f>AIL!K22</f>
        <v>1</v>
      </c>
      <c r="L28" s="69">
        <f t="shared" si="0"/>
        <v>5</v>
      </c>
      <c r="M28" s="69">
        <f t="shared" si="1"/>
        <v>5</v>
      </c>
      <c r="N28" s="69">
        <f t="shared" si="2"/>
        <v>4</v>
      </c>
      <c r="O28" s="69">
        <f t="shared" si="3"/>
        <v>4</v>
      </c>
      <c r="P28" s="69">
        <f t="shared" si="4"/>
        <v>4</v>
      </c>
      <c r="Q28" s="69">
        <f t="shared" si="5"/>
        <v>4</v>
      </c>
      <c r="R28" s="70">
        <f t="shared" si="6"/>
        <v>-1.3862943611198906</v>
      </c>
      <c r="S28" s="70">
        <f t="shared" si="7"/>
        <v>-1.3862943611198906</v>
      </c>
      <c r="T28" s="70">
        <f t="shared" si="8"/>
        <v>-1.3636654450013548</v>
      </c>
      <c r="U28" s="70">
        <f t="shared" si="9"/>
        <v>-1.3636654450013548</v>
      </c>
      <c r="V28" s="70">
        <f t="shared" si="10"/>
        <v>1.1180339887498949</v>
      </c>
      <c r="W28" s="70">
        <f t="shared" si="11"/>
        <v>1.1180339887498949</v>
      </c>
      <c r="X28" s="70">
        <f t="shared" si="12"/>
        <v>0</v>
      </c>
      <c r="Y28" s="70">
        <f t="shared" si="13"/>
        <v>1.5811388300841898</v>
      </c>
      <c r="Z28" s="70">
        <f t="shared" si="14"/>
        <v>0</v>
      </c>
      <c r="AA28" s="69" t="str">
        <f t="shared" si="15"/>
        <v>Negligible</v>
      </c>
      <c r="AB28" s="69" t="str">
        <f t="shared" si="16"/>
        <v>Tidak Ada Indikasi Bias</v>
      </c>
    </row>
    <row r="29" spans="1:28" ht="25" x14ac:dyDescent="0.35">
      <c r="A29" s="71" t="str">
        <f>AIL!A23</f>
        <v>19. Dalam menyusun laporan audit, komponen berikut wajib ada, kecuali …</v>
      </c>
      <c r="B29" s="69">
        <f>AIL!B23</f>
        <v>1</v>
      </c>
      <c r="C29" s="69">
        <f>AIL!C23</f>
        <v>1</v>
      </c>
      <c r="D29" s="69">
        <f>AIL!D23</f>
        <v>0</v>
      </c>
      <c r="E29" s="69">
        <f>AIL!E23</f>
        <v>0</v>
      </c>
      <c r="F29" s="69">
        <f>AIL!F23</f>
        <v>1</v>
      </c>
      <c r="G29" s="69">
        <f>AIL!G23</f>
        <v>1</v>
      </c>
      <c r="H29" s="69">
        <f>AIL!H23</f>
        <v>1</v>
      </c>
      <c r="I29" s="69">
        <f>AIL!I23</f>
        <v>1</v>
      </c>
      <c r="J29" s="69">
        <f>AIL!J23</f>
        <v>0</v>
      </c>
      <c r="K29" s="69">
        <f>AIL!K23</f>
        <v>0</v>
      </c>
      <c r="L29" s="69">
        <f t="shared" si="0"/>
        <v>5</v>
      </c>
      <c r="M29" s="69">
        <f t="shared" si="1"/>
        <v>5</v>
      </c>
      <c r="N29" s="69">
        <f t="shared" si="2"/>
        <v>3</v>
      </c>
      <c r="O29" s="69">
        <f t="shared" si="3"/>
        <v>3</v>
      </c>
      <c r="P29" s="69">
        <f t="shared" si="4"/>
        <v>3</v>
      </c>
      <c r="Q29" s="69">
        <f t="shared" si="5"/>
        <v>3</v>
      </c>
      <c r="R29" s="70">
        <f t="shared" si="6"/>
        <v>-0.40546510810816444</v>
      </c>
      <c r="S29" s="70">
        <f t="shared" si="7"/>
        <v>-0.40546510810816444</v>
      </c>
      <c r="T29" s="70">
        <f t="shared" si="8"/>
        <v>-0.38283619198962854</v>
      </c>
      <c r="U29" s="70">
        <f t="shared" si="9"/>
        <v>-0.38283619198962854</v>
      </c>
      <c r="V29" s="70">
        <f t="shared" si="10"/>
        <v>0.91287092917527679</v>
      </c>
      <c r="W29" s="70">
        <f t="shared" si="11"/>
        <v>0.91287092917527679</v>
      </c>
      <c r="X29" s="70">
        <f t="shared" si="12"/>
        <v>0</v>
      </c>
      <c r="Y29" s="70">
        <f t="shared" si="13"/>
        <v>1.2909944487358056</v>
      </c>
      <c r="Z29" s="70">
        <f t="shared" si="14"/>
        <v>0</v>
      </c>
      <c r="AA29" s="69" t="str">
        <f t="shared" si="15"/>
        <v>Negligible</v>
      </c>
      <c r="AB29" s="69" t="str">
        <f t="shared" si="16"/>
        <v>Tidak Ada Indikasi Bias</v>
      </c>
    </row>
    <row r="30" spans="1:28" ht="25" x14ac:dyDescent="0.35">
      <c r="A30" s="71" t="str">
        <f>AIL!A24</f>
        <v>20. Dalam mendistribusikan laporan audit, hal berikut harus dipastikan.</v>
      </c>
      <c r="B30" s="69">
        <f>AIL!B24</f>
        <v>0</v>
      </c>
      <c r="C30" s="69">
        <f>AIL!C24</f>
        <v>0</v>
      </c>
      <c r="D30" s="69">
        <f>AIL!D24</f>
        <v>1</v>
      </c>
      <c r="E30" s="69">
        <f>AIL!E24</f>
        <v>1</v>
      </c>
      <c r="F30" s="69">
        <f>AIL!F24</f>
        <v>0</v>
      </c>
      <c r="G30" s="69">
        <f>AIL!G24</f>
        <v>0</v>
      </c>
      <c r="H30" s="69">
        <f>AIL!H24</f>
        <v>0</v>
      </c>
      <c r="I30" s="69">
        <f>AIL!I24</f>
        <v>0</v>
      </c>
      <c r="J30" s="69">
        <f>AIL!J24</f>
        <v>1</v>
      </c>
      <c r="K30" s="69">
        <f>AIL!K24</f>
        <v>1</v>
      </c>
      <c r="L30" s="69">
        <f t="shared" si="0"/>
        <v>5</v>
      </c>
      <c r="M30" s="69">
        <f t="shared" si="1"/>
        <v>5</v>
      </c>
      <c r="N30" s="69">
        <f t="shared" si="2"/>
        <v>2</v>
      </c>
      <c r="O30" s="69">
        <f t="shared" si="3"/>
        <v>2</v>
      </c>
      <c r="P30" s="69">
        <f t="shared" si="4"/>
        <v>2</v>
      </c>
      <c r="Q30" s="69">
        <f t="shared" si="5"/>
        <v>2</v>
      </c>
      <c r="R30" s="70">
        <f t="shared" si="6"/>
        <v>0.40546510810816438</v>
      </c>
      <c r="S30" s="70">
        <f t="shared" si="7"/>
        <v>0.40546510810816438</v>
      </c>
      <c r="T30" s="70">
        <f t="shared" si="8"/>
        <v>0.42809402422670029</v>
      </c>
      <c r="U30" s="70">
        <f t="shared" si="9"/>
        <v>0.42809402422670029</v>
      </c>
      <c r="V30" s="70">
        <f t="shared" si="10"/>
        <v>0.91287092917527679</v>
      </c>
      <c r="W30" s="70">
        <f t="shared" si="11"/>
        <v>0.91287092917527679</v>
      </c>
      <c r="X30" s="70">
        <f t="shared" si="12"/>
        <v>0</v>
      </c>
      <c r="Y30" s="70">
        <f t="shared" si="13"/>
        <v>1.2909944487358056</v>
      </c>
      <c r="Z30" s="70">
        <f t="shared" si="14"/>
        <v>0</v>
      </c>
      <c r="AA30" s="69" t="str">
        <f t="shared" si="15"/>
        <v>Negligible</v>
      </c>
      <c r="AB30" s="69" t="str">
        <f t="shared" si="16"/>
        <v>Tidak Ada Indikasi Bias</v>
      </c>
    </row>
    <row r="31" spans="1:28" ht="37.5" x14ac:dyDescent="0.35">
      <c r="A31" s="71" t="str">
        <f>AIL!A25</f>
        <v>21. Manakah dari berikut ini yang merupakan teknik pelaporan audit untuk memprioritaskan temuan audit?</v>
      </c>
      <c r="B31" s="69">
        <f>AIL!B25</f>
        <v>1</v>
      </c>
      <c r="C31" s="69">
        <f>AIL!C25</f>
        <v>1</v>
      </c>
      <c r="D31" s="69">
        <f>AIL!D25</f>
        <v>0</v>
      </c>
      <c r="E31" s="69">
        <f>AIL!E25</f>
        <v>0</v>
      </c>
      <c r="F31" s="69">
        <f>AIL!F25</f>
        <v>0</v>
      </c>
      <c r="G31" s="69">
        <f>AIL!G25</f>
        <v>0</v>
      </c>
      <c r="H31" s="69">
        <f>AIL!H25</f>
        <v>0</v>
      </c>
      <c r="I31" s="69">
        <f>AIL!I25</f>
        <v>0</v>
      </c>
      <c r="J31" s="69">
        <f>AIL!J25</f>
        <v>0</v>
      </c>
      <c r="K31" s="69">
        <f>AIL!K25</f>
        <v>0</v>
      </c>
      <c r="L31" s="69">
        <f t="shared" si="0"/>
        <v>5</v>
      </c>
      <c r="M31" s="69">
        <f t="shared" si="1"/>
        <v>5</v>
      </c>
      <c r="N31" s="69">
        <f t="shared" si="2"/>
        <v>1</v>
      </c>
      <c r="O31" s="69">
        <f t="shared" si="3"/>
        <v>1</v>
      </c>
      <c r="P31" s="69">
        <f t="shared" si="4"/>
        <v>1</v>
      </c>
      <c r="Q31" s="69">
        <f t="shared" si="5"/>
        <v>1</v>
      </c>
      <c r="R31" s="70">
        <f t="shared" si="6"/>
        <v>1.3862943611198906</v>
      </c>
      <c r="S31" s="70">
        <f t="shared" si="7"/>
        <v>1.3862943611198906</v>
      </c>
      <c r="T31" s="70">
        <f t="shared" si="8"/>
        <v>1.4089232772384264</v>
      </c>
      <c r="U31" s="70">
        <f t="shared" si="9"/>
        <v>1.4089232772384264</v>
      </c>
      <c r="V31" s="70">
        <f t="shared" si="10"/>
        <v>1.1180339887498949</v>
      </c>
      <c r="W31" s="70">
        <f t="shared" si="11"/>
        <v>1.1180339887498949</v>
      </c>
      <c r="X31" s="70">
        <f t="shared" si="12"/>
        <v>0</v>
      </c>
      <c r="Y31" s="70">
        <f t="shared" si="13"/>
        <v>1.5811388300841898</v>
      </c>
      <c r="Z31" s="70">
        <f t="shared" si="14"/>
        <v>0</v>
      </c>
      <c r="AA31" s="69" t="str">
        <f t="shared" si="15"/>
        <v>Negligible</v>
      </c>
      <c r="AB31" s="69" t="str">
        <f t="shared" si="16"/>
        <v>Tidak Ada Indikasi Bias</v>
      </c>
    </row>
    <row r="32" spans="1:28" ht="37.5" customHeight="1" x14ac:dyDescent="0.35">
      <c r="A32" s="71" t="str">
        <f>AIL!A26</f>
        <v>22. Apa yang harus dilakukan auditor apabila rencana tindakan korektif tidak dapat diterima?</v>
      </c>
      <c r="B32" s="69">
        <f>AIL!B26</f>
        <v>1</v>
      </c>
      <c r="C32" s="69">
        <f>AIL!C26</f>
        <v>1</v>
      </c>
      <c r="D32" s="69">
        <f>AIL!D26</f>
        <v>0</v>
      </c>
      <c r="E32" s="69">
        <f>AIL!E26</f>
        <v>0</v>
      </c>
      <c r="F32" s="69">
        <f>AIL!F26</f>
        <v>1</v>
      </c>
      <c r="G32" s="69">
        <f>AIL!G26</f>
        <v>1</v>
      </c>
      <c r="H32" s="69">
        <f>AIL!H26</f>
        <v>1</v>
      </c>
      <c r="I32" s="69">
        <f>AIL!I26</f>
        <v>1</v>
      </c>
      <c r="J32" s="69">
        <f>AIL!J26</f>
        <v>1</v>
      </c>
      <c r="K32" s="69">
        <f>AIL!K26</f>
        <v>1</v>
      </c>
      <c r="L32" s="69">
        <f t="shared" si="0"/>
        <v>5</v>
      </c>
      <c r="M32" s="69">
        <f t="shared" si="1"/>
        <v>5</v>
      </c>
      <c r="N32" s="69">
        <f t="shared" si="2"/>
        <v>4</v>
      </c>
      <c r="O32" s="69">
        <f t="shared" si="3"/>
        <v>4</v>
      </c>
      <c r="P32" s="69">
        <f t="shared" si="4"/>
        <v>4</v>
      </c>
      <c r="Q32" s="69">
        <f t="shared" si="5"/>
        <v>4</v>
      </c>
      <c r="R32" s="70">
        <f t="shared" si="6"/>
        <v>-1.3862943611198906</v>
      </c>
      <c r="S32" s="70">
        <f t="shared" si="7"/>
        <v>-1.3862943611198906</v>
      </c>
      <c r="T32" s="70">
        <f t="shared" si="8"/>
        <v>-1.3636654450013548</v>
      </c>
      <c r="U32" s="70">
        <f t="shared" si="9"/>
        <v>-1.3636654450013548</v>
      </c>
      <c r="V32" s="70">
        <f t="shared" si="10"/>
        <v>1.1180339887498949</v>
      </c>
      <c r="W32" s="70">
        <f t="shared" si="11"/>
        <v>1.1180339887498949</v>
      </c>
      <c r="X32" s="70">
        <f t="shared" si="12"/>
        <v>0</v>
      </c>
      <c r="Y32" s="70">
        <f t="shared" si="13"/>
        <v>1.5811388300841898</v>
      </c>
      <c r="Z32" s="70">
        <f t="shared" si="14"/>
        <v>0</v>
      </c>
      <c r="AA32" s="69" t="str">
        <f t="shared" si="15"/>
        <v>Negligible</v>
      </c>
      <c r="AB32" s="69" t="str">
        <f t="shared" si="16"/>
        <v>Tidak Ada Indikasi Bias</v>
      </c>
    </row>
    <row r="33" spans="1:28" ht="37.5" customHeight="1" x14ac:dyDescent="0.35">
      <c r="A33" s="71" t="str">
        <f>AIL!A27</f>
        <v>23. Verifikasi kecukupan atau efektivitas tindak lanjut audit dilakukan saat …</v>
      </c>
      <c r="B33" s="69">
        <f>AIL!B27</f>
        <v>0</v>
      </c>
      <c r="C33" s="69">
        <f>AIL!C27</f>
        <v>0</v>
      </c>
      <c r="D33" s="69">
        <f>AIL!D27</f>
        <v>1</v>
      </c>
      <c r="E33" s="69">
        <f>AIL!E27</f>
        <v>1</v>
      </c>
      <c r="F33" s="69">
        <f>AIL!F27</f>
        <v>0</v>
      </c>
      <c r="G33" s="69">
        <f>AIL!G27</f>
        <v>0</v>
      </c>
      <c r="H33" s="69">
        <f>AIL!H27</f>
        <v>0</v>
      </c>
      <c r="I33" s="69">
        <f>AIL!I27</f>
        <v>0</v>
      </c>
      <c r="J33" s="69">
        <f>AIL!J27</f>
        <v>0</v>
      </c>
      <c r="K33" s="69">
        <f>AIL!K27</f>
        <v>0</v>
      </c>
      <c r="L33" s="69">
        <f t="shared" si="0"/>
        <v>5</v>
      </c>
      <c r="M33" s="69">
        <f t="shared" si="1"/>
        <v>5</v>
      </c>
      <c r="N33" s="69">
        <f t="shared" si="2"/>
        <v>1</v>
      </c>
      <c r="O33" s="69">
        <f t="shared" si="3"/>
        <v>1</v>
      </c>
      <c r="P33" s="69">
        <f t="shared" si="4"/>
        <v>1</v>
      </c>
      <c r="Q33" s="69">
        <f t="shared" si="5"/>
        <v>1</v>
      </c>
      <c r="R33" s="70">
        <f t="shared" si="6"/>
        <v>1.3862943611198906</v>
      </c>
      <c r="S33" s="70">
        <f t="shared" si="7"/>
        <v>1.3862943611198906</v>
      </c>
      <c r="T33" s="70">
        <f t="shared" si="8"/>
        <v>1.4089232772384264</v>
      </c>
      <c r="U33" s="70">
        <f t="shared" si="9"/>
        <v>1.4089232772384264</v>
      </c>
      <c r="V33" s="70">
        <f t="shared" si="10"/>
        <v>1.1180339887498949</v>
      </c>
      <c r="W33" s="70">
        <f t="shared" si="11"/>
        <v>1.1180339887498949</v>
      </c>
      <c r="X33" s="70">
        <f t="shared" si="12"/>
        <v>0</v>
      </c>
      <c r="Y33" s="70">
        <f t="shared" si="13"/>
        <v>1.5811388300841898</v>
      </c>
      <c r="Z33" s="70">
        <f t="shared" si="14"/>
        <v>0</v>
      </c>
      <c r="AA33" s="69" t="str">
        <f t="shared" si="15"/>
        <v>Negligible</v>
      </c>
      <c r="AB33" s="69" t="str">
        <f t="shared" si="16"/>
        <v>Tidak Ada Indikasi Bias</v>
      </c>
    </row>
    <row r="34" spans="1:28" ht="25" x14ac:dyDescent="0.35">
      <c r="A34" s="71" t="str">
        <f>AIL!A28</f>
        <v>24. Berikut merupakan manfaat dari penerapan SMOP, kecuali …</v>
      </c>
      <c r="B34" s="69">
        <f>AIL!B28</f>
        <v>1</v>
      </c>
      <c r="C34" s="69">
        <f>AIL!C28</f>
        <v>1</v>
      </c>
      <c r="D34" s="69">
        <f>AIL!D28</f>
        <v>1</v>
      </c>
      <c r="E34" s="69">
        <f>AIL!E28</f>
        <v>1</v>
      </c>
      <c r="F34" s="69">
        <f>AIL!F28</f>
        <v>0</v>
      </c>
      <c r="G34" s="69">
        <f>AIL!G28</f>
        <v>0</v>
      </c>
      <c r="H34" s="69">
        <f>AIL!H28</f>
        <v>0</v>
      </c>
      <c r="I34" s="69">
        <f>AIL!I28</f>
        <v>0</v>
      </c>
      <c r="J34" s="69">
        <f>AIL!J28</f>
        <v>0</v>
      </c>
      <c r="K34" s="69">
        <f>AIL!K28</f>
        <v>0</v>
      </c>
      <c r="L34" s="69">
        <f t="shared" si="0"/>
        <v>5</v>
      </c>
      <c r="M34" s="69">
        <f t="shared" si="1"/>
        <v>5</v>
      </c>
      <c r="N34" s="69">
        <f t="shared" si="2"/>
        <v>2</v>
      </c>
      <c r="O34" s="69">
        <f t="shared" si="3"/>
        <v>2</v>
      </c>
      <c r="P34" s="69">
        <f t="shared" si="4"/>
        <v>2</v>
      </c>
      <c r="Q34" s="69">
        <f t="shared" si="5"/>
        <v>2</v>
      </c>
      <c r="R34" s="70">
        <f t="shared" si="6"/>
        <v>0.40546510810816438</v>
      </c>
      <c r="S34" s="70">
        <f t="shared" si="7"/>
        <v>0.40546510810816438</v>
      </c>
      <c r="T34" s="70">
        <f t="shared" si="8"/>
        <v>0.42809402422670029</v>
      </c>
      <c r="U34" s="70">
        <f t="shared" si="9"/>
        <v>0.42809402422670029</v>
      </c>
      <c r="V34" s="70">
        <f t="shared" si="10"/>
        <v>0.91287092917527679</v>
      </c>
      <c r="W34" s="70">
        <f t="shared" si="11"/>
        <v>0.91287092917527679</v>
      </c>
      <c r="X34" s="70">
        <f t="shared" si="12"/>
        <v>0</v>
      </c>
      <c r="Y34" s="70">
        <f t="shared" si="13"/>
        <v>1.2909944487358056</v>
      </c>
      <c r="Z34" s="70">
        <f t="shared" si="14"/>
        <v>0</v>
      </c>
      <c r="AA34" s="69" t="str">
        <f t="shared" si="15"/>
        <v>Negligible</v>
      </c>
      <c r="AB34" s="69" t="str">
        <f t="shared" si="16"/>
        <v>Tidak Ada Indikasi Bias</v>
      </c>
    </row>
    <row r="35" spans="1:28" ht="50" x14ac:dyDescent="0.35">
      <c r="A35" s="71" t="str">
        <f>AIL!A29</f>
        <v>25. Kerangka kerja dari ISO 21001:2018 mengikuti siklus PDCA. Klausul yang berperan sebagai poros acuan dari berjalannya siklus ini adalah klausul …</v>
      </c>
      <c r="B35" s="69">
        <f>AIL!B29</f>
        <v>1</v>
      </c>
      <c r="C35" s="69">
        <f>AIL!C29</f>
        <v>1</v>
      </c>
      <c r="D35" s="69">
        <f>AIL!D29</f>
        <v>1</v>
      </c>
      <c r="E35" s="69">
        <f>AIL!E29</f>
        <v>1</v>
      </c>
      <c r="F35" s="69">
        <f>AIL!F29</f>
        <v>1</v>
      </c>
      <c r="G35" s="69">
        <f>AIL!G29</f>
        <v>1</v>
      </c>
      <c r="H35" s="69">
        <f>AIL!H29</f>
        <v>0</v>
      </c>
      <c r="I35" s="69">
        <f>AIL!I29</f>
        <v>0</v>
      </c>
      <c r="J35" s="69">
        <f>AIL!J29</f>
        <v>0</v>
      </c>
      <c r="K35" s="69">
        <f>AIL!K29</f>
        <v>0</v>
      </c>
      <c r="L35" s="69">
        <f t="shared" si="0"/>
        <v>5</v>
      </c>
      <c r="M35" s="69">
        <f t="shared" si="1"/>
        <v>5</v>
      </c>
      <c r="N35" s="69">
        <f t="shared" si="2"/>
        <v>3</v>
      </c>
      <c r="O35" s="69">
        <f t="shared" si="3"/>
        <v>3</v>
      </c>
      <c r="P35" s="69">
        <f t="shared" si="4"/>
        <v>3</v>
      </c>
      <c r="Q35" s="69">
        <f t="shared" si="5"/>
        <v>3</v>
      </c>
      <c r="R35" s="70">
        <f t="shared" si="6"/>
        <v>-0.40546510810816444</v>
      </c>
      <c r="S35" s="70">
        <f t="shared" si="7"/>
        <v>-0.40546510810816444</v>
      </c>
      <c r="T35" s="70">
        <f t="shared" si="8"/>
        <v>-0.38283619198962854</v>
      </c>
      <c r="U35" s="70">
        <f t="shared" si="9"/>
        <v>-0.38283619198962854</v>
      </c>
      <c r="V35" s="70">
        <f t="shared" si="10"/>
        <v>0.91287092917527679</v>
      </c>
      <c r="W35" s="70">
        <f t="shared" si="11"/>
        <v>0.91287092917527679</v>
      </c>
      <c r="X35" s="70">
        <f t="shared" si="12"/>
        <v>0</v>
      </c>
      <c r="Y35" s="70">
        <f t="shared" si="13"/>
        <v>1.2909944487358056</v>
      </c>
      <c r="Z35" s="70">
        <f t="shared" si="14"/>
        <v>0</v>
      </c>
      <c r="AA35" s="69" t="str">
        <f t="shared" si="15"/>
        <v>Negligible</v>
      </c>
      <c r="AB35" s="69" t="str">
        <f t="shared" si="16"/>
        <v>Tidak Ada Indikasi Bias</v>
      </c>
    </row>
    <row r="36" spans="1:28" ht="37.5" customHeight="1" x14ac:dyDescent="0.35">
      <c r="A36" s="71" t="str">
        <f>AIL!A30</f>
        <v>26. Bertujuan untuk menjamin pemenuhan prasyarat ISO 21001:2018 tetap berjalan dengan mempertimbangkan berbagai kemungkinan adalah …</v>
      </c>
      <c r="B36" s="69">
        <f>AIL!B30</f>
        <v>1</v>
      </c>
      <c r="C36" s="69">
        <f>AIL!C30</f>
        <v>1</v>
      </c>
      <c r="D36" s="69">
        <f>AIL!D30</f>
        <v>1</v>
      </c>
      <c r="E36" s="69">
        <f>AIL!E30</f>
        <v>1</v>
      </c>
      <c r="F36" s="69">
        <f>AIL!F30</f>
        <v>0</v>
      </c>
      <c r="G36" s="69">
        <f>AIL!G30</f>
        <v>0</v>
      </c>
      <c r="H36" s="69">
        <f>AIL!H30</f>
        <v>0</v>
      </c>
      <c r="I36" s="69">
        <f>AIL!I30</f>
        <v>0</v>
      </c>
      <c r="J36" s="69">
        <f>AIL!J30</f>
        <v>0</v>
      </c>
      <c r="K36" s="69">
        <f>AIL!K30</f>
        <v>0</v>
      </c>
      <c r="L36" s="69">
        <f t="shared" si="0"/>
        <v>5</v>
      </c>
      <c r="M36" s="69">
        <f t="shared" si="1"/>
        <v>5</v>
      </c>
      <c r="N36" s="69">
        <f t="shared" si="2"/>
        <v>2</v>
      </c>
      <c r="O36" s="69">
        <f t="shared" si="3"/>
        <v>2</v>
      </c>
      <c r="P36" s="69">
        <f t="shared" si="4"/>
        <v>2</v>
      </c>
      <c r="Q36" s="69">
        <f t="shared" si="5"/>
        <v>2</v>
      </c>
      <c r="R36" s="70">
        <f t="shared" si="6"/>
        <v>0.40546510810816438</v>
      </c>
      <c r="S36" s="70">
        <f t="shared" si="7"/>
        <v>0.40546510810816438</v>
      </c>
      <c r="T36" s="70">
        <f t="shared" si="8"/>
        <v>0.42809402422670029</v>
      </c>
      <c r="U36" s="70">
        <f t="shared" si="9"/>
        <v>0.42809402422670029</v>
      </c>
      <c r="V36" s="70">
        <f t="shared" si="10"/>
        <v>0.91287092917527679</v>
      </c>
      <c r="W36" s="70">
        <f t="shared" si="11"/>
        <v>0.91287092917527679</v>
      </c>
      <c r="X36" s="70">
        <f t="shared" si="12"/>
        <v>0</v>
      </c>
      <c r="Y36" s="70">
        <f t="shared" si="13"/>
        <v>1.2909944487358056</v>
      </c>
      <c r="Z36" s="70">
        <f t="shared" si="14"/>
        <v>0</v>
      </c>
      <c r="AA36" s="69" t="str">
        <f t="shared" si="15"/>
        <v>Negligible</v>
      </c>
      <c r="AB36" s="69" t="str">
        <f t="shared" si="16"/>
        <v>Tidak Ada Indikasi Bias</v>
      </c>
    </row>
    <row r="37" spans="1:28" ht="37.5" customHeight="1" x14ac:dyDescent="0.35">
      <c r="A37" s="71" t="str">
        <f>AIL!A31</f>
        <v>27. Penciptaan kesatuan tujuan dan arahan serta keterlibatan orang-orang memungkinkan organisasi menyelaraskan strategi, kebijakan, proses, dan sumber daya untuk mencapai tujuannya. Menunjukkan pentingnya prinsip … untuk penerapan SMOP</v>
      </c>
      <c r="B37" s="69">
        <f>AIL!B31</f>
        <v>1</v>
      </c>
      <c r="C37" s="69">
        <f>AIL!C31</f>
        <v>1</v>
      </c>
      <c r="D37" s="69">
        <f>AIL!D31</f>
        <v>1</v>
      </c>
      <c r="E37" s="69">
        <f>AIL!E31</f>
        <v>1</v>
      </c>
      <c r="F37" s="69">
        <f>AIL!F31</f>
        <v>0</v>
      </c>
      <c r="G37" s="69">
        <f>AIL!G31</f>
        <v>0</v>
      </c>
      <c r="H37" s="69">
        <f>AIL!H31</f>
        <v>0</v>
      </c>
      <c r="I37" s="69">
        <f>AIL!I31</f>
        <v>0</v>
      </c>
      <c r="J37" s="69">
        <f>AIL!J31</f>
        <v>0</v>
      </c>
      <c r="K37" s="69">
        <f>AIL!K31</f>
        <v>0</v>
      </c>
      <c r="L37" s="69">
        <f t="shared" si="0"/>
        <v>5</v>
      </c>
      <c r="M37" s="69">
        <f t="shared" si="1"/>
        <v>5</v>
      </c>
      <c r="N37" s="69">
        <f t="shared" si="2"/>
        <v>2</v>
      </c>
      <c r="O37" s="69">
        <f t="shared" si="3"/>
        <v>2</v>
      </c>
      <c r="P37" s="69">
        <f t="shared" si="4"/>
        <v>2</v>
      </c>
      <c r="Q37" s="69">
        <f t="shared" si="5"/>
        <v>2</v>
      </c>
      <c r="R37" s="70">
        <f t="shared" si="6"/>
        <v>0.40546510810816438</v>
      </c>
      <c r="S37" s="70">
        <f t="shared" si="7"/>
        <v>0.40546510810816438</v>
      </c>
      <c r="T37" s="70">
        <f t="shared" si="8"/>
        <v>0.42809402422670029</v>
      </c>
      <c r="U37" s="70">
        <f t="shared" si="9"/>
        <v>0.42809402422670029</v>
      </c>
      <c r="V37" s="70">
        <f t="shared" si="10"/>
        <v>0.91287092917527679</v>
      </c>
      <c r="W37" s="70">
        <f t="shared" si="11"/>
        <v>0.91287092917527679</v>
      </c>
      <c r="X37" s="70">
        <f t="shared" si="12"/>
        <v>0</v>
      </c>
      <c r="Y37" s="70">
        <f t="shared" si="13"/>
        <v>1.2909944487358056</v>
      </c>
      <c r="Z37" s="70">
        <f t="shared" si="14"/>
        <v>0</v>
      </c>
      <c r="AA37" s="69" t="str">
        <f t="shared" si="15"/>
        <v>Negligible</v>
      </c>
      <c r="AB37" s="69" t="str">
        <f t="shared" si="16"/>
        <v>Tidak Ada Indikasi Bias</v>
      </c>
    </row>
    <row r="38" spans="1:28" ht="75" x14ac:dyDescent="0.35">
      <c r="A38" s="71" t="str">
        <f>AIL!A32</f>
        <v>28. Klausul 4.1 ISO 21001:2018 mengatakan bahwa organisasi pendidikan harus mendeskripsikan isu internal dan eksternal yang relevan dengan tujuan, tanggung jawab sosial dan arahan strategisnya. Apa maksudnya?</v>
      </c>
      <c r="B38" s="69">
        <f>AIL!B32</f>
        <v>1</v>
      </c>
      <c r="C38" s="69">
        <f>AIL!C32</f>
        <v>1</v>
      </c>
      <c r="D38" s="69">
        <f>AIL!D32</f>
        <v>1</v>
      </c>
      <c r="E38" s="69">
        <f>AIL!E32</f>
        <v>1</v>
      </c>
      <c r="F38" s="69">
        <f>AIL!F32</f>
        <v>0</v>
      </c>
      <c r="G38" s="69">
        <f>AIL!G32</f>
        <v>0</v>
      </c>
      <c r="H38" s="69">
        <f>AIL!H32</f>
        <v>0</v>
      </c>
      <c r="I38" s="69">
        <f>AIL!I32</f>
        <v>0</v>
      </c>
      <c r="J38" s="69">
        <f>AIL!J32</f>
        <v>1</v>
      </c>
      <c r="K38" s="69">
        <f>AIL!K32</f>
        <v>1</v>
      </c>
      <c r="L38" s="69">
        <f t="shared" si="0"/>
        <v>5</v>
      </c>
      <c r="M38" s="69">
        <f t="shared" si="1"/>
        <v>5</v>
      </c>
      <c r="N38" s="69">
        <f t="shared" si="2"/>
        <v>3</v>
      </c>
      <c r="O38" s="69">
        <f t="shared" si="3"/>
        <v>3</v>
      </c>
      <c r="P38" s="69">
        <f t="shared" si="4"/>
        <v>3</v>
      </c>
      <c r="Q38" s="69">
        <f t="shared" si="5"/>
        <v>3</v>
      </c>
      <c r="R38" s="70">
        <f t="shared" si="6"/>
        <v>-0.40546510810816444</v>
      </c>
      <c r="S38" s="70">
        <f t="shared" si="7"/>
        <v>-0.40546510810816444</v>
      </c>
      <c r="T38" s="70">
        <f t="shared" si="8"/>
        <v>-0.38283619198962854</v>
      </c>
      <c r="U38" s="70">
        <f t="shared" si="9"/>
        <v>-0.38283619198962854</v>
      </c>
      <c r="V38" s="70">
        <f t="shared" si="10"/>
        <v>0.91287092917527679</v>
      </c>
      <c r="W38" s="70">
        <f t="shared" si="11"/>
        <v>0.91287092917527679</v>
      </c>
      <c r="X38" s="70">
        <f t="shared" si="12"/>
        <v>0</v>
      </c>
      <c r="Y38" s="70">
        <f t="shared" si="13"/>
        <v>1.2909944487358056</v>
      </c>
      <c r="Z38" s="70">
        <f t="shared" si="14"/>
        <v>0</v>
      </c>
      <c r="AA38" s="69" t="str">
        <f t="shared" si="15"/>
        <v>Negligible</v>
      </c>
      <c r="AB38" s="69" t="str">
        <f t="shared" si="16"/>
        <v>Tidak Ada Indikasi Bias</v>
      </c>
    </row>
    <row r="39" spans="1:28" ht="100" x14ac:dyDescent="0.35">
      <c r="A39" s="71" t="str">
        <f>AIL!A33</f>
        <v>29. Klausul 6.1.1 ISO 21001:2018 mengatakan bahwa saat merencanakan SMOP, organisasi harus mempertimbangkan permasalahan yang disebutkan dalam 4.1 dan persyaratan yang disebutkan dalam 4.2 dan 4.4 serta menentukan risiko dan peluang yang perlu ditangani. Apa maksudnya?</v>
      </c>
      <c r="B39" s="69">
        <f>AIL!B33</f>
        <v>1</v>
      </c>
      <c r="C39" s="69">
        <f>AIL!C33</f>
        <v>1</v>
      </c>
      <c r="D39" s="69">
        <f>AIL!D33</f>
        <v>1</v>
      </c>
      <c r="E39" s="69">
        <f>AIL!E33</f>
        <v>1</v>
      </c>
      <c r="F39" s="69">
        <f>AIL!F33</f>
        <v>0</v>
      </c>
      <c r="G39" s="69">
        <f>AIL!G33</f>
        <v>0</v>
      </c>
      <c r="H39" s="69">
        <f>AIL!H33</f>
        <v>0</v>
      </c>
      <c r="I39" s="69">
        <f>AIL!I33</f>
        <v>0</v>
      </c>
      <c r="J39" s="69">
        <f>AIL!J33</f>
        <v>0</v>
      </c>
      <c r="K39" s="69">
        <f>AIL!K33</f>
        <v>0</v>
      </c>
      <c r="L39" s="69">
        <f t="shared" si="0"/>
        <v>5</v>
      </c>
      <c r="M39" s="69">
        <f t="shared" si="1"/>
        <v>5</v>
      </c>
      <c r="N39" s="69">
        <f t="shared" si="2"/>
        <v>2</v>
      </c>
      <c r="O39" s="69">
        <f t="shared" si="3"/>
        <v>2</v>
      </c>
      <c r="P39" s="69">
        <f t="shared" si="4"/>
        <v>2</v>
      </c>
      <c r="Q39" s="69">
        <f t="shared" si="5"/>
        <v>2</v>
      </c>
      <c r="R39" s="70">
        <f t="shared" si="6"/>
        <v>0.40546510810816438</v>
      </c>
      <c r="S39" s="70">
        <f t="shared" si="7"/>
        <v>0.40546510810816438</v>
      </c>
      <c r="T39" s="70">
        <f t="shared" si="8"/>
        <v>0.42809402422670029</v>
      </c>
      <c r="U39" s="70">
        <f t="shared" si="9"/>
        <v>0.42809402422670029</v>
      </c>
      <c r="V39" s="70">
        <f t="shared" si="10"/>
        <v>0.91287092917527679</v>
      </c>
      <c r="W39" s="70">
        <f t="shared" si="11"/>
        <v>0.91287092917527679</v>
      </c>
      <c r="X39" s="70">
        <f t="shared" si="12"/>
        <v>0</v>
      </c>
      <c r="Y39" s="70">
        <f t="shared" si="13"/>
        <v>1.2909944487358056</v>
      </c>
      <c r="Z39" s="70">
        <f t="shared" si="14"/>
        <v>0</v>
      </c>
      <c r="AA39" s="69" t="str">
        <f t="shared" si="15"/>
        <v>Negligible</v>
      </c>
      <c r="AB39" s="69" t="str">
        <f t="shared" si="16"/>
        <v>Tidak Ada Indikasi Bias</v>
      </c>
    </row>
    <row r="40" spans="1:28" ht="25" x14ac:dyDescent="0.35">
      <c r="A40" s="71" t="str">
        <f>AIL!A34</f>
        <v>30. Siklus SPMI adalah PPEPP. Apa itu?</v>
      </c>
      <c r="B40" s="69">
        <f>AIL!B34</f>
        <v>1</v>
      </c>
      <c r="C40" s="69">
        <f>AIL!C34</f>
        <v>1</v>
      </c>
      <c r="D40" s="69">
        <f>AIL!D34</f>
        <v>1</v>
      </c>
      <c r="E40" s="69">
        <f>AIL!E34</f>
        <v>1</v>
      </c>
      <c r="F40" s="69">
        <f>AIL!F34</f>
        <v>0</v>
      </c>
      <c r="G40" s="69">
        <f>AIL!G34</f>
        <v>0</v>
      </c>
      <c r="H40" s="69">
        <f>AIL!H34</f>
        <v>0</v>
      </c>
      <c r="I40" s="69">
        <f>AIL!I34</f>
        <v>0</v>
      </c>
      <c r="J40" s="69">
        <f>AIL!J34</f>
        <v>0</v>
      </c>
      <c r="K40" s="69">
        <f>AIL!K34</f>
        <v>0</v>
      </c>
      <c r="L40" s="69">
        <f t="shared" si="0"/>
        <v>5</v>
      </c>
      <c r="M40" s="69">
        <f t="shared" si="1"/>
        <v>5</v>
      </c>
      <c r="N40" s="69">
        <f t="shared" si="2"/>
        <v>2</v>
      </c>
      <c r="O40" s="69">
        <f t="shared" si="3"/>
        <v>2</v>
      </c>
      <c r="P40" s="69">
        <f t="shared" si="4"/>
        <v>2</v>
      </c>
      <c r="Q40" s="69">
        <f t="shared" si="5"/>
        <v>2</v>
      </c>
      <c r="R40" s="70">
        <f t="shared" si="6"/>
        <v>0.40546510810816438</v>
      </c>
      <c r="S40" s="70">
        <f t="shared" si="7"/>
        <v>0.40546510810816438</v>
      </c>
      <c r="T40" s="70">
        <f t="shared" si="8"/>
        <v>0.42809402422670029</v>
      </c>
      <c r="U40" s="70">
        <f t="shared" si="9"/>
        <v>0.42809402422670029</v>
      </c>
      <c r="V40" s="70">
        <f t="shared" si="10"/>
        <v>0.91287092917527679</v>
      </c>
      <c r="W40" s="70">
        <f t="shared" si="11"/>
        <v>0.91287092917527679</v>
      </c>
      <c r="X40" s="70">
        <f t="shared" si="12"/>
        <v>0</v>
      </c>
      <c r="Y40" s="70">
        <f t="shared" si="13"/>
        <v>1.2909944487358056</v>
      </c>
      <c r="Z40" s="70">
        <f t="shared" si="14"/>
        <v>0</v>
      </c>
      <c r="AA40" s="69" t="str">
        <f t="shared" si="15"/>
        <v>Negligible</v>
      </c>
      <c r="AB40" s="69" t="str">
        <f t="shared" si="16"/>
        <v>Tidak Ada Indikasi Bias</v>
      </c>
    </row>
    <row r="41" spans="1:28" ht="37.5" x14ac:dyDescent="0.35">
      <c r="A41" s="71" t="str">
        <f>AIL!A35</f>
        <v>31. Menetapkan pengelola unit penjaminan mutu merupakan bentuk pemenuhan siklus SPMI …</v>
      </c>
      <c r="B41" s="69">
        <f>AIL!B35</f>
        <v>1</v>
      </c>
      <c r="C41" s="69">
        <f>AIL!C35</f>
        <v>1</v>
      </c>
      <c r="D41" s="69">
        <f>AIL!D35</f>
        <v>1</v>
      </c>
      <c r="E41" s="69">
        <f>AIL!E35</f>
        <v>1</v>
      </c>
      <c r="F41" s="69">
        <f>AIL!F35</f>
        <v>0</v>
      </c>
      <c r="G41" s="69">
        <f>AIL!G35</f>
        <v>0</v>
      </c>
      <c r="H41" s="69">
        <f>AIL!H35</f>
        <v>0</v>
      </c>
      <c r="I41" s="69">
        <f>AIL!I35</f>
        <v>0</v>
      </c>
      <c r="J41" s="69">
        <f>AIL!J35</f>
        <v>1</v>
      </c>
      <c r="K41" s="69">
        <f>AIL!K35</f>
        <v>1</v>
      </c>
      <c r="L41" s="69">
        <f t="shared" si="0"/>
        <v>5</v>
      </c>
      <c r="M41" s="69">
        <f t="shared" si="1"/>
        <v>5</v>
      </c>
      <c r="N41" s="69">
        <f t="shared" si="2"/>
        <v>3</v>
      </c>
      <c r="O41" s="69">
        <f t="shared" si="3"/>
        <v>3</v>
      </c>
      <c r="P41" s="69">
        <f t="shared" si="4"/>
        <v>3</v>
      </c>
      <c r="Q41" s="69">
        <f t="shared" si="5"/>
        <v>3</v>
      </c>
      <c r="R41" s="70">
        <f t="shared" si="6"/>
        <v>-0.40546510810816444</v>
      </c>
      <c r="S41" s="70">
        <f t="shared" si="7"/>
        <v>-0.40546510810816444</v>
      </c>
      <c r="T41" s="70">
        <f t="shared" si="8"/>
        <v>-0.38283619198962854</v>
      </c>
      <c r="U41" s="70">
        <f t="shared" si="9"/>
        <v>-0.38283619198962854</v>
      </c>
      <c r="V41" s="70">
        <f t="shared" si="10"/>
        <v>0.91287092917527679</v>
      </c>
      <c r="W41" s="70">
        <f t="shared" si="11"/>
        <v>0.91287092917527679</v>
      </c>
      <c r="X41" s="70">
        <f t="shared" si="12"/>
        <v>0</v>
      </c>
      <c r="Y41" s="70">
        <f t="shared" si="13"/>
        <v>1.2909944487358056</v>
      </c>
      <c r="Z41" s="70">
        <f t="shared" si="14"/>
        <v>0</v>
      </c>
      <c r="AA41" s="69" t="str">
        <f t="shared" si="15"/>
        <v>Negligible</v>
      </c>
      <c r="AB41" s="69" t="str">
        <f t="shared" si="16"/>
        <v>Tidak Ada Indikasi Bias</v>
      </c>
    </row>
    <row r="42" spans="1:28" ht="37.5" x14ac:dyDescent="0.35">
      <c r="A42" s="71" t="str">
        <f>AIL!A36</f>
        <v>32. Survei kepuasan pihak berkepentingan merupakan bentuk pemenuhan siklus SPMI …</v>
      </c>
      <c r="B42" s="69">
        <f>AIL!B36</f>
        <v>1</v>
      </c>
      <c r="C42" s="69">
        <f>AIL!C36</f>
        <v>1</v>
      </c>
      <c r="D42" s="69">
        <f>AIL!D36</f>
        <v>1</v>
      </c>
      <c r="E42" s="69">
        <f>AIL!E36</f>
        <v>1</v>
      </c>
      <c r="F42" s="69">
        <f>AIL!F36</f>
        <v>0</v>
      </c>
      <c r="G42" s="69">
        <f>AIL!G36</f>
        <v>0</v>
      </c>
      <c r="H42" s="69">
        <f>AIL!H36</f>
        <v>0</v>
      </c>
      <c r="I42" s="69">
        <f>AIL!I36</f>
        <v>0</v>
      </c>
      <c r="J42" s="69">
        <f>AIL!J36</f>
        <v>0</v>
      </c>
      <c r="K42" s="69">
        <f>AIL!K36</f>
        <v>0</v>
      </c>
      <c r="L42" s="69">
        <f t="shared" si="0"/>
        <v>5</v>
      </c>
      <c r="M42" s="69">
        <f t="shared" si="1"/>
        <v>5</v>
      </c>
      <c r="N42" s="69">
        <f t="shared" si="2"/>
        <v>2</v>
      </c>
      <c r="O42" s="69">
        <f t="shared" si="3"/>
        <v>2</v>
      </c>
      <c r="P42" s="69">
        <f t="shared" si="4"/>
        <v>2</v>
      </c>
      <c r="Q42" s="69">
        <f t="shared" si="5"/>
        <v>2</v>
      </c>
      <c r="R42" s="70">
        <f t="shared" si="6"/>
        <v>0.40546510810816438</v>
      </c>
      <c r="S42" s="70">
        <f t="shared" si="7"/>
        <v>0.40546510810816438</v>
      </c>
      <c r="T42" s="70">
        <f t="shared" si="8"/>
        <v>0.42809402422670029</v>
      </c>
      <c r="U42" s="70">
        <f t="shared" si="9"/>
        <v>0.42809402422670029</v>
      </c>
      <c r="V42" s="70">
        <f t="shared" si="10"/>
        <v>0.91287092917527679</v>
      </c>
      <c r="W42" s="70">
        <f t="shared" si="11"/>
        <v>0.91287092917527679</v>
      </c>
      <c r="X42" s="70">
        <f t="shared" si="12"/>
        <v>0</v>
      </c>
      <c r="Y42" s="70">
        <f t="shared" si="13"/>
        <v>1.2909944487358056</v>
      </c>
      <c r="Z42" s="70">
        <f t="shared" si="14"/>
        <v>0</v>
      </c>
      <c r="AA42" s="69" t="str">
        <f t="shared" si="15"/>
        <v>Negligible</v>
      </c>
      <c r="AB42" s="69" t="str">
        <f t="shared" si="16"/>
        <v>Tidak Ada Indikasi Bias</v>
      </c>
    </row>
    <row r="43" spans="1:28" ht="25" x14ac:dyDescent="0.35">
      <c r="A43" s="71" t="str">
        <f>AIL!A37</f>
        <v>33. Berikut adalah bentuk pemenuhan siklus pengendalian SPMI. Kecuali …</v>
      </c>
      <c r="B43" s="69">
        <f>AIL!B37</f>
        <v>1</v>
      </c>
      <c r="C43" s="69">
        <f>AIL!C37</f>
        <v>1</v>
      </c>
      <c r="D43" s="69">
        <f>AIL!D37</f>
        <v>1</v>
      </c>
      <c r="E43" s="69">
        <f>AIL!E37</f>
        <v>1</v>
      </c>
      <c r="F43" s="69">
        <f>AIL!F37</f>
        <v>1</v>
      </c>
      <c r="G43" s="69">
        <f>AIL!G37</f>
        <v>1</v>
      </c>
      <c r="H43" s="69">
        <f>AIL!H37</f>
        <v>0</v>
      </c>
      <c r="I43" s="69">
        <f>AIL!I37</f>
        <v>0</v>
      </c>
      <c r="J43" s="69">
        <f>AIL!J37</f>
        <v>0</v>
      </c>
      <c r="K43" s="69">
        <f>AIL!K37</f>
        <v>0</v>
      </c>
      <c r="L43" s="69">
        <f t="shared" ref="L43:L74" si="17">COUNTIF($B$8:$K$8,"Laki-Laki")</f>
        <v>5</v>
      </c>
      <c r="M43" s="69">
        <f t="shared" ref="M43:M74" si="18">COUNTIF($B$8:$K$8,"Perempuan")</f>
        <v>5</v>
      </c>
      <c r="N43" s="69">
        <f t="shared" ref="N43:N74" si="19">SUMIF($B$8:$K$8,"Laki-Laki",B43:K43)</f>
        <v>3</v>
      </c>
      <c r="O43" s="69">
        <f t="shared" ref="O43:O74" si="20">SUMIF($B$8:$K$8,"Perempuan",B43:K43)</f>
        <v>3</v>
      </c>
      <c r="P43" s="69">
        <f t="shared" ref="P43:P74" si="21">IF(N43=0,0.3,IF(N43=L43,L43-0.3,N43))</f>
        <v>3</v>
      </c>
      <c r="Q43" s="69">
        <f t="shared" ref="Q43:Q74" si="22">IF(O43=0,0.3,IF(O43=M43,M43-0.3,O43))</f>
        <v>3</v>
      </c>
      <c r="R43" s="70">
        <f t="shared" ref="R43:R74" si="23">LN((L43-P43)/P43)</f>
        <v>-0.40546510810816444</v>
      </c>
      <c r="S43" s="70">
        <f t="shared" ref="S43:S74" si="24">LN((M43-Q43)/Q43)</f>
        <v>-0.40546510810816444</v>
      </c>
      <c r="T43" s="70">
        <f t="shared" ref="T43:T74" si="25">R43-AVERAGE($R$11:$R$110)</f>
        <v>-0.38283619198962854</v>
      </c>
      <c r="U43" s="70">
        <f t="shared" ref="U43:U74" si="26">S43-AVERAGE($S$11:$S$110)</f>
        <v>-0.38283619198962854</v>
      </c>
      <c r="V43" s="70">
        <f t="shared" ref="V43:V74" si="27">SQRT(1/P43+1/(L43-P43))</f>
        <v>0.91287092917527679</v>
      </c>
      <c r="W43" s="70">
        <f t="shared" ref="W43:W74" si="28">SQRT(1/Q43+1/(M43-Q43))</f>
        <v>0.91287092917527679</v>
      </c>
      <c r="X43" s="70">
        <f t="shared" ref="X43:X74" si="29">T43-U43</f>
        <v>0</v>
      </c>
      <c r="Y43" s="70">
        <f t="shared" ref="Y43:Y74" si="30">SQRT(V43^2+W43^2)</f>
        <v>1.2909944487358056</v>
      </c>
      <c r="Z43" s="70">
        <f t="shared" ref="Z43:Z74" si="31">X43/Y43</f>
        <v>0</v>
      </c>
      <c r="AA43" s="69" t="str">
        <f t="shared" ref="AA43:AA74" si="32">IF(AND(ABS(X43)&gt;=$B$4,ABS(Z43)&gt;=$B$5),"DIF Besar - review",IF(AND(ABS(X43)&gt;=$B$3,ABS(Z43)&gt;=$B$5),"DIF Moderat - cek","Negligible"))</f>
        <v>Negligible</v>
      </c>
      <c r="AB43" s="69" t="str">
        <f t="shared" ref="AB43:AB74" si="33">IF(ABS(X43)&gt;=$B$4,"Berpotensi Bias - Tinjau Konten",IF(ABS(X43)&gt;=$B$3,"Indikasi Ringan - Pantau","Tidak Ada Indikasi Bias"))</f>
        <v>Tidak Ada Indikasi Bias</v>
      </c>
    </row>
    <row r="44" spans="1:28" ht="25" x14ac:dyDescent="0.35">
      <c r="A44" s="71" t="str">
        <f>AIL!A38</f>
        <v>34. Melakukan benchmarking merupakan bentuk pemenuhan siklus SPMI …</v>
      </c>
      <c r="B44" s="69">
        <f>AIL!B38</f>
        <v>0</v>
      </c>
      <c r="C44" s="69">
        <f>AIL!C38</f>
        <v>0</v>
      </c>
      <c r="D44" s="69">
        <f>AIL!D38</f>
        <v>0</v>
      </c>
      <c r="E44" s="69">
        <f>AIL!E38</f>
        <v>0</v>
      </c>
      <c r="F44" s="69">
        <f>AIL!F38</f>
        <v>1</v>
      </c>
      <c r="G44" s="69">
        <f>AIL!G38</f>
        <v>1</v>
      </c>
      <c r="H44" s="69">
        <f>AIL!H38</f>
        <v>0</v>
      </c>
      <c r="I44" s="69">
        <f>AIL!I38</f>
        <v>0</v>
      </c>
      <c r="J44" s="69">
        <f>AIL!J38</f>
        <v>0</v>
      </c>
      <c r="K44" s="69">
        <f>AIL!K38</f>
        <v>0</v>
      </c>
      <c r="L44" s="69">
        <f t="shared" si="17"/>
        <v>5</v>
      </c>
      <c r="M44" s="69">
        <f t="shared" si="18"/>
        <v>5</v>
      </c>
      <c r="N44" s="69">
        <f t="shared" si="19"/>
        <v>1</v>
      </c>
      <c r="O44" s="69">
        <f t="shared" si="20"/>
        <v>1</v>
      </c>
      <c r="P44" s="69">
        <f t="shared" si="21"/>
        <v>1</v>
      </c>
      <c r="Q44" s="69">
        <f t="shared" si="22"/>
        <v>1</v>
      </c>
      <c r="R44" s="70">
        <f t="shared" si="23"/>
        <v>1.3862943611198906</v>
      </c>
      <c r="S44" s="70">
        <f t="shared" si="24"/>
        <v>1.3862943611198906</v>
      </c>
      <c r="T44" s="70">
        <f t="shared" si="25"/>
        <v>1.4089232772384264</v>
      </c>
      <c r="U44" s="70">
        <f t="shared" si="26"/>
        <v>1.4089232772384264</v>
      </c>
      <c r="V44" s="70">
        <f t="shared" si="27"/>
        <v>1.1180339887498949</v>
      </c>
      <c r="W44" s="70">
        <f t="shared" si="28"/>
        <v>1.1180339887498949</v>
      </c>
      <c r="X44" s="70">
        <f t="shared" si="29"/>
        <v>0</v>
      </c>
      <c r="Y44" s="70">
        <f t="shared" si="30"/>
        <v>1.5811388300841898</v>
      </c>
      <c r="Z44" s="70">
        <f t="shared" si="31"/>
        <v>0</v>
      </c>
      <c r="AA44" s="69" t="str">
        <f t="shared" si="32"/>
        <v>Negligible</v>
      </c>
      <c r="AB44" s="69" t="str">
        <f t="shared" si="33"/>
        <v>Tidak Ada Indikasi Bias</v>
      </c>
    </row>
    <row r="45" spans="1:28" ht="50" x14ac:dyDescent="0.35">
      <c r="A45" s="71" t="str">
        <f>AIL!A39</f>
        <v>35. Klausul 9.3 ISO 21001:2018 mensyaratkan adanya rapat tinjauan manajemen. Hal ini selaras dengan penerapan siklus SPMI …</v>
      </c>
      <c r="B45" s="69">
        <f>AIL!B39</f>
        <v>1</v>
      </c>
      <c r="C45" s="69">
        <f>AIL!C39</f>
        <v>1</v>
      </c>
      <c r="D45" s="69">
        <f>AIL!D39</f>
        <v>1</v>
      </c>
      <c r="E45" s="69">
        <f>AIL!E39</f>
        <v>1</v>
      </c>
      <c r="F45" s="69">
        <f>AIL!F39</f>
        <v>0</v>
      </c>
      <c r="G45" s="69">
        <f>AIL!G39</f>
        <v>0</v>
      </c>
      <c r="H45" s="69">
        <f>AIL!H39</f>
        <v>0</v>
      </c>
      <c r="I45" s="69">
        <f>AIL!I39</f>
        <v>0</v>
      </c>
      <c r="J45" s="69">
        <f>AIL!J39</f>
        <v>1</v>
      </c>
      <c r="K45" s="69">
        <f>AIL!K39</f>
        <v>1</v>
      </c>
      <c r="L45" s="69">
        <f t="shared" si="17"/>
        <v>5</v>
      </c>
      <c r="M45" s="69">
        <f t="shared" si="18"/>
        <v>5</v>
      </c>
      <c r="N45" s="69">
        <f t="shared" si="19"/>
        <v>3</v>
      </c>
      <c r="O45" s="69">
        <f t="shared" si="20"/>
        <v>3</v>
      </c>
      <c r="P45" s="69">
        <f t="shared" si="21"/>
        <v>3</v>
      </c>
      <c r="Q45" s="69">
        <f t="shared" si="22"/>
        <v>3</v>
      </c>
      <c r="R45" s="70">
        <f t="shared" si="23"/>
        <v>-0.40546510810816444</v>
      </c>
      <c r="S45" s="70">
        <f t="shared" si="24"/>
        <v>-0.40546510810816444</v>
      </c>
      <c r="T45" s="70">
        <f t="shared" si="25"/>
        <v>-0.38283619198962854</v>
      </c>
      <c r="U45" s="70">
        <f t="shared" si="26"/>
        <v>-0.38283619198962854</v>
      </c>
      <c r="V45" s="70">
        <f t="shared" si="27"/>
        <v>0.91287092917527679</v>
      </c>
      <c r="W45" s="70">
        <f t="shared" si="28"/>
        <v>0.91287092917527679</v>
      </c>
      <c r="X45" s="70">
        <f t="shared" si="29"/>
        <v>0</v>
      </c>
      <c r="Y45" s="70">
        <f t="shared" si="30"/>
        <v>1.2909944487358056</v>
      </c>
      <c r="Z45" s="70">
        <f t="shared" si="31"/>
        <v>0</v>
      </c>
      <c r="AA45" s="69" t="str">
        <f t="shared" si="32"/>
        <v>Negligible</v>
      </c>
      <c r="AB45" s="69" t="str">
        <f t="shared" si="33"/>
        <v>Tidak Ada Indikasi Bias</v>
      </c>
    </row>
    <row r="46" spans="1:28" ht="37.5" x14ac:dyDescent="0.35">
      <c r="A46" s="71" t="str">
        <f>AIL!A40</f>
        <v>36. Bagaimana cara mengintegrasikan prasyarat ISO 21001:2018 dengan SPMI sesuai anjuran ISO 21001:2018?</v>
      </c>
      <c r="B46" s="69">
        <f>AIL!B40</f>
        <v>1</v>
      </c>
      <c r="C46" s="69">
        <f>AIL!C40</f>
        <v>1</v>
      </c>
      <c r="D46" s="69">
        <f>AIL!D40</f>
        <v>1</v>
      </c>
      <c r="E46" s="69">
        <f>AIL!E40</f>
        <v>1</v>
      </c>
      <c r="F46" s="69">
        <f>AIL!F40</f>
        <v>0</v>
      </c>
      <c r="G46" s="69">
        <f>AIL!G40</f>
        <v>0</v>
      </c>
      <c r="H46" s="69">
        <f>AIL!H40</f>
        <v>0</v>
      </c>
      <c r="I46" s="69">
        <f>AIL!I40</f>
        <v>0</v>
      </c>
      <c r="J46" s="69">
        <f>AIL!J40</f>
        <v>0</v>
      </c>
      <c r="K46" s="69">
        <f>AIL!K40</f>
        <v>0</v>
      </c>
      <c r="L46" s="69">
        <f t="shared" si="17"/>
        <v>5</v>
      </c>
      <c r="M46" s="69">
        <f t="shared" si="18"/>
        <v>5</v>
      </c>
      <c r="N46" s="69">
        <f t="shared" si="19"/>
        <v>2</v>
      </c>
      <c r="O46" s="69">
        <f t="shared" si="20"/>
        <v>2</v>
      </c>
      <c r="P46" s="69">
        <f t="shared" si="21"/>
        <v>2</v>
      </c>
      <c r="Q46" s="69">
        <f t="shared" si="22"/>
        <v>2</v>
      </c>
      <c r="R46" s="70">
        <f t="shared" si="23"/>
        <v>0.40546510810816438</v>
      </c>
      <c r="S46" s="70">
        <f t="shared" si="24"/>
        <v>0.40546510810816438</v>
      </c>
      <c r="T46" s="70">
        <f t="shared" si="25"/>
        <v>0.42809402422670029</v>
      </c>
      <c r="U46" s="70">
        <f t="shared" si="26"/>
        <v>0.42809402422670029</v>
      </c>
      <c r="V46" s="70">
        <f t="shared" si="27"/>
        <v>0.91287092917527679</v>
      </c>
      <c r="W46" s="70">
        <f t="shared" si="28"/>
        <v>0.91287092917527679</v>
      </c>
      <c r="X46" s="70">
        <f t="shared" si="29"/>
        <v>0</v>
      </c>
      <c r="Y46" s="70">
        <f t="shared" si="30"/>
        <v>1.2909944487358056</v>
      </c>
      <c r="Z46" s="70">
        <f t="shared" si="31"/>
        <v>0</v>
      </c>
      <c r="AA46" s="69" t="str">
        <f t="shared" si="32"/>
        <v>Negligible</v>
      </c>
      <c r="AB46" s="69" t="str">
        <f t="shared" si="33"/>
        <v>Tidak Ada Indikasi Bias</v>
      </c>
    </row>
    <row r="47" spans="1:28" ht="125" x14ac:dyDescent="0.35">
      <c r="A47" s="71" t="str">
        <f>AIL!A41</f>
        <v>37. Matriks SWOT disusun berdasarkan isu internal dan eksternal sebagai input. Isu internal dinyatakan dalam bentuk strength dan weakness, sedangkan isu eksternal dalam bentuk opportunity dan threat. Upaya melakukan promosi dengan memanfaatkan jaringan perguruan tinggi untuk memenangkan persaingan pasar merupakan bentuk strategi yang memanfaatkan kombinasi …</v>
      </c>
      <c r="B47" s="69">
        <f>AIL!B41</f>
        <v>1</v>
      </c>
      <c r="C47" s="69">
        <f>AIL!C41</f>
        <v>1</v>
      </c>
      <c r="D47" s="69">
        <f>AIL!D41</f>
        <v>1</v>
      </c>
      <c r="E47" s="69">
        <f>AIL!E41</f>
        <v>1</v>
      </c>
      <c r="F47" s="69">
        <f>AIL!F41</f>
        <v>0</v>
      </c>
      <c r="G47" s="69">
        <f>AIL!G41</f>
        <v>0</v>
      </c>
      <c r="H47" s="69">
        <f>AIL!H41</f>
        <v>0</v>
      </c>
      <c r="I47" s="69">
        <f>AIL!I41</f>
        <v>0</v>
      </c>
      <c r="J47" s="69">
        <f>AIL!J41</f>
        <v>1</v>
      </c>
      <c r="K47" s="69">
        <f>AIL!K41</f>
        <v>1</v>
      </c>
      <c r="L47" s="69">
        <f t="shared" si="17"/>
        <v>5</v>
      </c>
      <c r="M47" s="69">
        <f t="shared" si="18"/>
        <v>5</v>
      </c>
      <c r="N47" s="69">
        <f t="shared" si="19"/>
        <v>3</v>
      </c>
      <c r="O47" s="69">
        <f t="shared" si="20"/>
        <v>3</v>
      </c>
      <c r="P47" s="69">
        <f t="shared" si="21"/>
        <v>3</v>
      </c>
      <c r="Q47" s="69">
        <f t="shared" si="22"/>
        <v>3</v>
      </c>
      <c r="R47" s="70">
        <f t="shared" si="23"/>
        <v>-0.40546510810816444</v>
      </c>
      <c r="S47" s="70">
        <f t="shared" si="24"/>
        <v>-0.40546510810816444</v>
      </c>
      <c r="T47" s="70">
        <f t="shared" si="25"/>
        <v>-0.38283619198962854</v>
      </c>
      <c r="U47" s="70">
        <f t="shared" si="26"/>
        <v>-0.38283619198962854</v>
      </c>
      <c r="V47" s="70">
        <f t="shared" si="27"/>
        <v>0.91287092917527679</v>
      </c>
      <c r="W47" s="70">
        <f t="shared" si="28"/>
        <v>0.91287092917527679</v>
      </c>
      <c r="X47" s="70">
        <f t="shared" si="29"/>
        <v>0</v>
      </c>
      <c r="Y47" s="70">
        <f t="shared" si="30"/>
        <v>1.2909944487358056</v>
      </c>
      <c r="Z47" s="70">
        <f t="shared" si="31"/>
        <v>0</v>
      </c>
      <c r="AA47" s="69" t="str">
        <f t="shared" si="32"/>
        <v>Negligible</v>
      </c>
      <c r="AB47" s="69" t="str">
        <f t="shared" si="33"/>
        <v>Tidak Ada Indikasi Bias</v>
      </c>
    </row>
    <row r="48" spans="1:28" ht="37.5" x14ac:dyDescent="0.35">
      <c r="A48" s="71" t="str">
        <f>AIL!A42</f>
        <v>38. Akses pendidikan berkualitas, fasilitas akademik yang memadai, dan kegiatan konseling merupakan kebutuhan dari …</v>
      </c>
      <c r="B48" s="69">
        <f>AIL!B42</f>
        <v>1</v>
      </c>
      <c r="C48" s="69">
        <f>AIL!C42</f>
        <v>1</v>
      </c>
      <c r="D48" s="69">
        <f>AIL!D42</f>
        <v>0</v>
      </c>
      <c r="E48" s="69">
        <f>AIL!E42</f>
        <v>0</v>
      </c>
      <c r="F48" s="69">
        <f>AIL!F42</f>
        <v>0</v>
      </c>
      <c r="G48" s="69">
        <f>AIL!G42</f>
        <v>0</v>
      </c>
      <c r="H48" s="69">
        <f>AIL!H42</f>
        <v>0</v>
      </c>
      <c r="I48" s="69">
        <f>AIL!I42</f>
        <v>0</v>
      </c>
      <c r="J48" s="69">
        <f>AIL!J42</f>
        <v>0</v>
      </c>
      <c r="K48" s="69">
        <f>AIL!K42</f>
        <v>0</v>
      </c>
      <c r="L48" s="69">
        <f t="shared" si="17"/>
        <v>5</v>
      </c>
      <c r="M48" s="69">
        <f t="shared" si="18"/>
        <v>5</v>
      </c>
      <c r="N48" s="69">
        <f t="shared" si="19"/>
        <v>1</v>
      </c>
      <c r="O48" s="69">
        <f t="shared" si="20"/>
        <v>1</v>
      </c>
      <c r="P48" s="69">
        <f t="shared" si="21"/>
        <v>1</v>
      </c>
      <c r="Q48" s="69">
        <f t="shared" si="22"/>
        <v>1</v>
      </c>
      <c r="R48" s="70">
        <f t="shared" si="23"/>
        <v>1.3862943611198906</v>
      </c>
      <c r="S48" s="70">
        <f t="shared" si="24"/>
        <v>1.3862943611198906</v>
      </c>
      <c r="T48" s="70">
        <f t="shared" si="25"/>
        <v>1.4089232772384264</v>
      </c>
      <c r="U48" s="70">
        <f t="shared" si="26"/>
        <v>1.4089232772384264</v>
      </c>
      <c r="V48" s="70">
        <f t="shared" si="27"/>
        <v>1.1180339887498949</v>
      </c>
      <c r="W48" s="70">
        <f t="shared" si="28"/>
        <v>1.1180339887498949</v>
      </c>
      <c r="X48" s="70">
        <f t="shared" si="29"/>
        <v>0</v>
      </c>
      <c r="Y48" s="70">
        <f t="shared" si="30"/>
        <v>1.5811388300841898</v>
      </c>
      <c r="Z48" s="70">
        <f t="shared" si="31"/>
        <v>0</v>
      </c>
      <c r="AA48" s="69" t="str">
        <f t="shared" si="32"/>
        <v>Negligible</v>
      </c>
      <c r="AB48" s="69" t="str">
        <f t="shared" si="33"/>
        <v>Tidak Ada Indikasi Bias</v>
      </c>
    </row>
    <row r="49" spans="1:28" ht="37.5" x14ac:dyDescent="0.35">
      <c r="A49" s="71" t="str">
        <f>AIL!A43</f>
        <v>39. Klausul ISO berikut dapat menjadi input dalam penyusunan latar belakang SPMI.</v>
      </c>
      <c r="B49" s="69">
        <f>AIL!B43</f>
        <v>1</v>
      </c>
      <c r="C49" s="69">
        <f>AIL!C43</f>
        <v>1</v>
      </c>
      <c r="D49" s="69">
        <f>AIL!D43</f>
        <v>1</v>
      </c>
      <c r="E49" s="69">
        <f>AIL!E43</f>
        <v>1</v>
      </c>
      <c r="F49" s="69">
        <f>AIL!F43</f>
        <v>0</v>
      </c>
      <c r="G49" s="69">
        <f>AIL!G43</f>
        <v>0</v>
      </c>
      <c r="H49" s="69">
        <f>AIL!H43</f>
        <v>0</v>
      </c>
      <c r="I49" s="69">
        <f>AIL!I43</f>
        <v>0</v>
      </c>
      <c r="J49" s="69">
        <f>AIL!J43</f>
        <v>1</v>
      </c>
      <c r="K49" s="69">
        <f>AIL!K43</f>
        <v>1</v>
      </c>
      <c r="L49" s="69">
        <f t="shared" si="17"/>
        <v>5</v>
      </c>
      <c r="M49" s="69">
        <f t="shared" si="18"/>
        <v>5</v>
      </c>
      <c r="N49" s="69">
        <f t="shared" si="19"/>
        <v>3</v>
      </c>
      <c r="O49" s="69">
        <f t="shared" si="20"/>
        <v>3</v>
      </c>
      <c r="P49" s="69">
        <f t="shared" si="21"/>
        <v>3</v>
      </c>
      <c r="Q49" s="69">
        <f t="shared" si="22"/>
        <v>3</v>
      </c>
      <c r="R49" s="70">
        <f t="shared" si="23"/>
        <v>-0.40546510810816444</v>
      </c>
      <c r="S49" s="70">
        <f t="shared" si="24"/>
        <v>-0.40546510810816444</v>
      </c>
      <c r="T49" s="70">
        <f t="shared" si="25"/>
        <v>-0.38283619198962854</v>
      </c>
      <c r="U49" s="70">
        <f t="shared" si="26"/>
        <v>-0.38283619198962854</v>
      </c>
      <c r="V49" s="70">
        <f t="shared" si="27"/>
        <v>0.91287092917527679</v>
      </c>
      <c r="W49" s="70">
        <f t="shared" si="28"/>
        <v>0.91287092917527679</v>
      </c>
      <c r="X49" s="70">
        <f t="shared" si="29"/>
        <v>0</v>
      </c>
      <c r="Y49" s="70">
        <f t="shared" si="30"/>
        <v>1.2909944487358056</v>
      </c>
      <c r="Z49" s="70">
        <f t="shared" si="31"/>
        <v>0</v>
      </c>
      <c r="AA49" s="69" t="str">
        <f t="shared" si="32"/>
        <v>Negligible</v>
      </c>
      <c r="AB49" s="69" t="str">
        <f t="shared" si="33"/>
        <v>Tidak Ada Indikasi Bias</v>
      </c>
    </row>
    <row r="50" spans="1:28" ht="50" x14ac:dyDescent="0.35">
      <c r="A50" s="71" t="str">
        <f>AIL!A44</f>
        <v>40. Mengizinkan pendaftaran di dua program atau organisasi pendidikan berbeda merupakan bentuk komitmen pimpinan organisasi untuk …</v>
      </c>
      <c r="B50" s="69">
        <f>AIL!B44</f>
        <v>0</v>
      </c>
      <c r="C50" s="69">
        <f>AIL!C44</f>
        <v>0</v>
      </c>
      <c r="D50" s="69">
        <f>AIL!D44</f>
        <v>1</v>
      </c>
      <c r="E50" s="69">
        <f>AIL!E44</f>
        <v>1</v>
      </c>
      <c r="F50" s="69">
        <f>AIL!F44</f>
        <v>0</v>
      </c>
      <c r="G50" s="69">
        <f>AIL!G44</f>
        <v>0</v>
      </c>
      <c r="H50" s="69">
        <f>AIL!H44</f>
        <v>0</v>
      </c>
      <c r="I50" s="69">
        <f>AIL!I44</f>
        <v>0</v>
      </c>
      <c r="J50" s="69">
        <f>AIL!J44</f>
        <v>1</v>
      </c>
      <c r="K50" s="69">
        <f>AIL!K44</f>
        <v>1</v>
      </c>
      <c r="L50" s="69">
        <f t="shared" si="17"/>
        <v>5</v>
      </c>
      <c r="M50" s="69">
        <f t="shared" si="18"/>
        <v>5</v>
      </c>
      <c r="N50" s="69">
        <f t="shared" si="19"/>
        <v>2</v>
      </c>
      <c r="O50" s="69">
        <f t="shared" si="20"/>
        <v>2</v>
      </c>
      <c r="P50" s="69">
        <f t="shared" si="21"/>
        <v>2</v>
      </c>
      <c r="Q50" s="69">
        <f t="shared" si="22"/>
        <v>2</v>
      </c>
      <c r="R50" s="70">
        <f t="shared" si="23"/>
        <v>0.40546510810816438</v>
      </c>
      <c r="S50" s="70">
        <f t="shared" si="24"/>
        <v>0.40546510810816438</v>
      </c>
      <c r="T50" s="70">
        <f t="shared" si="25"/>
        <v>0.42809402422670029</v>
      </c>
      <c r="U50" s="70">
        <f t="shared" si="26"/>
        <v>0.42809402422670029</v>
      </c>
      <c r="V50" s="70">
        <f t="shared" si="27"/>
        <v>0.91287092917527679</v>
      </c>
      <c r="W50" s="70">
        <f t="shared" si="28"/>
        <v>0.91287092917527679</v>
      </c>
      <c r="X50" s="70">
        <f t="shared" si="29"/>
        <v>0</v>
      </c>
      <c r="Y50" s="70">
        <f t="shared" si="30"/>
        <v>1.2909944487358056</v>
      </c>
      <c r="Z50" s="70">
        <f t="shared" si="31"/>
        <v>0</v>
      </c>
      <c r="AA50" s="69" t="str">
        <f t="shared" si="32"/>
        <v>Negligible</v>
      </c>
      <c r="AB50" s="69" t="str">
        <f t="shared" si="33"/>
        <v>Tidak Ada Indikasi Bias</v>
      </c>
    </row>
    <row r="51" spans="1:28" ht="37.5" x14ac:dyDescent="0.35">
      <c r="A51" s="71" t="str">
        <f>AIL!A45</f>
        <v>41. Klausul berikut merupakan input dari penyusunan kebijakan organisasi, kecuali …</v>
      </c>
      <c r="B51" s="69">
        <f>AIL!B45</f>
        <v>1</v>
      </c>
      <c r="C51" s="69">
        <f>AIL!C45</f>
        <v>1</v>
      </c>
      <c r="D51" s="69">
        <f>AIL!D45</f>
        <v>1</v>
      </c>
      <c r="E51" s="69">
        <f>AIL!E45</f>
        <v>1</v>
      </c>
      <c r="F51" s="69">
        <f>AIL!F45</f>
        <v>0</v>
      </c>
      <c r="G51" s="69">
        <f>AIL!G45</f>
        <v>0</v>
      </c>
      <c r="H51" s="69">
        <f>AIL!H45</f>
        <v>0</v>
      </c>
      <c r="I51" s="69">
        <f>AIL!I45</f>
        <v>0</v>
      </c>
      <c r="J51" s="69">
        <f>AIL!J45</f>
        <v>1</v>
      </c>
      <c r="K51" s="69">
        <f>AIL!K45</f>
        <v>1</v>
      </c>
      <c r="L51" s="69">
        <f t="shared" si="17"/>
        <v>5</v>
      </c>
      <c r="M51" s="69">
        <f t="shared" si="18"/>
        <v>5</v>
      </c>
      <c r="N51" s="69">
        <f t="shared" si="19"/>
        <v>3</v>
      </c>
      <c r="O51" s="69">
        <f t="shared" si="20"/>
        <v>3</v>
      </c>
      <c r="P51" s="69">
        <f t="shared" si="21"/>
        <v>3</v>
      </c>
      <c r="Q51" s="69">
        <f t="shared" si="22"/>
        <v>3</v>
      </c>
      <c r="R51" s="70">
        <f t="shared" si="23"/>
        <v>-0.40546510810816444</v>
      </c>
      <c r="S51" s="70">
        <f t="shared" si="24"/>
        <v>-0.40546510810816444</v>
      </c>
      <c r="T51" s="70">
        <f t="shared" si="25"/>
        <v>-0.38283619198962854</v>
      </c>
      <c r="U51" s="70">
        <f t="shared" si="26"/>
        <v>-0.38283619198962854</v>
      </c>
      <c r="V51" s="70">
        <f t="shared" si="27"/>
        <v>0.91287092917527679</v>
      </c>
      <c r="W51" s="70">
        <f t="shared" si="28"/>
        <v>0.91287092917527679</v>
      </c>
      <c r="X51" s="70">
        <f t="shared" si="29"/>
        <v>0</v>
      </c>
      <c r="Y51" s="70">
        <f t="shared" si="30"/>
        <v>1.2909944487358056</v>
      </c>
      <c r="Z51" s="70">
        <f t="shared" si="31"/>
        <v>0</v>
      </c>
      <c r="AA51" s="69" t="str">
        <f t="shared" si="32"/>
        <v>Negligible</v>
      </c>
      <c r="AB51" s="69" t="str">
        <f t="shared" si="33"/>
        <v>Tidak Ada Indikasi Bias</v>
      </c>
    </row>
    <row r="52" spans="1:28" ht="37.5" x14ac:dyDescent="0.35">
      <c r="A52" s="71" t="str">
        <f>AIL!A46</f>
        <v>42. Penyusunan Sasaran Organisasi yang baik adalah sebagai berikut berikut, kecuali …</v>
      </c>
      <c r="B52" s="69">
        <f>AIL!B46</f>
        <v>1</v>
      </c>
      <c r="C52" s="69">
        <f>AIL!C46</f>
        <v>1</v>
      </c>
      <c r="D52" s="69">
        <f>AIL!D46</f>
        <v>1</v>
      </c>
      <c r="E52" s="69">
        <f>AIL!E46</f>
        <v>1</v>
      </c>
      <c r="F52" s="69">
        <f>AIL!F46</f>
        <v>0</v>
      </c>
      <c r="G52" s="69">
        <f>AIL!G46</f>
        <v>0</v>
      </c>
      <c r="H52" s="69">
        <f>AIL!H46</f>
        <v>0</v>
      </c>
      <c r="I52" s="69">
        <f>AIL!I46</f>
        <v>0</v>
      </c>
      <c r="J52" s="69">
        <f>AIL!J46</f>
        <v>0</v>
      </c>
      <c r="K52" s="69">
        <f>AIL!K46</f>
        <v>0</v>
      </c>
      <c r="L52" s="69">
        <f t="shared" si="17"/>
        <v>5</v>
      </c>
      <c r="M52" s="69">
        <f t="shared" si="18"/>
        <v>5</v>
      </c>
      <c r="N52" s="69">
        <f t="shared" si="19"/>
        <v>2</v>
      </c>
      <c r="O52" s="69">
        <f t="shared" si="20"/>
        <v>2</v>
      </c>
      <c r="P52" s="69">
        <f t="shared" si="21"/>
        <v>2</v>
      </c>
      <c r="Q52" s="69">
        <f t="shared" si="22"/>
        <v>2</v>
      </c>
      <c r="R52" s="70">
        <f t="shared" si="23"/>
        <v>0.40546510810816438</v>
      </c>
      <c r="S52" s="70">
        <f t="shared" si="24"/>
        <v>0.40546510810816438</v>
      </c>
      <c r="T52" s="70">
        <f t="shared" si="25"/>
        <v>0.42809402422670029</v>
      </c>
      <c r="U52" s="70">
        <f t="shared" si="26"/>
        <v>0.42809402422670029</v>
      </c>
      <c r="V52" s="70">
        <f t="shared" si="27"/>
        <v>0.91287092917527679</v>
      </c>
      <c r="W52" s="70">
        <f t="shared" si="28"/>
        <v>0.91287092917527679</v>
      </c>
      <c r="X52" s="70">
        <f t="shared" si="29"/>
        <v>0</v>
      </c>
      <c r="Y52" s="70">
        <f t="shared" si="30"/>
        <v>1.2909944487358056</v>
      </c>
      <c r="Z52" s="70">
        <f t="shared" si="31"/>
        <v>0</v>
      </c>
      <c r="AA52" s="69" t="str">
        <f t="shared" si="32"/>
        <v>Negligible</v>
      </c>
      <c r="AB52" s="69" t="str">
        <f t="shared" si="33"/>
        <v>Tidak Ada Indikasi Bias</v>
      </c>
    </row>
    <row r="53" spans="1:28" ht="62.5" customHeight="1" x14ac:dyDescent="0.35">
      <c r="A53" s="71" t="str">
        <f>AIL!A47</f>
        <v>43. Salah satu hal yang harus dipertimbangkan dalam menetapkan kriteria risiko adalah</v>
      </c>
      <c r="B53" s="69">
        <f>AIL!B47</f>
        <v>1</v>
      </c>
      <c r="C53" s="69">
        <f>AIL!C47</f>
        <v>1</v>
      </c>
      <c r="D53" s="69">
        <f>AIL!D47</f>
        <v>1</v>
      </c>
      <c r="E53" s="69">
        <f>AIL!E47</f>
        <v>1</v>
      </c>
      <c r="F53" s="69">
        <f>AIL!F47</f>
        <v>0</v>
      </c>
      <c r="G53" s="69">
        <f>AIL!G47</f>
        <v>0</v>
      </c>
      <c r="H53" s="69">
        <f>AIL!H47</f>
        <v>0</v>
      </c>
      <c r="I53" s="69">
        <f>AIL!I47</f>
        <v>0</v>
      </c>
      <c r="J53" s="69">
        <f>AIL!J47</f>
        <v>0</v>
      </c>
      <c r="K53" s="69">
        <f>AIL!K47</f>
        <v>0</v>
      </c>
      <c r="L53" s="69">
        <f t="shared" si="17"/>
        <v>5</v>
      </c>
      <c r="M53" s="69">
        <f t="shared" si="18"/>
        <v>5</v>
      </c>
      <c r="N53" s="69">
        <f t="shared" si="19"/>
        <v>2</v>
      </c>
      <c r="O53" s="69">
        <f t="shared" si="20"/>
        <v>2</v>
      </c>
      <c r="P53" s="69">
        <f t="shared" si="21"/>
        <v>2</v>
      </c>
      <c r="Q53" s="69">
        <f t="shared" si="22"/>
        <v>2</v>
      </c>
      <c r="R53" s="70">
        <f t="shared" si="23"/>
        <v>0.40546510810816438</v>
      </c>
      <c r="S53" s="70">
        <f t="shared" si="24"/>
        <v>0.40546510810816438</v>
      </c>
      <c r="T53" s="70">
        <f t="shared" si="25"/>
        <v>0.42809402422670029</v>
      </c>
      <c r="U53" s="70">
        <f t="shared" si="26"/>
        <v>0.42809402422670029</v>
      </c>
      <c r="V53" s="70">
        <f t="shared" si="27"/>
        <v>0.91287092917527679</v>
      </c>
      <c r="W53" s="70">
        <f t="shared" si="28"/>
        <v>0.91287092917527679</v>
      </c>
      <c r="X53" s="70">
        <f t="shared" si="29"/>
        <v>0</v>
      </c>
      <c r="Y53" s="70">
        <f t="shared" si="30"/>
        <v>1.2909944487358056</v>
      </c>
      <c r="Z53" s="70">
        <f t="shared" si="31"/>
        <v>0</v>
      </c>
      <c r="AA53" s="69" t="str">
        <f t="shared" si="32"/>
        <v>Negligible</v>
      </c>
      <c r="AB53" s="69" t="str">
        <f t="shared" si="33"/>
        <v>Tidak Ada Indikasi Bias</v>
      </c>
    </row>
    <row r="54" spans="1:28" ht="25" x14ac:dyDescent="0.35">
      <c r="A54" s="71" t="str">
        <f>AIL!A48</f>
        <v>44. Manajemen risiko harus memuat sifat-sifat berikut, kecuali …</v>
      </c>
      <c r="B54" s="69">
        <f>AIL!B48</f>
        <v>1</v>
      </c>
      <c r="C54" s="69">
        <f>AIL!C48</f>
        <v>1</v>
      </c>
      <c r="D54" s="69">
        <f>AIL!D48</f>
        <v>1</v>
      </c>
      <c r="E54" s="69">
        <f>AIL!E48</f>
        <v>1</v>
      </c>
      <c r="F54" s="69">
        <f>AIL!F48</f>
        <v>0</v>
      </c>
      <c r="G54" s="69">
        <f>AIL!G48</f>
        <v>0</v>
      </c>
      <c r="H54" s="69">
        <f>AIL!H48</f>
        <v>1</v>
      </c>
      <c r="I54" s="69">
        <f>AIL!I48</f>
        <v>1</v>
      </c>
      <c r="J54" s="69">
        <f>AIL!J48</f>
        <v>0</v>
      </c>
      <c r="K54" s="69">
        <f>AIL!K48</f>
        <v>0</v>
      </c>
      <c r="L54" s="69">
        <f t="shared" si="17"/>
        <v>5</v>
      </c>
      <c r="M54" s="69">
        <f t="shared" si="18"/>
        <v>5</v>
      </c>
      <c r="N54" s="69">
        <f t="shared" si="19"/>
        <v>3</v>
      </c>
      <c r="O54" s="69">
        <f t="shared" si="20"/>
        <v>3</v>
      </c>
      <c r="P54" s="69">
        <f t="shared" si="21"/>
        <v>3</v>
      </c>
      <c r="Q54" s="69">
        <f t="shared" si="22"/>
        <v>3</v>
      </c>
      <c r="R54" s="70">
        <f t="shared" si="23"/>
        <v>-0.40546510810816444</v>
      </c>
      <c r="S54" s="70">
        <f t="shared" si="24"/>
        <v>-0.40546510810816444</v>
      </c>
      <c r="T54" s="70">
        <f t="shared" si="25"/>
        <v>-0.38283619198962854</v>
      </c>
      <c r="U54" s="70">
        <f t="shared" si="26"/>
        <v>-0.38283619198962854</v>
      </c>
      <c r="V54" s="70">
        <f t="shared" si="27"/>
        <v>0.91287092917527679</v>
      </c>
      <c r="W54" s="70">
        <f t="shared" si="28"/>
        <v>0.91287092917527679</v>
      </c>
      <c r="X54" s="70">
        <f t="shared" si="29"/>
        <v>0</v>
      </c>
      <c r="Y54" s="70">
        <f t="shared" si="30"/>
        <v>1.2909944487358056</v>
      </c>
      <c r="Z54" s="70">
        <f t="shared" si="31"/>
        <v>0</v>
      </c>
      <c r="AA54" s="69" t="str">
        <f t="shared" si="32"/>
        <v>Negligible</v>
      </c>
      <c r="AB54" s="69" t="str">
        <f t="shared" si="33"/>
        <v>Tidak Ada Indikasi Bias</v>
      </c>
    </row>
    <row r="55" spans="1:28" ht="37.5" customHeight="1" x14ac:dyDescent="0.35">
      <c r="A55" s="71" t="str">
        <f>AIL!A49</f>
        <v>45. Berikut adalah terkait dengan persyaratan klausul 7.2 tentang penetapan kompetensi sumber daya manusia, kecuali …</v>
      </c>
      <c r="B55" s="69">
        <f>AIL!B49</f>
        <v>0</v>
      </c>
      <c r="C55" s="69">
        <f>AIL!C49</f>
        <v>0</v>
      </c>
      <c r="D55" s="69">
        <f>AIL!D49</f>
        <v>1</v>
      </c>
      <c r="E55" s="69">
        <f>AIL!E49</f>
        <v>1</v>
      </c>
      <c r="F55" s="69">
        <f>AIL!F49</f>
        <v>0</v>
      </c>
      <c r="G55" s="69">
        <f>AIL!G49</f>
        <v>0</v>
      </c>
      <c r="H55" s="69">
        <f>AIL!H49</f>
        <v>0</v>
      </c>
      <c r="I55" s="69">
        <f>AIL!I49</f>
        <v>0</v>
      </c>
      <c r="J55" s="69">
        <f>AIL!J49</f>
        <v>0</v>
      </c>
      <c r="K55" s="69">
        <f>AIL!K49</f>
        <v>0</v>
      </c>
      <c r="L55" s="69">
        <f t="shared" si="17"/>
        <v>5</v>
      </c>
      <c r="M55" s="69">
        <f t="shared" si="18"/>
        <v>5</v>
      </c>
      <c r="N55" s="69">
        <f t="shared" si="19"/>
        <v>1</v>
      </c>
      <c r="O55" s="69">
        <f t="shared" si="20"/>
        <v>1</v>
      </c>
      <c r="P55" s="69">
        <f t="shared" si="21"/>
        <v>1</v>
      </c>
      <c r="Q55" s="69">
        <f t="shared" si="22"/>
        <v>1</v>
      </c>
      <c r="R55" s="70">
        <f t="shared" si="23"/>
        <v>1.3862943611198906</v>
      </c>
      <c r="S55" s="70">
        <f t="shared" si="24"/>
        <v>1.3862943611198906</v>
      </c>
      <c r="T55" s="70">
        <f t="shared" si="25"/>
        <v>1.4089232772384264</v>
      </c>
      <c r="U55" s="70">
        <f t="shared" si="26"/>
        <v>1.4089232772384264</v>
      </c>
      <c r="V55" s="70">
        <f t="shared" si="27"/>
        <v>1.1180339887498949</v>
      </c>
      <c r="W55" s="70">
        <f t="shared" si="28"/>
        <v>1.1180339887498949</v>
      </c>
      <c r="X55" s="70">
        <f t="shared" si="29"/>
        <v>0</v>
      </c>
      <c r="Y55" s="70">
        <f t="shared" si="30"/>
        <v>1.5811388300841898</v>
      </c>
      <c r="Z55" s="70">
        <f t="shared" si="31"/>
        <v>0</v>
      </c>
      <c r="AA55" s="69" t="str">
        <f t="shared" si="32"/>
        <v>Negligible</v>
      </c>
      <c r="AB55" s="69" t="str">
        <f t="shared" si="33"/>
        <v>Tidak Ada Indikasi Bias</v>
      </c>
    </row>
    <row r="56" spans="1:28" ht="37.5" x14ac:dyDescent="0.35">
      <c r="A56" s="71" t="str">
        <f>AIL!A50</f>
        <v>46. Dalam organisasi pendidikan, fasilitas yang diatur oleh ISO 21001:2018 minimal harus mencakup berikut, kecuali …</v>
      </c>
      <c r="B56" s="69">
        <f>AIL!B50</f>
        <v>1</v>
      </c>
      <c r="C56" s="69">
        <f>AIL!C50</f>
        <v>1</v>
      </c>
      <c r="D56" s="69">
        <f>AIL!D50</f>
        <v>1</v>
      </c>
      <c r="E56" s="69">
        <f>AIL!E50</f>
        <v>1</v>
      </c>
      <c r="F56" s="69">
        <f>AIL!F50</f>
        <v>0</v>
      </c>
      <c r="G56" s="69">
        <f>AIL!G50</f>
        <v>0</v>
      </c>
      <c r="H56" s="69">
        <f>AIL!H50</f>
        <v>0</v>
      </c>
      <c r="I56" s="69">
        <f>AIL!I50</f>
        <v>0</v>
      </c>
      <c r="J56" s="69">
        <f>AIL!J50</f>
        <v>1</v>
      </c>
      <c r="K56" s="69">
        <f>AIL!K50</f>
        <v>1</v>
      </c>
      <c r="L56" s="69">
        <f t="shared" si="17"/>
        <v>5</v>
      </c>
      <c r="M56" s="69">
        <f t="shared" si="18"/>
        <v>5</v>
      </c>
      <c r="N56" s="69">
        <f t="shared" si="19"/>
        <v>3</v>
      </c>
      <c r="O56" s="69">
        <f t="shared" si="20"/>
        <v>3</v>
      </c>
      <c r="P56" s="69">
        <f t="shared" si="21"/>
        <v>3</v>
      </c>
      <c r="Q56" s="69">
        <f t="shared" si="22"/>
        <v>3</v>
      </c>
      <c r="R56" s="70">
        <f t="shared" si="23"/>
        <v>-0.40546510810816444</v>
      </c>
      <c r="S56" s="70">
        <f t="shared" si="24"/>
        <v>-0.40546510810816444</v>
      </c>
      <c r="T56" s="70">
        <f t="shared" si="25"/>
        <v>-0.38283619198962854</v>
      </c>
      <c r="U56" s="70">
        <f t="shared" si="26"/>
        <v>-0.38283619198962854</v>
      </c>
      <c r="V56" s="70">
        <f t="shared" si="27"/>
        <v>0.91287092917527679</v>
      </c>
      <c r="W56" s="70">
        <f t="shared" si="28"/>
        <v>0.91287092917527679</v>
      </c>
      <c r="X56" s="70">
        <f t="shared" si="29"/>
        <v>0</v>
      </c>
      <c r="Y56" s="70">
        <f t="shared" si="30"/>
        <v>1.2909944487358056</v>
      </c>
      <c r="Z56" s="70">
        <f t="shared" si="31"/>
        <v>0</v>
      </c>
      <c r="AA56" s="69" t="str">
        <f t="shared" si="32"/>
        <v>Negligible</v>
      </c>
      <c r="AB56" s="69" t="str">
        <f t="shared" si="33"/>
        <v>Tidak Ada Indikasi Bias</v>
      </c>
    </row>
    <row r="57" spans="1:28" ht="50" customHeight="1" x14ac:dyDescent="0.35">
      <c r="A57" s="71" t="str">
        <f>AIL!A51</f>
        <v>47. Dalam memberikan fasilitas, organisasi pendidikan diwajibkan untuk menjamin keamanan dari fasilitas tersebut. Prasyarat ini ditetapkan pada ISO 21001:2018 klausul …</v>
      </c>
      <c r="B57" s="69">
        <f>AIL!B51</f>
        <v>1</v>
      </c>
      <c r="C57" s="69">
        <f>AIL!C51</f>
        <v>1</v>
      </c>
      <c r="D57" s="69">
        <f>AIL!D51</f>
        <v>1</v>
      </c>
      <c r="E57" s="69">
        <f>AIL!E51</f>
        <v>1</v>
      </c>
      <c r="F57" s="69">
        <f>AIL!F51</f>
        <v>0</v>
      </c>
      <c r="G57" s="69">
        <f>AIL!G51</f>
        <v>0</v>
      </c>
      <c r="H57" s="69">
        <f>AIL!H51</f>
        <v>0</v>
      </c>
      <c r="I57" s="69">
        <f>AIL!I51</f>
        <v>0</v>
      </c>
      <c r="J57" s="69">
        <f>AIL!J51</f>
        <v>1</v>
      </c>
      <c r="K57" s="69">
        <f>AIL!K51</f>
        <v>1</v>
      </c>
      <c r="L57" s="69">
        <f t="shared" si="17"/>
        <v>5</v>
      </c>
      <c r="M57" s="69">
        <f t="shared" si="18"/>
        <v>5</v>
      </c>
      <c r="N57" s="69">
        <f t="shared" si="19"/>
        <v>3</v>
      </c>
      <c r="O57" s="69">
        <f t="shared" si="20"/>
        <v>3</v>
      </c>
      <c r="P57" s="69">
        <f t="shared" si="21"/>
        <v>3</v>
      </c>
      <c r="Q57" s="69">
        <f t="shared" si="22"/>
        <v>3</v>
      </c>
      <c r="R57" s="70">
        <f t="shared" si="23"/>
        <v>-0.40546510810816444</v>
      </c>
      <c r="S57" s="70">
        <f t="shared" si="24"/>
        <v>-0.40546510810816444</v>
      </c>
      <c r="T57" s="70">
        <f t="shared" si="25"/>
        <v>-0.38283619198962854</v>
      </c>
      <c r="U57" s="70">
        <f t="shared" si="26"/>
        <v>-0.38283619198962854</v>
      </c>
      <c r="V57" s="70">
        <f t="shared" si="27"/>
        <v>0.91287092917527679</v>
      </c>
      <c r="W57" s="70">
        <f t="shared" si="28"/>
        <v>0.91287092917527679</v>
      </c>
      <c r="X57" s="70">
        <f t="shared" si="29"/>
        <v>0</v>
      </c>
      <c r="Y57" s="70">
        <f t="shared" si="30"/>
        <v>1.2909944487358056</v>
      </c>
      <c r="Z57" s="70">
        <f t="shared" si="31"/>
        <v>0</v>
      </c>
      <c r="AA57" s="69" t="str">
        <f t="shared" si="32"/>
        <v>Negligible</v>
      </c>
      <c r="AB57" s="69" t="str">
        <f t="shared" si="33"/>
        <v>Tidak Ada Indikasi Bias</v>
      </c>
    </row>
    <row r="58" spans="1:28" ht="50" customHeight="1" x14ac:dyDescent="0.35">
      <c r="A58" s="71" t="str">
        <f>AIL!A52</f>
        <v>48. Lingkungan dalam organisasi pendidikan menurut ISO 21001:2018 dapat berupa lingkungan fisik maupun psikososial. Berikut merupakan contoh lingkungan fisik organisasi, kecuali …</v>
      </c>
      <c r="B58" s="69">
        <f>AIL!B52</f>
        <v>1</v>
      </c>
      <c r="C58" s="69">
        <f>AIL!C52</f>
        <v>1</v>
      </c>
      <c r="D58" s="69">
        <f>AIL!D52</f>
        <v>1</v>
      </c>
      <c r="E58" s="69">
        <f>AIL!E52</f>
        <v>1</v>
      </c>
      <c r="F58" s="69">
        <f>AIL!F52</f>
        <v>0</v>
      </c>
      <c r="G58" s="69">
        <f>AIL!G52</f>
        <v>0</v>
      </c>
      <c r="H58" s="69">
        <f>AIL!H52</f>
        <v>1</v>
      </c>
      <c r="I58" s="69">
        <f>AIL!I52</f>
        <v>1</v>
      </c>
      <c r="J58" s="69">
        <f>AIL!J52</f>
        <v>0</v>
      </c>
      <c r="K58" s="69">
        <f>AIL!K52</f>
        <v>0</v>
      </c>
      <c r="L58" s="69">
        <f t="shared" si="17"/>
        <v>5</v>
      </c>
      <c r="M58" s="69">
        <f t="shared" si="18"/>
        <v>5</v>
      </c>
      <c r="N58" s="69">
        <f t="shared" si="19"/>
        <v>3</v>
      </c>
      <c r="O58" s="69">
        <f t="shared" si="20"/>
        <v>3</v>
      </c>
      <c r="P58" s="69">
        <f t="shared" si="21"/>
        <v>3</v>
      </c>
      <c r="Q58" s="69">
        <f t="shared" si="22"/>
        <v>3</v>
      </c>
      <c r="R58" s="70">
        <f t="shared" si="23"/>
        <v>-0.40546510810816444</v>
      </c>
      <c r="S58" s="70">
        <f t="shared" si="24"/>
        <v>-0.40546510810816444</v>
      </c>
      <c r="T58" s="70">
        <f t="shared" si="25"/>
        <v>-0.38283619198962854</v>
      </c>
      <c r="U58" s="70">
        <f t="shared" si="26"/>
        <v>-0.38283619198962854</v>
      </c>
      <c r="V58" s="70">
        <f t="shared" si="27"/>
        <v>0.91287092917527679</v>
      </c>
      <c r="W58" s="70">
        <f t="shared" si="28"/>
        <v>0.91287092917527679</v>
      </c>
      <c r="X58" s="70">
        <f t="shared" si="29"/>
        <v>0</v>
      </c>
      <c r="Y58" s="70">
        <f t="shared" si="30"/>
        <v>1.2909944487358056</v>
      </c>
      <c r="Z58" s="70">
        <f t="shared" si="31"/>
        <v>0</v>
      </c>
      <c r="AA58" s="69" t="str">
        <f t="shared" si="32"/>
        <v>Negligible</v>
      </c>
      <c r="AB58" s="69" t="str">
        <f t="shared" si="33"/>
        <v>Tidak Ada Indikasi Bias</v>
      </c>
    </row>
    <row r="59" spans="1:28" ht="50" customHeight="1" x14ac:dyDescent="0.35">
      <c r="A59" s="71" t="str">
        <f>AIL!A53</f>
        <v>49. Jenis sumber pengetahuan organisasi yang diperoleh dari pengalaman adalah …</v>
      </c>
      <c r="B59" s="69">
        <f>AIL!B53</f>
        <v>1</v>
      </c>
      <c r="C59" s="69">
        <f>AIL!C53</f>
        <v>1</v>
      </c>
      <c r="D59" s="69">
        <f>AIL!D53</f>
        <v>0</v>
      </c>
      <c r="E59" s="69">
        <f>AIL!E53</f>
        <v>0</v>
      </c>
      <c r="F59" s="69">
        <f>AIL!F53</f>
        <v>0</v>
      </c>
      <c r="G59" s="69">
        <f>AIL!G53</f>
        <v>0</v>
      </c>
      <c r="H59" s="69">
        <f>AIL!H53</f>
        <v>0</v>
      </c>
      <c r="I59" s="69">
        <f>AIL!I53</f>
        <v>0</v>
      </c>
      <c r="J59" s="69">
        <f>AIL!J53</f>
        <v>1</v>
      </c>
      <c r="K59" s="69">
        <f>AIL!K53</f>
        <v>1</v>
      </c>
      <c r="L59" s="69">
        <f t="shared" si="17"/>
        <v>5</v>
      </c>
      <c r="M59" s="69">
        <f t="shared" si="18"/>
        <v>5</v>
      </c>
      <c r="N59" s="69">
        <f t="shared" si="19"/>
        <v>2</v>
      </c>
      <c r="O59" s="69">
        <f t="shared" si="20"/>
        <v>2</v>
      </c>
      <c r="P59" s="69">
        <f t="shared" si="21"/>
        <v>2</v>
      </c>
      <c r="Q59" s="69">
        <f t="shared" si="22"/>
        <v>2</v>
      </c>
      <c r="R59" s="70">
        <f t="shared" si="23"/>
        <v>0.40546510810816438</v>
      </c>
      <c r="S59" s="70">
        <f t="shared" si="24"/>
        <v>0.40546510810816438</v>
      </c>
      <c r="T59" s="70">
        <f t="shared" si="25"/>
        <v>0.42809402422670029</v>
      </c>
      <c r="U59" s="70">
        <f t="shared" si="26"/>
        <v>0.42809402422670029</v>
      </c>
      <c r="V59" s="70">
        <f t="shared" si="27"/>
        <v>0.91287092917527679</v>
      </c>
      <c r="W59" s="70">
        <f t="shared" si="28"/>
        <v>0.91287092917527679</v>
      </c>
      <c r="X59" s="70">
        <f t="shared" si="29"/>
        <v>0</v>
      </c>
      <c r="Y59" s="70">
        <f t="shared" si="30"/>
        <v>1.2909944487358056</v>
      </c>
      <c r="Z59" s="70">
        <f t="shared" si="31"/>
        <v>0</v>
      </c>
      <c r="AA59" s="69" t="str">
        <f t="shared" si="32"/>
        <v>Negligible</v>
      </c>
      <c r="AB59" s="69" t="str">
        <f t="shared" si="33"/>
        <v>Tidak Ada Indikasi Bias</v>
      </c>
    </row>
    <row r="60" spans="1:28" ht="50" x14ac:dyDescent="0.35">
      <c r="A60" s="71" t="str">
        <f>AIL!A54</f>
        <v>50. Menguasai konsep teoretis bidang pengetahuan dan keterampilan tertentu secara umum merupakan prasyarat kompetensi lulusan program studi …</v>
      </c>
      <c r="B60" s="69">
        <f>AIL!B54</f>
        <v>1</v>
      </c>
      <c r="C60" s="69">
        <f>AIL!C54</f>
        <v>1</v>
      </c>
      <c r="D60" s="69">
        <f>AIL!D54</f>
        <v>1</v>
      </c>
      <c r="E60" s="69">
        <f>AIL!E54</f>
        <v>1</v>
      </c>
      <c r="F60" s="69">
        <f>AIL!F54</f>
        <v>0</v>
      </c>
      <c r="G60" s="69">
        <f>AIL!G54</f>
        <v>0</v>
      </c>
      <c r="H60" s="69">
        <f>AIL!H54</f>
        <v>0</v>
      </c>
      <c r="I60" s="69">
        <f>AIL!I54</f>
        <v>0</v>
      </c>
      <c r="J60" s="69">
        <f>AIL!J54</f>
        <v>1</v>
      </c>
      <c r="K60" s="69">
        <f>AIL!K54</f>
        <v>1</v>
      </c>
      <c r="L60" s="69">
        <f t="shared" si="17"/>
        <v>5</v>
      </c>
      <c r="M60" s="69">
        <f t="shared" si="18"/>
        <v>5</v>
      </c>
      <c r="N60" s="69">
        <f t="shared" si="19"/>
        <v>3</v>
      </c>
      <c r="O60" s="69">
        <f t="shared" si="20"/>
        <v>3</v>
      </c>
      <c r="P60" s="69">
        <f t="shared" si="21"/>
        <v>3</v>
      </c>
      <c r="Q60" s="69">
        <f t="shared" si="22"/>
        <v>3</v>
      </c>
      <c r="R60" s="70">
        <f t="shared" si="23"/>
        <v>-0.40546510810816444</v>
      </c>
      <c r="S60" s="70">
        <f t="shared" si="24"/>
        <v>-0.40546510810816444</v>
      </c>
      <c r="T60" s="70">
        <f t="shared" si="25"/>
        <v>-0.38283619198962854</v>
      </c>
      <c r="U60" s="70">
        <f t="shared" si="26"/>
        <v>-0.38283619198962854</v>
      </c>
      <c r="V60" s="70">
        <f t="shared" si="27"/>
        <v>0.91287092917527679</v>
      </c>
      <c r="W60" s="70">
        <f t="shared" si="28"/>
        <v>0.91287092917527679</v>
      </c>
      <c r="X60" s="70">
        <f t="shared" si="29"/>
        <v>0</v>
      </c>
      <c r="Y60" s="70">
        <f t="shared" si="30"/>
        <v>1.2909944487358056</v>
      </c>
      <c r="Z60" s="70">
        <f t="shared" si="31"/>
        <v>0</v>
      </c>
      <c r="AA60" s="69" t="str">
        <f t="shared" si="32"/>
        <v>Negligible</v>
      </c>
      <c r="AB60" s="69" t="str">
        <f t="shared" si="33"/>
        <v>Tidak Ada Indikasi Bias</v>
      </c>
    </row>
    <row r="61" spans="1:28" ht="25" x14ac:dyDescent="0.35">
      <c r="A61" s="71" t="str">
        <f>AIL!A55</f>
        <v>51. Pelaksanaan proses pembelajaran harus fleksibel, apa maksudnya?</v>
      </c>
      <c r="B61" s="69">
        <f>AIL!B55</f>
        <v>1</v>
      </c>
      <c r="C61" s="69">
        <f>AIL!C55</f>
        <v>1</v>
      </c>
      <c r="D61" s="69">
        <f>AIL!D55</f>
        <v>1</v>
      </c>
      <c r="E61" s="69">
        <f>AIL!E55</f>
        <v>1</v>
      </c>
      <c r="F61" s="69">
        <f>AIL!F55</f>
        <v>0</v>
      </c>
      <c r="G61" s="69">
        <f>AIL!G55</f>
        <v>0</v>
      </c>
      <c r="H61" s="69">
        <f>AIL!H55</f>
        <v>0</v>
      </c>
      <c r="I61" s="69">
        <f>AIL!I55</f>
        <v>0</v>
      </c>
      <c r="J61" s="69">
        <f>AIL!J55</f>
        <v>1</v>
      </c>
      <c r="K61" s="69">
        <f>AIL!K55</f>
        <v>1</v>
      </c>
      <c r="L61" s="69">
        <f t="shared" si="17"/>
        <v>5</v>
      </c>
      <c r="M61" s="69">
        <f t="shared" si="18"/>
        <v>5</v>
      </c>
      <c r="N61" s="69">
        <f t="shared" si="19"/>
        <v>3</v>
      </c>
      <c r="O61" s="69">
        <f t="shared" si="20"/>
        <v>3</v>
      </c>
      <c r="P61" s="69">
        <f t="shared" si="21"/>
        <v>3</v>
      </c>
      <c r="Q61" s="69">
        <f t="shared" si="22"/>
        <v>3</v>
      </c>
      <c r="R61" s="70">
        <f t="shared" si="23"/>
        <v>-0.40546510810816444</v>
      </c>
      <c r="S61" s="70">
        <f t="shared" si="24"/>
        <v>-0.40546510810816444</v>
      </c>
      <c r="T61" s="70">
        <f t="shared" si="25"/>
        <v>-0.38283619198962854</v>
      </c>
      <c r="U61" s="70">
        <f t="shared" si="26"/>
        <v>-0.38283619198962854</v>
      </c>
      <c r="V61" s="70">
        <f t="shared" si="27"/>
        <v>0.91287092917527679</v>
      </c>
      <c r="W61" s="70">
        <f t="shared" si="28"/>
        <v>0.91287092917527679</v>
      </c>
      <c r="X61" s="70">
        <f t="shared" si="29"/>
        <v>0</v>
      </c>
      <c r="Y61" s="70">
        <f t="shared" si="30"/>
        <v>1.2909944487358056</v>
      </c>
      <c r="Z61" s="70">
        <f t="shared" si="31"/>
        <v>0</v>
      </c>
      <c r="AA61" s="69" t="str">
        <f t="shared" si="32"/>
        <v>Negligible</v>
      </c>
      <c r="AB61" s="69" t="str">
        <f t="shared" si="33"/>
        <v>Tidak Ada Indikasi Bias</v>
      </c>
    </row>
    <row r="62" spans="1:28" ht="37.5" customHeight="1" x14ac:dyDescent="0.35">
      <c r="A62" s="71" t="str">
        <f>AIL!A56</f>
        <v>52. Program studi yang dapat menerapkan kurikulum yang diselenggarakan bersama dunia usaha, dunia industri, dan dunia kerja dalam sistem ganda adalah …</v>
      </c>
      <c r="B62" s="69">
        <f>AIL!B56</f>
        <v>1</v>
      </c>
      <c r="C62" s="69">
        <f>AIL!C56</f>
        <v>1</v>
      </c>
      <c r="D62" s="69">
        <f>AIL!D56</f>
        <v>1</v>
      </c>
      <c r="E62" s="69">
        <f>AIL!E56</f>
        <v>1</v>
      </c>
      <c r="F62" s="69">
        <f>AIL!F56</f>
        <v>0</v>
      </c>
      <c r="G62" s="69">
        <f>AIL!G56</f>
        <v>0</v>
      </c>
      <c r="H62" s="69">
        <f>AIL!H56</f>
        <v>0</v>
      </c>
      <c r="I62" s="69">
        <f>AIL!I56</f>
        <v>0</v>
      </c>
      <c r="J62" s="69">
        <f>AIL!J56</f>
        <v>1</v>
      </c>
      <c r="K62" s="69">
        <f>AIL!K56</f>
        <v>1</v>
      </c>
      <c r="L62" s="69">
        <f t="shared" si="17"/>
        <v>5</v>
      </c>
      <c r="M62" s="69">
        <f t="shared" si="18"/>
        <v>5</v>
      </c>
      <c r="N62" s="69">
        <f t="shared" si="19"/>
        <v>3</v>
      </c>
      <c r="O62" s="69">
        <f t="shared" si="20"/>
        <v>3</v>
      </c>
      <c r="P62" s="69">
        <f t="shared" si="21"/>
        <v>3</v>
      </c>
      <c r="Q62" s="69">
        <f t="shared" si="22"/>
        <v>3</v>
      </c>
      <c r="R62" s="70">
        <f t="shared" si="23"/>
        <v>-0.40546510810816444</v>
      </c>
      <c r="S62" s="70">
        <f t="shared" si="24"/>
        <v>-0.40546510810816444</v>
      </c>
      <c r="T62" s="70">
        <f t="shared" si="25"/>
        <v>-0.38283619198962854</v>
      </c>
      <c r="U62" s="70">
        <f t="shared" si="26"/>
        <v>-0.38283619198962854</v>
      </c>
      <c r="V62" s="70">
        <f t="shared" si="27"/>
        <v>0.91287092917527679</v>
      </c>
      <c r="W62" s="70">
        <f t="shared" si="28"/>
        <v>0.91287092917527679</v>
      </c>
      <c r="X62" s="70">
        <f t="shared" si="29"/>
        <v>0</v>
      </c>
      <c r="Y62" s="70">
        <f t="shared" si="30"/>
        <v>1.2909944487358056</v>
      </c>
      <c r="Z62" s="70">
        <f t="shared" si="31"/>
        <v>0</v>
      </c>
      <c r="AA62" s="69" t="str">
        <f t="shared" si="32"/>
        <v>Negligible</v>
      </c>
      <c r="AB62" s="69" t="str">
        <f t="shared" si="33"/>
        <v>Tidak Ada Indikasi Bias</v>
      </c>
    </row>
    <row r="63" spans="1:28" ht="37.5" x14ac:dyDescent="0.35">
      <c r="A63" s="71" t="str">
        <f>AIL!A57</f>
        <v xml:space="preserve">53. Penyediaan akses sarana dan prasarana dilakukan dengan memenuhi ketentuan berikut, kecuali … </v>
      </c>
      <c r="B63" s="69">
        <f>AIL!B57</f>
        <v>0</v>
      </c>
      <c r="C63" s="69">
        <f>AIL!C57</f>
        <v>0</v>
      </c>
      <c r="D63" s="69">
        <f>AIL!D57</f>
        <v>1</v>
      </c>
      <c r="E63" s="69">
        <f>AIL!E57</f>
        <v>1</v>
      </c>
      <c r="F63" s="69">
        <f>AIL!F57</f>
        <v>0</v>
      </c>
      <c r="G63" s="69">
        <f>AIL!G57</f>
        <v>0</v>
      </c>
      <c r="H63" s="69">
        <f>AIL!H57</f>
        <v>0</v>
      </c>
      <c r="I63" s="69">
        <f>AIL!I57</f>
        <v>0</v>
      </c>
      <c r="J63" s="69">
        <f>AIL!J57</f>
        <v>1</v>
      </c>
      <c r="K63" s="69">
        <f>AIL!K57</f>
        <v>1</v>
      </c>
      <c r="L63" s="69">
        <f t="shared" si="17"/>
        <v>5</v>
      </c>
      <c r="M63" s="69">
        <f t="shared" si="18"/>
        <v>5</v>
      </c>
      <c r="N63" s="69">
        <f t="shared" si="19"/>
        <v>2</v>
      </c>
      <c r="O63" s="69">
        <f t="shared" si="20"/>
        <v>2</v>
      </c>
      <c r="P63" s="69">
        <f t="shared" si="21"/>
        <v>2</v>
      </c>
      <c r="Q63" s="69">
        <f t="shared" si="22"/>
        <v>2</v>
      </c>
      <c r="R63" s="70">
        <f t="shared" si="23"/>
        <v>0.40546510810816438</v>
      </c>
      <c r="S63" s="70">
        <f t="shared" si="24"/>
        <v>0.40546510810816438</v>
      </c>
      <c r="T63" s="70">
        <f t="shared" si="25"/>
        <v>0.42809402422670029</v>
      </c>
      <c r="U63" s="70">
        <f t="shared" si="26"/>
        <v>0.42809402422670029</v>
      </c>
      <c r="V63" s="70">
        <f t="shared" si="27"/>
        <v>0.91287092917527679</v>
      </c>
      <c r="W63" s="70">
        <f t="shared" si="28"/>
        <v>0.91287092917527679</v>
      </c>
      <c r="X63" s="70">
        <f t="shared" si="29"/>
        <v>0</v>
      </c>
      <c r="Y63" s="70">
        <f t="shared" si="30"/>
        <v>1.2909944487358056</v>
      </c>
      <c r="Z63" s="70">
        <f t="shared" si="31"/>
        <v>0</v>
      </c>
      <c r="AA63" s="69" t="str">
        <f t="shared" si="32"/>
        <v>Negligible</v>
      </c>
      <c r="AB63" s="69" t="str">
        <f t="shared" si="33"/>
        <v>Tidak Ada Indikasi Bias</v>
      </c>
    </row>
    <row r="64" spans="1:28" ht="37.5" customHeight="1" x14ac:dyDescent="0.35">
      <c r="A64" s="71" t="str">
        <f>AIL!A58</f>
        <v xml:space="preserve">54. Pembiayaan pendidikan meliputi biaya investasi dan biaya operasional. Berikut termasuk kedalam biaya operasional, kecuali … </v>
      </c>
      <c r="B64" s="69">
        <f>AIL!B58</f>
        <v>1</v>
      </c>
      <c r="C64" s="69">
        <f>AIL!C58</f>
        <v>1</v>
      </c>
      <c r="D64" s="69">
        <f>AIL!D58</f>
        <v>1</v>
      </c>
      <c r="E64" s="69">
        <f>AIL!E58</f>
        <v>1</v>
      </c>
      <c r="F64" s="69">
        <f>AIL!F58</f>
        <v>0</v>
      </c>
      <c r="G64" s="69">
        <f>AIL!G58</f>
        <v>0</v>
      </c>
      <c r="H64" s="69">
        <f>AIL!H58</f>
        <v>0</v>
      </c>
      <c r="I64" s="69">
        <f>AIL!I58</f>
        <v>0</v>
      </c>
      <c r="J64" s="69">
        <f>AIL!J58</f>
        <v>0</v>
      </c>
      <c r="K64" s="69">
        <f>AIL!K58</f>
        <v>0</v>
      </c>
      <c r="L64" s="69">
        <f t="shared" si="17"/>
        <v>5</v>
      </c>
      <c r="M64" s="69">
        <f t="shared" si="18"/>
        <v>5</v>
      </c>
      <c r="N64" s="69">
        <f t="shared" si="19"/>
        <v>2</v>
      </c>
      <c r="O64" s="69">
        <f t="shared" si="20"/>
        <v>2</v>
      </c>
      <c r="P64" s="69">
        <f t="shared" si="21"/>
        <v>2</v>
      </c>
      <c r="Q64" s="69">
        <f t="shared" si="22"/>
        <v>2</v>
      </c>
      <c r="R64" s="70">
        <f t="shared" si="23"/>
        <v>0.40546510810816438</v>
      </c>
      <c r="S64" s="70">
        <f t="shared" si="24"/>
        <v>0.40546510810816438</v>
      </c>
      <c r="T64" s="70">
        <f t="shared" si="25"/>
        <v>0.42809402422670029</v>
      </c>
      <c r="U64" s="70">
        <f t="shared" si="26"/>
        <v>0.42809402422670029</v>
      </c>
      <c r="V64" s="70">
        <f t="shared" si="27"/>
        <v>0.91287092917527679</v>
      </c>
      <c r="W64" s="70">
        <f t="shared" si="28"/>
        <v>0.91287092917527679</v>
      </c>
      <c r="X64" s="70">
        <f t="shared" si="29"/>
        <v>0</v>
      </c>
      <c r="Y64" s="70">
        <f t="shared" si="30"/>
        <v>1.2909944487358056</v>
      </c>
      <c r="Z64" s="70">
        <f t="shared" si="31"/>
        <v>0</v>
      </c>
      <c r="AA64" s="69" t="str">
        <f t="shared" si="32"/>
        <v>Negligible</v>
      </c>
      <c r="AB64" s="69" t="str">
        <f t="shared" si="33"/>
        <v>Tidak Ada Indikasi Bias</v>
      </c>
    </row>
    <row r="65" spans="1:28" ht="37.5" customHeight="1" x14ac:dyDescent="0.35">
      <c r="A65" s="71" t="str">
        <f>AIL!A59</f>
        <v xml:space="preserve">55. Pernyataan berikut benar terkait luaran penelitian, kecuali … </v>
      </c>
      <c r="B65" s="69">
        <f>AIL!B59</f>
        <v>1</v>
      </c>
      <c r="C65" s="69">
        <f>AIL!C59</f>
        <v>1</v>
      </c>
      <c r="D65" s="69">
        <f>AIL!D59</f>
        <v>1</v>
      </c>
      <c r="E65" s="69">
        <f>AIL!E59</f>
        <v>1</v>
      </c>
      <c r="F65" s="69">
        <f>AIL!F59</f>
        <v>0</v>
      </c>
      <c r="G65" s="69">
        <f>AIL!G59</f>
        <v>0</v>
      </c>
      <c r="H65" s="69">
        <f>AIL!H59</f>
        <v>0</v>
      </c>
      <c r="I65" s="69">
        <f>AIL!I59</f>
        <v>0</v>
      </c>
      <c r="J65" s="69">
        <f>AIL!J59</f>
        <v>1</v>
      </c>
      <c r="K65" s="69">
        <f>AIL!K59</f>
        <v>1</v>
      </c>
      <c r="L65" s="69">
        <f t="shared" si="17"/>
        <v>5</v>
      </c>
      <c r="M65" s="69">
        <f t="shared" si="18"/>
        <v>5</v>
      </c>
      <c r="N65" s="69">
        <f t="shared" si="19"/>
        <v>3</v>
      </c>
      <c r="O65" s="69">
        <f t="shared" si="20"/>
        <v>3</v>
      </c>
      <c r="P65" s="69">
        <f t="shared" si="21"/>
        <v>3</v>
      </c>
      <c r="Q65" s="69">
        <f t="shared" si="22"/>
        <v>3</v>
      </c>
      <c r="R65" s="70">
        <f t="shared" si="23"/>
        <v>-0.40546510810816444</v>
      </c>
      <c r="S65" s="70">
        <f t="shared" si="24"/>
        <v>-0.40546510810816444</v>
      </c>
      <c r="T65" s="70">
        <f t="shared" si="25"/>
        <v>-0.38283619198962854</v>
      </c>
      <c r="U65" s="70">
        <f t="shared" si="26"/>
        <v>-0.38283619198962854</v>
      </c>
      <c r="V65" s="70">
        <f t="shared" si="27"/>
        <v>0.91287092917527679</v>
      </c>
      <c r="W65" s="70">
        <f t="shared" si="28"/>
        <v>0.91287092917527679</v>
      </c>
      <c r="X65" s="70">
        <f t="shared" si="29"/>
        <v>0</v>
      </c>
      <c r="Y65" s="70">
        <f t="shared" si="30"/>
        <v>1.2909944487358056</v>
      </c>
      <c r="Z65" s="70">
        <f t="shared" si="31"/>
        <v>0</v>
      </c>
      <c r="AA65" s="69" t="str">
        <f t="shared" si="32"/>
        <v>Negligible</v>
      </c>
      <c r="AB65" s="69" t="str">
        <f t="shared" si="33"/>
        <v>Tidak Ada Indikasi Bias</v>
      </c>
    </row>
    <row r="66" spans="1:28" ht="37.5" customHeight="1" x14ac:dyDescent="0.35">
      <c r="A66" s="71" t="str">
        <f>AIL!A60</f>
        <v>56. Kegiatan tinjauan, verifikasi, dan validasi desain dan pengembangan produk dan layanan Pendidikan merupakan persyaratan ISO 21001:2018, klausul …</v>
      </c>
      <c r="B66" s="69">
        <f>AIL!B60</f>
        <v>1</v>
      </c>
      <c r="C66" s="69">
        <f>AIL!C60</f>
        <v>1</v>
      </c>
      <c r="D66" s="69">
        <f>AIL!D60</f>
        <v>1</v>
      </c>
      <c r="E66" s="69">
        <f>AIL!E60</f>
        <v>1</v>
      </c>
      <c r="F66" s="69">
        <f>AIL!F60</f>
        <v>0</v>
      </c>
      <c r="G66" s="69">
        <f>AIL!G60</f>
        <v>0</v>
      </c>
      <c r="H66" s="69">
        <f>AIL!H60</f>
        <v>1</v>
      </c>
      <c r="I66" s="69">
        <f>AIL!I60</f>
        <v>1</v>
      </c>
      <c r="J66" s="69">
        <f>AIL!J60</f>
        <v>1</v>
      </c>
      <c r="K66" s="69">
        <f>AIL!K60</f>
        <v>1</v>
      </c>
      <c r="L66" s="69">
        <f t="shared" si="17"/>
        <v>5</v>
      </c>
      <c r="M66" s="69">
        <f t="shared" si="18"/>
        <v>5</v>
      </c>
      <c r="N66" s="69">
        <f t="shared" si="19"/>
        <v>4</v>
      </c>
      <c r="O66" s="69">
        <f t="shared" si="20"/>
        <v>4</v>
      </c>
      <c r="P66" s="69">
        <f t="shared" si="21"/>
        <v>4</v>
      </c>
      <c r="Q66" s="69">
        <f t="shared" si="22"/>
        <v>4</v>
      </c>
      <c r="R66" s="70">
        <f t="shared" si="23"/>
        <v>-1.3862943611198906</v>
      </c>
      <c r="S66" s="70">
        <f t="shared" si="24"/>
        <v>-1.3862943611198906</v>
      </c>
      <c r="T66" s="70">
        <f t="shared" si="25"/>
        <v>-1.3636654450013548</v>
      </c>
      <c r="U66" s="70">
        <f t="shared" si="26"/>
        <v>-1.3636654450013548</v>
      </c>
      <c r="V66" s="70">
        <f t="shared" si="27"/>
        <v>1.1180339887498949</v>
      </c>
      <c r="W66" s="70">
        <f t="shared" si="28"/>
        <v>1.1180339887498949</v>
      </c>
      <c r="X66" s="70">
        <f t="shared" si="29"/>
        <v>0</v>
      </c>
      <c r="Y66" s="70">
        <f t="shared" si="30"/>
        <v>1.5811388300841898</v>
      </c>
      <c r="Z66" s="70">
        <f t="shared" si="31"/>
        <v>0</v>
      </c>
      <c r="AA66" s="69" t="str">
        <f t="shared" si="32"/>
        <v>Negligible</v>
      </c>
      <c r="AB66" s="69" t="str">
        <f t="shared" si="33"/>
        <v>Tidak Ada Indikasi Bias</v>
      </c>
    </row>
    <row r="67" spans="1:28" ht="37.5" customHeight="1" x14ac:dyDescent="0.35">
      <c r="A67" s="71" t="str">
        <f>AIL!A61</f>
        <v>57. Rencana Pembelajaran Semester mata kuliah XYZ belum mencantumkan keterkaitan antara Capaian Pembelajaran Mata Kuliah dengan Capaian Pembelajaran Lulusan. Hal ini tidak sesuai dengan persyaratan ISO 21001:2018 klausul …</v>
      </c>
      <c r="B67" s="69">
        <f>AIL!B61</f>
        <v>1</v>
      </c>
      <c r="C67" s="69">
        <f>AIL!C61</f>
        <v>1</v>
      </c>
      <c r="D67" s="69">
        <f>AIL!D61</f>
        <v>1</v>
      </c>
      <c r="E67" s="69">
        <f>AIL!E61</f>
        <v>1</v>
      </c>
      <c r="F67" s="69">
        <f>AIL!F61</f>
        <v>0</v>
      </c>
      <c r="G67" s="69">
        <f>AIL!G61</f>
        <v>0</v>
      </c>
      <c r="H67" s="69">
        <f>AIL!H61</f>
        <v>0</v>
      </c>
      <c r="I67" s="69">
        <f>AIL!I61</f>
        <v>0</v>
      </c>
      <c r="J67" s="69">
        <f>AIL!J61</f>
        <v>1</v>
      </c>
      <c r="K67" s="69">
        <f>AIL!K61</f>
        <v>1</v>
      </c>
      <c r="L67" s="69">
        <f t="shared" si="17"/>
        <v>5</v>
      </c>
      <c r="M67" s="69">
        <f t="shared" si="18"/>
        <v>5</v>
      </c>
      <c r="N67" s="69">
        <f t="shared" si="19"/>
        <v>3</v>
      </c>
      <c r="O67" s="69">
        <f t="shared" si="20"/>
        <v>3</v>
      </c>
      <c r="P67" s="69">
        <f t="shared" si="21"/>
        <v>3</v>
      </c>
      <c r="Q67" s="69">
        <f t="shared" si="22"/>
        <v>3</v>
      </c>
      <c r="R67" s="70">
        <f t="shared" si="23"/>
        <v>-0.40546510810816444</v>
      </c>
      <c r="S67" s="70">
        <f t="shared" si="24"/>
        <v>-0.40546510810816444</v>
      </c>
      <c r="T67" s="70">
        <f t="shared" si="25"/>
        <v>-0.38283619198962854</v>
      </c>
      <c r="U67" s="70">
        <f t="shared" si="26"/>
        <v>-0.38283619198962854</v>
      </c>
      <c r="V67" s="70">
        <f t="shared" si="27"/>
        <v>0.91287092917527679</v>
      </c>
      <c r="W67" s="70">
        <f t="shared" si="28"/>
        <v>0.91287092917527679</v>
      </c>
      <c r="X67" s="70">
        <f t="shared" si="29"/>
        <v>0</v>
      </c>
      <c r="Y67" s="70">
        <f t="shared" si="30"/>
        <v>1.2909944487358056</v>
      </c>
      <c r="Z67" s="70">
        <f t="shared" si="31"/>
        <v>0</v>
      </c>
      <c r="AA67" s="69" t="str">
        <f t="shared" si="32"/>
        <v>Negligible</v>
      </c>
      <c r="AB67" s="69" t="str">
        <f t="shared" si="33"/>
        <v>Tidak Ada Indikasi Bias</v>
      </c>
    </row>
    <row r="68" spans="1:28" ht="62.5" x14ac:dyDescent="0.35">
      <c r="A68" s="71" t="str">
        <f>AIL!A62</f>
        <v>58. Peserta didik tidak diberi akses terkait dengan penilaian dosen terhadap jawaban ujian tengah dan akhir semester. Hal ini tidak sesuai dengan persyaratan ISO 21001:2018 klausul …</v>
      </c>
      <c r="B68" s="69">
        <f>AIL!B62</f>
        <v>0</v>
      </c>
      <c r="C68" s="69">
        <f>AIL!C62</f>
        <v>0</v>
      </c>
      <c r="D68" s="69">
        <f>AIL!D62</f>
        <v>1</v>
      </c>
      <c r="E68" s="69">
        <f>AIL!E62</f>
        <v>1</v>
      </c>
      <c r="F68" s="69">
        <f>AIL!F62</f>
        <v>1</v>
      </c>
      <c r="G68" s="69">
        <f>AIL!G62</f>
        <v>1</v>
      </c>
      <c r="H68" s="69">
        <f>AIL!H62</f>
        <v>1</v>
      </c>
      <c r="I68" s="69">
        <f>AIL!I62</f>
        <v>1</v>
      </c>
      <c r="J68" s="69">
        <f>AIL!J62</f>
        <v>1</v>
      </c>
      <c r="K68" s="69">
        <f>AIL!K62</f>
        <v>1</v>
      </c>
      <c r="L68" s="69">
        <f t="shared" si="17"/>
        <v>5</v>
      </c>
      <c r="M68" s="69">
        <f t="shared" si="18"/>
        <v>5</v>
      </c>
      <c r="N68" s="69">
        <f t="shared" si="19"/>
        <v>4</v>
      </c>
      <c r="O68" s="69">
        <f t="shared" si="20"/>
        <v>4</v>
      </c>
      <c r="P68" s="69">
        <f t="shared" si="21"/>
        <v>4</v>
      </c>
      <c r="Q68" s="69">
        <f t="shared" si="22"/>
        <v>4</v>
      </c>
      <c r="R68" s="70">
        <f t="shared" si="23"/>
        <v>-1.3862943611198906</v>
      </c>
      <c r="S68" s="70">
        <f t="shared" si="24"/>
        <v>-1.3862943611198906</v>
      </c>
      <c r="T68" s="70">
        <f t="shared" si="25"/>
        <v>-1.3636654450013548</v>
      </c>
      <c r="U68" s="70">
        <f t="shared" si="26"/>
        <v>-1.3636654450013548</v>
      </c>
      <c r="V68" s="70">
        <f t="shared" si="27"/>
        <v>1.1180339887498949</v>
      </c>
      <c r="W68" s="70">
        <f t="shared" si="28"/>
        <v>1.1180339887498949</v>
      </c>
      <c r="X68" s="70">
        <f t="shared" si="29"/>
        <v>0</v>
      </c>
      <c r="Y68" s="70">
        <f t="shared" si="30"/>
        <v>1.5811388300841898</v>
      </c>
      <c r="Z68" s="70">
        <f t="shared" si="31"/>
        <v>0</v>
      </c>
      <c r="AA68" s="69" t="str">
        <f t="shared" si="32"/>
        <v>Negligible</v>
      </c>
      <c r="AB68" s="69" t="str">
        <f t="shared" si="33"/>
        <v>Tidak Ada Indikasi Bias</v>
      </c>
    </row>
    <row r="69" spans="1:28" ht="87.5" x14ac:dyDescent="0.35">
      <c r="A69" s="71" t="str">
        <f>AIL!A63</f>
        <v>59. Sebuah pendidikan vokasi memiliki dosen yang memiliki latar belakang pendidikan tidak linear dengan jurusan yang diampu. Namun, dosen tersebut merupakan praktisi perusahaan di bidang yang linear dengan jurusan yang diampu. Apakah hal tersebut diperbolehkan?</v>
      </c>
      <c r="B69" s="69">
        <f>AIL!B63</f>
        <v>1</v>
      </c>
      <c r="C69" s="69">
        <f>AIL!C63</f>
        <v>1</v>
      </c>
      <c r="D69" s="69">
        <f>AIL!D63</f>
        <v>1</v>
      </c>
      <c r="E69" s="69">
        <f>AIL!E63</f>
        <v>1</v>
      </c>
      <c r="F69" s="69">
        <f>AIL!F63</f>
        <v>0</v>
      </c>
      <c r="G69" s="69">
        <f>AIL!G63</f>
        <v>0</v>
      </c>
      <c r="H69" s="69">
        <f>AIL!H63</f>
        <v>1</v>
      </c>
      <c r="I69" s="69">
        <f>AIL!I63</f>
        <v>1</v>
      </c>
      <c r="J69" s="69">
        <f>AIL!J63</f>
        <v>1</v>
      </c>
      <c r="K69" s="69">
        <f>AIL!K63</f>
        <v>1</v>
      </c>
      <c r="L69" s="69">
        <f t="shared" si="17"/>
        <v>5</v>
      </c>
      <c r="M69" s="69">
        <f t="shared" si="18"/>
        <v>5</v>
      </c>
      <c r="N69" s="69">
        <f t="shared" si="19"/>
        <v>4</v>
      </c>
      <c r="O69" s="69">
        <f t="shared" si="20"/>
        <v>4</v>
      </c>
      <c r="P69" s="69">
        <f t="shared" si="21"/>
        <v>4</v>
      </c>
      <c r="Q69" s="69">
        <f t="shared" si="22"/>
        <v>4</v>
      </c>
      <c r="R69" s="70">
        <f t="shared" si="23"/>
        <v>-1.3862943611198906</v>
      </c>
      <c r="S69" s="70">
        <f t="shared" si="24"/>
        <v>-1.3862943611198906</v>
      </c>
      <c r="T69" s="70">
        <f t="shared" si="25"/>
        <v>-1.3636654450013548</v>
      </c>
      <c r="U69" s="70">
        <f t="shared" si="26"/>
        <v>-1.3636654450013548</v>
      </c>
      <c r="V69" s="70">
        <f t="shared" si="27"/>
        <v>1.1180339887498949</v>
      </c>
      <c r="W69" s="70">
        <f t="shared" si="28"/>
        <v>1.1180339887498949</v>
      </c>
      <c r="X69" s="70">
        <f t="shared" si="29"/>
        <v>0</v>
      </c>
      <c r="Y69" s="70">
        <f t="shared" si="30"/>
        <v>1.5811388300841898</v>
      </c>
      <c r="Z69" s="70">
        <f t="shared" si="31"/>
        <v>0</v>
      </c>
      <c r="AA69" s="69" t="str">
        <f t="shared" si="32"/>
        <v>Negligible</v>
      </c>
      <c r="AB69" s="69" t="str">
        <f t="shared" si="33"/>
        <v>Tidak Ada Indikasi Bias</v>
      </c>
    </row>
    <row r="70" spans="1:28" ht="75" x14ac:dyDescent="0.35">
      <c r="A70" s="71" t="str">
        <f>AIL!A64</f>
        <v>60. Salah satu proses yang harus diatur dalam mengelola layanan pendidikan adalah proses penerimaan peserta didik baru. Dalam menyusun proses tersebut organisasi pendidikan dapat mengacu pada klausul …</v>
      </c>
      <c r="B70" s="69">
        <f>AIL!B64</f>
        <v>1</v>
      </c>
      <c r="C70" s="69">
        <f>AIL!C64</f>
        <v>1</v>
      </c>
      <c r="D70" s="69">
        <f>AIL!D64</f>
        <v>1</v>
      </c>
      <c r="E70" s="69">
        <f>AIL!E64</f>
        <v>1</v>
      </c>
      <c r="F70" s="69">
        <f>AIL!F64</f>
        <v>1</v>
      </c>
      <c r="G70" s="69">
        <f>AIL!G64</f>
        <v>1</v>
      </c>
      <c r="H70" s="69">
        <f>AIL!H64</f>
        <v>0</v>
      </c>
      <c r="I70" s="69">
        <f>AIL!I64</f>
        <v>0</v>
      </c>
      <c r="J70" s="69">
        <f>AIL!J64</f>
        <v>1</v>
      </c>
      <c r="K70" s="69">
        <f>AIL!K64</f>
        <v>1</v>
      </c>
      <c r="L70" s="69">
        <f t="shared" si="17"/>
        <v>5</v>
      </c>
      <c r="M70" s="69">
        <f t="shared" si="18"/>
        <v>5</v>
      </c>
      <c r="N70" s="69">
        <f t="shared" si="19"/>
        <v>4</v>
      </c>
      <c r="O70" s="69">
        <f t="shared" si="20"/>
        <v>4</v>
      </c>
      <c r="P70" s="69">
        <f t="shared" si="21"/>
        <v>4</v>
      </c>
      <c r="Q70" s="69">
        <f t="shared" si="22"/>
        <v>4</v>
      </c>
      <c r="R70" s="70">
        <f t="shared" si="23"/>
        <v>-1.3862943611198906</v>
      </c>
      <c r="S70" s="70">
        <f t="shared" si="24"/>
        <v>-1.3862943611198906</v>
      </c>
      <c r="T70" s="70">
        <f t="shared" si="25"/>
        <v>-1.3636654450013548</v>
      </c>
      <c r="U70" s="70">
        <f t="shared" si="26"/>
        <v>-1.3636654450013548</v>
      </c>
      <c r="V70" s="70">
        <f t="shared" si="27"/>
        <v>1.1180339887498949</v>
      </c>
      <c r="W70" s="70">
        <f t="shared" si="28"/>
        <v>1.1180339887498949</v>
      </c>
      <c r="X70" s="70">
        <f t="shared" si="29"/>
        <v>0</v>
      </c>
      <c r="Y70" s="70">
        <f t="shared" si="30"/>
        <v>1.5811388300841898</v>
      </c>
      <c r="Z70" s="70">
        <f t="shared" si="31"/>
        <v>0</v>
      </c>
      <c r="AA70" s="69" t="str">
        <f t="shared" si="32"/>
        <v>Negligible</v>
      </c>
      <c r="AB70" s="69" t="str">
        <f t="shared" si="33"/>
        <v>Tidak Ada Indikasi Bias</v>
      </c>
    </row>
    <row r="71" spans="1:28" ht="37.5" x14ac:dyDescent="0.35">
      <c r="A71" s="71" t="str">
        <f>AIL!A65</f>
        <v>61. Rencana strategis perguruan tinggi, merupakan bentuk pemenuhan perencanaan pengembangan jangka …</v>
      </c>
      <c r="B71" s="69">
        <f>AIL!B65</f>
        <v>1</v>
      </c>
      <c r="C71" s="69">
        <f>AIL!C65</f>
        <v>1</v>
      </c>
      <c r="D71" s="69">
        <f>AIL!D65</f>
        <v>0</v>
      </c>
      <c r="E71" s="69">
        <f>AIL!E65</f>
        <v>0</v>
      </c>
      <c r="F71" s="69">
        <f>AIL!F65</f>
        <v>0</v>
      </c>
      <c r="G71" s="69">
        <f>AIL!G65</f>
        <v>0</v>
      </c>
      <c r="H71" s="69">
        <f>AIL!H65</f>
        <v>0</v>
      </c>
      <c r="I71" s="69">
        <f>AIL!I65</f>
        <v>0</v>
      </c>
      <c r="J71" s="69">
        <f>AIL!J65</f>
        <v>1</v>
      </c>
      <c r="K71" s="69">
        <f>AIL!K65</f>
        <v>1</v>
      </c>
      <c r="L71" s="69">
        <f t="shared" si="17"/>
        <v>5</v>
      </c>
      <c r="M71" s="69">
        <f t="shared" si="18"/>
        <v>5</v>
      </c>
      <c r="N71" s="69">
        <f t="shared" si="19"/>
        <v>2</v>
      </c>
      <c r="O71" s="69">
        <f t="shared" si="20"/>
        <v>2</v>
      </c>
      <c r="P71" s="69">
        <f t="shared" si="21"/>
        <v>2</v>
      </c>
      <c r="Q71" s="69">
        <f t="shared" si="22"/>
        <v>2</v>
      </c>
      <c r="R71" s="70">
        <f t="shared" si="23"/>
        <v>0.40546510810816438</v>
      </c>
      <c r="S71" s="70">
        <f t="shared" si="24"/>
        <v>0.40546510810816438</v>
      </c>
      <c r="T71" s="70">
        <f t="shared" si="25"/>
        <v>0.42809402422670029</v>
      </c>
      <c r="U71" s="70">
        <f t="shared" si="26"/>
        <v>0.42809402422670029</v>
      </c>
      <c r="V71" s="70">
        <f t="shared" si="27"/>
        <v>0.91287092917527679</v>
      </c>
      <c r="W71" s="70">
        <f t="shared" si="28"/>
        <v>0.91287092917527679</v>
      </c>
      <c r="X71" s="70">
        <f t="shared" si="29"/>
        <v>0</v>
      </c>
      <c r="Y71" s="70">
        <f t="shared" si="30"/>
        <v>1.2909944487358056</v>
      </c>
      <c r="Z71" s="70">
        <f t="shared" si="31"/>
        <v>0</v>
      </c>
      <c r="AA71" s="69" t="str">
        <f t="shared" si="32"/>
        <v>Negligible</v>
      </c>
      <c r="AB71" s="69" t="str">
        <f t="shared" si="33"/>
        <v>Tidak Ada Indikasi Bias</v>
      </c>
    </row>
    <row r="72" spans="1:28" ht="75" x14ac:dyDescent="0.35">
      <c r="A72" s="71" t="str">
        <f>AIL!A66</f>
        <v>62. Sebuah organisasi pendidikan perlu melakukan evaluasi terhadap peserta didik dengan melakukan penilaian formatif dan sumatif. Bukti bahwa organisasi pendidikan telah melakukan penilaian formatif adalah …</v>
      </c>
      <c r="B72" s="69">
        <f>AIL!B66</f>
        <v>1</v>
      </c>
      <c r="C72" s="69">
        <f>AIL!C66</f>
        <v>1</v>
      </c>
      <c r="D72" s="69">
        <f>AIL!D66</f>
        <v>0</v>
      </c>
      <c r="E72" s="69">
        <f>AIL!E66</f>
        <v>0</v>
      </c>
      <c r="F72" s="69">
        <f>AIL!F66</f>
        <v>0</v>
      </c>
      <c r="G72" s="69">
        <f>AIL!G66</f>
        <v>0</v>
      </c>
      <c r="H72" s="69">
        <f>AIL!H66</f>
        <v>0</v>
      </c>
      <c r="I72" s="69">
        <f>AIL!I66</f>
        <v>0</v>
      </c>
      <c r="J72" s="69">
        <f>AIL!J66</f>
        <v>0</v>
      </c>
      <c r="K72" s="69">
        <f>AIL!K66</f>
        <v>0</v>
      </c>
      <c r="L72" s="69">
        <f t="shared" si="17"/>
        <v>5</v>
      </c>
      <c r="M72" s="69">
        <f t="shared" si="18"/>
        <v>5</v>
      </c>
      <c r="N72" s="69">
        <f t="shared" si="19"/>
        <v>1</v>
      </c>
      <c r="O72" s="69">
        <f t="shared" si="20"/>
        <v>1</v>
      </c>
      <c r="P72" s="69">
        <f t="shared" si="21"/>
        <v>1</v>
      </c>
      <c r="Q72" s="69">
        <f t="shared" si="22"/>
        <v>1</v>
      </c>
      <c r="R72" s="70">
        <f t="shared" si="23"/>
        <v>1.3862943611198906</v>
      </c>
      <c r="S72" s="70">
        <f t="shared" si="24"/>
        <v>1.3862943611198906</v>
      </c>
      <c r="T72" s="70">
        <f t="shared" si="25"/>
        <v>1.4089232772384264</v>
      </c>
      <c r="U72" s="70">
        <f t="shared" si="26"/>
        <v>1.4089232772384264</v>
      </c>
      <c r="V72" s="70">
        <f t="shared" si="27"/>
        <v>1.1180339887498949</v>
      </c>
      <c r="W72" s="70">
        <f t="shared" si="28"/>
        <v>1.1180339887498949</v>
      </c>
      <c r="X72" s="70">
        <f t="shared" si="29"/>
        <v>0</v>
      </c>
      <c r="Y72" s="70">
        <f t="shared" si="30"/>
        <v>1.5811388300841898</v>
      </c>
      <c r="Z72" s="70">
        <f t="shared" si="31"/>
        <v>0</v>
      </c>
      <c r="AA72" s="69" t="str">
        <f t="shared" si="32"/>
        <v>Negligible</v>
      </c>
      <c r="AB72" s="69" t="str">
        <f t="shared" si="33"/>
        <v>Tidak Ada Indikasi Bias</v>
      </c>
    </row>
    <row r="73" spans="1:28" ht="75" x14ac:dyDescent="0.35">
      <c r="A73" s="71" t="str">
        <f>AIL!A67</f>
        <v>63. Prasyarat layanan pendidikan salah satunya bisa diperoleh dari analisis kebutuhan peserta didik. Bentuk upaya analisis kebutuhan peserta didik berkebutuhan khusus adalah sebagai berikut, kecuali …</v>
      </c>
      <c r="B73" s="69">
        <f>AIL!B67</f>
        <v>1</v>
      </c>
      <c r="C73" s="69">
        <f>AIL!C67</f>
        <v>1</v>
      </c>
      <c r="D73" s="69">
        <f>AIL!D67</f>
        <v>1</v>
      </c>
      <c r="E73" s="69">
        <f>AIL!E67</f>
        <v>1</v>
      </c>
      <c r="F73" s="69">
        <f>AIL!F67</f>
        <v>0</v>
      </c>
      <c r="G73" s="69">
        <f>AIL!G67</f>
        <v>0</v>
      </c>
      <c r="H73" s="69">
        <f>AIL!H67</f>
        <v>1</v>
      </c>
      <c r="I73" s="69">
        <f>AIL!I67</f>
        <v>1</v>
      </c>
      <c r="J73" s="69">
        <f>AIL!J67</f>
        <v>1</v>
      </c>
      <c r="K73" s="69">
        <f>AIL!K67</f>
        <v>1</v>
      </c>
      <c r="L73" s="69">
        <f t="shared" si="17"/>
        <v>5</v>
      </c>
      <c r="M73" s="69">
        <f t="shared" si="18"/>
        <v>5</v>
      </c>
      <c r="N73" s="69">
        <f t="shared" si="19"/>
        <v>4</v>
      </c>
      <c r="O73" s="69">
        <f t="shared" si="20"/>
        <v>4</v>
      </c>
      <c r="P73" s="69">
        <f t="shared" si="21"/>
        <v>4</v>
      </c>
      <c r="Q73" s="69">
        <f t="shared" si="22"/>
        <v>4</v>
      </c>
      <c r="R73" s="70">
        <f t="shared" si="23"/>
        <v>-1.3862943611198906</v>
      </c>
      <c r="S73" s="70">
        <f t="shared" si="24"/>
        <v>-1.3862943611198906</v>
      </c>
      <c r="T73" s="70">
        <f t="shared" si="25"/>
        <v>-1.3636654450013548</v>
      </c>
      <c r="U73" s="70">
        <f t="shared" si="26"/>
        <v>-1.3636654450013548</v>
      </c>
      <c r="V73" s="70">
        <f t="shared" si="27"/>
        <v>1.1180339887498949</v>
      </c>
      <c r="W73" s="70">
        <f t="shared" si="28"/>
        <v>1.1180339887498949</v>
      </c>
      <c r="X73" s="70">
        <f t="shared" si="29"/>
        <v>0</v>
      </c>
      <c r="Y73" s="70">
        <f t="shared" si="30"/>
        <v>1.5811388300841898</v>
      </c>
      <c r="Z73" s="70">
        <f t="shared" si="31"/>
        <v>0</v>
      </c>
      <c r="AA73" s="69" t="str">
        <f t="shared" si="32"/>
        <v>Negligible</v>
      </c>
      <c r="AB73" s="69" t="str">
        <f t="shared" si="33"/>
        <v>Tidak Ada Indikasi Bias</v>
      </c>
    </row>
    <row r="74" spans="1:28" ht="75" x14ac:dyDescent="0.35">
      <c r="A74" s="71" t="str">
        <f>AIL!A68</f>
        <v>64. ISO 21001:2018 mensyaratkan bahwa organisasi pendidikan harus menunjukkan fleksibilitas dalam memenuhi kebutuhan dari peserta didik berkebutuhan khusus dengan pendekatan sebagai berikut, kecuali …</v>
      </c>
      <c r="B74" s="69">
        <f>AIL!B68</f>
        <v>1</v>
      </c>
      <c r="C74" s="69">
        <f>AIL!C68</f>
        <v>1</v>
      </c>
      <c r="D74" s="69">
        <f>AIL!D68</f>
        <v>1</v>
      </c>
      <c r="E74" s="69">
        <f>AIL!E68</f>
        <v>1</v>
      </c>
      <c r="F74" s="69">
        <f>AIL!F68</f>
        <v>0</v>
      </c>
      <c r="G74" s="69">
        <f>AIL!G68</f>
        <v>0</v>
      </c>
      <c r="H74" s="69">
        <f>AIL!H68</f>
        <v>0</v>
      </c>
      <c r="I74" s="69">
        <f>AIL!I68</f>
        <v>0</v>
      </c>
      <c r="J74" s="69">
        <f>AIL!J68</f>
        <v>0</v>
      </c>
      <c r="K74" s="69">
        <f>AIL!K68</f>
        <v>0</v>
      </c>
      <c r="L74" s="69">
        <f t="shared" si="17"/>
        <v>5</v>
      </c>
      <c r="M74" s="69">
        <f t="shared" si="18"/>
        <v>5</v>
      </c>
      <c r="N74" s="69">
        <f t="shared" si="19"/>
        <v>2</v>
      </c>
      <c r="O74" s="69">
        <f t="shared" si="20"/>
        <v>2</v>
      </c>
      <c r="P74" s="69">
        <f t="shared" si="21"/>
        <v>2</v>
      </c>
      <c r="Q74" s="69">
        <f t="shared" si="22"/>
        <v>2</v>
      </c>
      <c r="R74" s="70">
        <f t="shared" si="23"/>
        <v>0.40546510810816438</v>
      </c>
      <c r="S74" s="70">
        <f t="shared" si="24"/>
        <v>0.40546510810816438</v>
      </c>
      <c r="T74" s="70">
        <f t="shared" si="25"/>
        <v>0.42809402422670029</v>
      </c>
      <c r="U74" s="70">
        <f t="shared" si="26"/>
        <v>0.42809402422670029</v>
      </c>
      <c r="V74" s="70">
        <f t="shared" si="27"/>
        <v>0.91287092917527679</v>
      </c>
      <c r="W74" s="70">
        <f t="shared" si="28"/>
        <v>0.91287092917527679</v>
      </c>
      <c r="X74" s="70">
        <f t="shared" si="29"/>
        <v>0</v>
      </c>
      <c r="Y74" s="70">
        <f t="shared" si="30"/>
        <v>1.2909944487358056</v>
      </c>
      <c r="Z74" s="70">
        <f t="shared" si="31"/>
        <v>0</v>
      </c>
      <c r="AA74" s="69" t="str">
        <f t="shared" si="32"/>
        <v>Negligible</v>
      </c>
      <c r="AB74" s="69" t="str">
        <f t="shared" si="33"/>
        <v>Tidak Ada Indikasi Bias</v>
      </c>
    </row>
    <row r="75" spans="1:28" ht="87.5" x14ac:dyDescent="0.35">
      <c r="A75" s="71" t="str">
        <f>AIL!A69</f>
        <v>65. ISO 21001:2018 menharuskan organisasi pendidikan untuk mengkomunikasikan persyaratan terkait produk dan layanan pendidikan kepada pihak berkepentingan. Minimal informasi berikut harus dipahami oleh pihak berkepentingan, kecuali …</v>
      </c>
      <c r="B75" s="69">
        <f>AIL!B69</f>
        <v>1</v>
      </c>
      <c r="C75" s="69">
        <f>AIL!C69</f>
        <v>1</v>
      </c>
      <c r="D75" s="69">
        <f>AIL!D69</f>
        <v>1</v>
      </c>
      <c r="E75" s="69">
        <f>AIL!E69</f>
        <v>1</v>
      </c>
      <c r="F75" s="69">
        <f>AIL!F69</f>
        <v>0</v>
      </c>
      <c r="G75" s="69">
        <f>AIL!G69</f>
        <v>0</v>
      </c>
      <c r="H75" s="69">
        <f>AIL!H69</f>
        <v>0</v>
      </c>
      <c r="I75" s="69">
        <f>AIL!I69</f>
        <v>0</v>
      </c>
      <c r="J75" s="69">
        <f>AIL!J69</f>
        <v>1</v>
      </c>
      <c r="K75" s="69">
        <f>AIL!K69</f>
        <v>1</v>
      </c>
      <c r="L75" s="69">
        <f t="shared" ref="L75:L110" si="34">COUNTIF($B$8:$K$8,"Laki-Laki")</f>
        <v>5</v>
      </c>
      <c r="M75" s="69">
        <f t="shared" ref="M75:M110" si="35">COUNTIF($B$8:$K$8,"Perempuan")</f>
        <v>5</v>
      </c>
      <c r="N75" s="69">
        <f t="shared" ref="N75:N110" si="36">SUMIF($B$8:$K$8,"Laki-Laki",B75:K75)</f>
        <v>3</v>
      </c>
      <c r="O75" s="69">
        <f t="shared" ref="O75:O110" si="37">SUMIF($B$8:$K$8,"Perempuan",B75:K75)</f>
        <v>3</v>
      </c>
      <c r="P75" s="69">
        <f t="shared" ref="P75:P110" si="38">IF(N75=0,0.3,IF(N75=L75,L75-0.3,N75))</f>
        <v>3</v>
      </c>
      <c r="Q75" s="69">
        <f t="shared" ref="Q75:Q110" si="39">IF(O75=0,0.3,IF(O75=M75,M75-0.3,O75))</f>
        <v>3</v>
      </c>
      <c r="R75" s="70">
        <f t="shared" ref="R75:R110" si="40">LN((L75-P75)/P75)</f>
        <v>-0.40546510810816444</v>
      </c>
      <c r="S75" s="70">
        <f t="shared" ref="S75:S110" si="41">LN((M75-Q75)/Q75)</f>
        <v>-0.40546510810816444</v>
      </c>
      <c r="T75" s="70">
        <f t="shared" ref="T75:T110" si="42">R75-AVERAGE($R$11:$R$110)</f>
        <v>-0.38283619198962854</v>
      </c>
      <c r="U75" s="70">
        <f t="shared" ref="U75:U110" si="43">S75-AVERAGE($S$11:$S$110)</f>
        <v>-0.38283619198962854</v>
      </c>
      <c r="V75" s="70">
        <f t="shared" ref="V75:V110" si="44">SQRT(1/P75+1/(L75-P75))</f>
        <v>0.91287092917527679</v>
      </c>
      <c r="W75" s="70">
        <f t="shared" ref="W75:W110" si="45">SQRT(1/Q75+1/(M75-Q75))</f>
        <v>0.91287092917527679</v>
      </c>
      <c r="X75" s="70">
        <f t="shared" ref="X75:X110" si="46">T75-U75</f>
        <v>0</v>
      </c>
      <c r="Y75" s="70">
        <f t="shared" ref="Y75:Y110" si="47">SQRT(V75^2+W75^2)</f>
        <v>1.2909944487358056</v>
      </c>
      <c r="Z75" s="70">
        <f t="shared" ref="Z75:Z106" si="48">X75/Y75</f>
        <v>0</v>
      </c>
      <c r="AA75" s="69" t="str">
        <f t="shared" ref="AA75:AA106" si="49">IF(AND(ABS(X75)&gt;=$B$4,ABS(Z75)&gt;=$B$5),"DIF Besar - review",IF(AND(ABS(X75)&gt;=$B$3,ABS(Z75)&gt;=$B$5),"DIF Moderat - cek","Negligible"))</f>
        <v>Negligible</v>
      </c>
      <c r="AB75" s="69" t="str">
        <f t="shared" ref="AB75:AB110" si="50">IF(ABS(X75)&gt;=$B$4,"Berpotensi Bias - Tinjau Konten",IF(ABS(X75)&gt;=$B$3,"Indikasi Ringan - Pantau","Tidak Ada Indikasi Bias"))</f>
        <v>Tidak Ada Indikasi Bias</v>
      </c>
    </row>
    <row r="76" spans="1:28" ht="50" x14ac:dyDescent="0.35">
      <c r="A76" s="71" t="str">
        <f>AIL!A70</f>
        <v>66. Ketika terdapat perubahan terhadap persyaratan pada produk dan layanan, organisasi pendidikan harus memastikan …</v>
      </c>
      <c r="B76" s="69">
        <f>AIL!B70</f>
        <v>1</v>
      </c>
      <c r="C76" s="69">
        <f>AIL!C70</f>
        <v>1</v>
      </c>
      <c r="D76" s="69">
        <f>AIL!D70</f>
        <v>0</v>
      </c>
      <c r="E76" s="69">
        <f>AIL!E70</f>
        <v>0</v>
      </c>
      <c r="F76" s="69">
        <f>AIL!F70</f>
        <v>1</v>
      </c>
      <c r="G76" s="69">
        <f>AIL!G70</f>
        <v>1</v>
      </c>
      <c r="H76" s="69">
        <f>AIL!H70</f>
        <v>1</v>
      </c>
      <c r="I76" s="69">
        <f>AIL!I70</f>
        <v>1</v>
      </c>
      <c r="J76" s="69">
        <f>AIL!J70</f>
        <v>0</v>
      </c>
      <c r="K76" s="69">
        <f>AIL!K70</f>
        <v>0</v>
      </c>
      <c r="L76" s="69">
        <f t="shared" si="34"/>
        <v>5</v>
      </c>
      <c r="M76" s="69">
        <f t="shared" si="35"/>
        <v>5</v>
      </c>
      <c r="N76" s="69">
        <f t="shared" si="36"/>
        <v>3</v>
      </c>
      <c r="O76" s="69">
        <f t="shared" si="37"/>
        <v>3</v>
      </c>
      <c r="P76" s="69">
        <f t="shared" si="38"/>
        <v>3</v>
      </c>
      <c r="Q76" s="69">
        <f t="shared" si="39"/>
        <v>3</v>
      </c>
      <c r="R76" s="70">
        <f t="shared" si="40"/>
        <v>-0.40546510810816444</v>
      </c>
      <c r="S76" s="70">
        <f t="shared" si="41"/>
        <v>-0.40546510810816444</v>
      </c>
      <c r="T76" s="70">
        <f t="shared" si="42"/>
        <v>-0.38283619198962854</v>
      </c>
      <c r="U76" s="70">
        <f t="shared" si="43"/>
        <v>-0.38283619198962854</v>
      </c>
      <c r="V76" s="70">
        <f t="shared" si="44"/>
        <v>0.91287092917527679</v>
      </c>
      <c r="W76" s="70">
        <f t="shared" si="45"/>
        <v>0.91287092917527679</v>
      </c>
      <c r="X76" s="70">
        <f t="shared" si="46"/>
        <v>0</v>
      </c>
      <c r="Y76" s="70">
        <f t="shared" si="47"/>
        <v>1.2909944487358056</v>
      </c>
      <c r="Z76" s="70">
        <f t="shared" si="48"/>
        <v>0</v>
      </c>
      <c r="AA76" s="69" t="str">
        <f t="shared" si="49"/>
        <v>Negligible</v>
      </c>
      <c r="AB76" s="69" t="str">
        <f t="shared" si="50"/>
        <v>Tidak Ada Indikasi Bias</v>
      </c>
    </row>
    <row r="77" spans="1:28" ht="75" x14ac:dyDescent="0.35">
      <c r="A77" s="71" t="str">
        <f>AIL!A71</f>
        <v>67. Klausul 8 ISO 21001:2018 mensyaratkan organsiasi pendidikan untuk menentukan proses penerimaan peserta didik baru. Dalam menenyusun proses ini, organisasi pendidikan dapat mengacu pada klausul …</v>
      </c>
      <c r="B77" s="69">
        <f>AIL!B71</f>
        <v>1</v>
      </c>
      <c r="C77" s="69">
        <f>AIL!C71</f>
        <v>1</v>
      </c>
      <c r="D77" s="69">
        <f>AIL!D71</f>
        <v>1</v>
      </c>
      <c r="E77" s="69">
        <f>AIL!E71</f>
        <v>1</v>
      </c>
      <c r="F77" s="69">
        <f>AIL!F71</f>
        <v>1</v>
      </c>
      <c r="G77" s="69">
        <f>AIL!G71</f>
        <v>1</v>
      </c>
      <c r="H77" s="69">
        <f>AIL!H71</f>
        <v>0</v>
      </c>
      <c r="I77" s="69">
        <f>AIL!I71</f>
        <v>0</v>
      </c>
      <c r="J77" s="69">
        <f>AIL!J71</f>
        <v>1</v>
      </c>
      <c r="K77" s="69">
        <f>AIL!K71</f>
        <v>1</v>
      </c>
      <c r="L77" s="69">
        <f t="shared" si="34"/>
        <v>5</v>
      </c>
      <c r="M77" s="69">
        <f t="shared" si="35"/>
        <v>5</v>
      </c>
      <c r="N77" s="69">
        <f t="shared" si="36"/>
        <v>4</v>
      </c>
      <c r="O77" s="69">
        <f t="shared" si="37"/>
        <v>4</v>
      </c>
      <c r="P77" s="69">
        <f t="shared" si="38"/>
        <v>4</v>
      </c>
      <c r="Q77" s="69">
        <f t="shared" si="39"/>
        <v>4</v>
      </c>
      <c r="R77" s="70">
        <f t="shared" si="40"/>
        <v>-1.3862943611198906</v>
      </c>
      <c r="S77" s="70">
        <f t="shared" si="41"/>
        <v>-1.3862943611198906</v>
      </c>
      <c r="T77" s="70">
        <f t="shared" si="42"/>
        <v>-1.3636654450013548</v>
      </c>
      <c r="U77" s="70">
        <f t="shared" si="43"/>
        <v>-1.3636654450013548</v>
      </c>
      <c r="V77" s="70">
        <f t="shared" si="44"/>
        <v>1.1180339887498949</v>
      </c>
      <c r="W77" s="70">
        <f t="shared" si="45"/>
        <v>1.1180339887498949</v>
      </c>
      <c r="X77" s="70">
        <f t="shared" si="46"/>
        <v>0</v>
      </c>
      <c r="Y77" s="70">
        <f t="shared" si="47"/>
        <v>1.5811388300841898</v>
      </c>
      <c r="Z77" s="70">
        <f t="shared" si="48"/>
        <v>0</v>
      </c>
      <c r="AA77" s="69" t="str">
        <f t="shared" si="49"/>
        <v>Negligible</v>
      </c>
      <c r="AB77" s="69" t="str">
        <f t="shared" si="50"/>
        <v>Tidak Ada Indikasi Bias</v>
      </c>
    </row>
    <row r="78" spans="1:28" ht="37.5" x14ac:dyDescent="0.35">
      <c r="A78" s="71" t="str">
        <f>AIL!A72</f>
        <v>68. ISO 21001:2018 mensyaratkan organisasi pendidikan untuk memastikan identifikasi dan ketertelusuran dari …</v>
      </c>
      <c r="B78" s="69">
        <f>AIL!B72</f>
        <v>1</v>
      </c>
      <c r="C78" s="69">
        <f>AIL!C72</f>
        <v>1</v>
      </c>
      <c r="D78" s="69">
        <f>AIL!D72</f>
        <v>1</v>
      </c>
      <c r="E78" s="69">
        <f>AIL!E72</f>
        <v>1</v>
      </c>
      <c r="F78" s="69">
        <f>AIL!F72</f>
        <v>0</v>
      </c>
      <c r="G78" s="69">
        <f>AIL!G72</f>
        <v>0</v>
      </c>
      <c r="H78" s="69">
        <f>AIL!H72</f>
        <v>0</v>
      </c>
      <c r="I78" s="69">
        <f>AIL!I72</f>
        <v>0</v>
      </c>
      <c r="J78" s="69">
        <f>AIL!J72</f>
        <v>0</v>
      </c>
      <c r="K78" s="69">
        <f>AIL!K72</f>
        <v>0</v>
      </c>
      <c r="L78" s="69">
        <f t="shared" si="34"/>
        <v>5</v>
      </c>
      <c r="M78" s="69">
        <f t="shared" si="35"/>
        <v>5</v>
      </c>
      <c r="N78" s="69">
        <f t="shared" si="36"/>
        <v>2</v>
      </c>
      <c r="O78" s="69">
        <f t="shared" si="37"/>
        <v>2</v>
      </c>
      <c r="P78" s="69">
        <f t="shared" si="38"/>
        <v>2</v>
      </c>
      <c r="Q78" s="69">
        <f t="shared" si="39"/>
        <v>2</v>
      </c>
      <c r="R78" s="70">
        <f t="shared" si="40"/>
        <v>0.40546510810816438</v>
      </c>
      <c r="S78" s="70">
        <f t="shared" si="41"/>
        <v>0.40546510810816438</v>
      </c>
      <c r="T78" s="70">
        <f t="shared" si="42"/>
        <v>0.42809402422670029</v>
      </c>
      <c r="U78" s="70">
        <f t="shared" si="43"/>
        <v>0.42809402422670029</v>
      </c>
      <c r="V78" s="70">
        <f t="shared" si="44"/>
        <v>0.91287092917527679</v>
      </c>
      <c r="W78" s="70">
        <f t="shared" si="45"/>
        <v>0.91287092917527679</v>
      </c>
      <c r="X78" s="70">
        <f t="shared" si="46"/>
        <v>0</v>
      </c>
      <c r="Y78" s="70">
        <f t="shared" si="47"/>
        <v>1.2909944487358056</v>
      </c>
      <c r="Z78" s="70">
        <f t="shared" si="48"/>
        <v>0</v>
      </c>
      <c r="AA78" s="69" t="str">
        <f t="shared" si="49"/>
        <v>Negligible</v>
      </c>
      <c r="AB78" s="69" t="str">
        <f t="shared" si="50"/>
        <v>Tidak Ada Indikasi Bias</v>
      </c>
    </row>
    <row r="79" spans="1:28" ht="50" x14ac:dyDescent="0.35">
      <c r="A79" s="71" t="str">
        <f>AIL!A73</f>
        <v>69. Apa yang harus dilakukan oleh organisasi pendidikan apabila terjadi kehilangan atau kerusakan pada properti milik pihak berkepentingan?</v>
      </c>
      <c r="B79" s="69">
        <f>AIL!B73</f>
        <v>1</v>
      </c>
      <c r="C79" s="69">
        <f>AIL!C73</f>
        <v>1</v>
      </c>
      <c r="D79" s="69">
        <f>AIL!D73</f>
        <v>0</v>
      </c>
      <c r="E79" s="69">
        <f>AIL!E73</f>
        <v>0</v>
      </c>
      <c r="F79" s="69">
        <f>AIL!F73</f>
        <v>0</v>
      </c>
      <c r="G79" s="69">
        <f>AIL!G73</f>
        <v>0</v>
      </c>
      <c r="H79" s="69">
        <f>AIL!H73</f>
        <v>0</v>
      </c>
      <c r="I79" s="69">
        <f>AIL!I73</f>
        <v>0</v>
      </c>
      <c r="J79" s="69">
        <f>AIL!J73</f>
        <v>0</v>
      </c>
      <c r="K79" s="69">
        <f>AIL!K73</f>
        <v>0</v>
      </c>
      <c r="L79" s="69">
        <f t="shared" si="34"/>
        <v>5</v>
      </c>
      <c r="M79" s="69">
        <f t="shared" si="35"/>
        <v>5</v>
      </c>
      <c r="N79" s="69">
        <f t="shared" si="36"/>
        <v>1</v>
      </c>
      <c r="O79" s="69">
        <f t="shared" si="37"/>
        <v>1</v>
      </c>
      <c r="P79" s="69">
        <f t="shared" si="38"/>
        <v>1</v>
      </c>
      <c r="Q79" s="69">
        <f t="shared" si="39"/>
        <v>1</v>
      </c>
      <c r="R79" s="70">
        <f t="shared" si="40"/>
        <v>1.3862943611198906</v>
      </c>
      <c r="S79" s="70">
        <f t="shared" si="41"/>
        <v>1.3862943611198906</v>
      </c>
      <c r="T79" s="70">
        <f t="shared" si="42"/>
        <v>1.4089232772384264</v>
      </c>
      <c r="U79" s="70">
        <f t="shared" si="43"/>
        <v>1.4089232772384264</v>
      </c>
      <c r="V79" s="70">
        <f t="shared" si="44"/>
        <v>1.1180339887498949</v>
      </c>
      <c r="W79" s="70">
        <f t="shared" si="45"/>
        <v>1.1180339887498949</v>
      </c>
      <c r="X79" s="70">
        <f t="shared" si="46"/>
        <v>0</v>
      </c>
      <c r="Y79" s="70">
        <f t="shared" si="47"/>
        <v>1.5811388300841898</v>
      </c>
      <c r="Z79" s="70">
        <f t="shared" si="48"/>
        <v>0</v>
      </c>
      <c r="AA79" s="69" t="str">
        <f t="shared" si="49"/>
        <v>Negligible</v>
      </c>
      <c r="AB79" s="69" t="str">
        <f t="shared" si="50"/>
        <v>Tidak Ada Indikasi Bias</v>
      </c>
    </row>
    <row r="80" spans="1:28" ht="37.5" x14ac:dyDescent="0.35">
      <c r="A80" s="71" t="str">
        <f>AIL!A74</f>
        <v>70. Apa yang harus dilakukan oleh organisasi pendidikan ketika ada ketidaksesuaian?</v>
      </c>
      <c r="B80" s="69">
        <f>AIL!B74</f>
        <v>1</v>
      </c>
      <c r="C80" s="69">
        <f>AIL!C74</f>
        <v>1</v>
      </c>
      <c r="D80" s="69">
        <f>AIL!D74</f>
        <v>0</v>
      </c>
      <c r="E80" s="69">
        <f>AIL!E74</f>
        <v>0</v>
      </c>
      <c r="F80" s="69">
        <f>AIL!F74</f>
        <v>0</v>
      </c>
      <c r="G80" s="69">
        <f>AIL!G74</f>
        <v>0</v>
      </c>
      <c r="H80" s="69">
        <f>AIL!H74</f>
        <v>0</v>
      </c>
      <c r="I80" s="69">
        <f>AIL!I74</f>
        <v>0</v>
      </c>
      <c r="J80" s="69">
        <f>AIL!J74</f>
        <v>0</v>
      </c>
      <c r="K80" s="69">
        <f>AIL!K74</f>
        <v>0</v>
      </c>
      <c r="L80" s="69">
        <f t="shared" si="34"/>
        <v>5</v>
      </c>
      <c r="M80" s="69">
        <f t="shared" si="35"/>
        <v>5</v>
      </c>
      <c r="N80" s="69">
        <f t="shared" si="36"/>
        <v>1</v>
      </c>
      <c r="O80" s="69">
        <f t="shared" si="37"/>
        <v>1</v>
      </c>
      <c r="P80" s="69">
        <f t="shared" si="38"/>
        <v>1</v>
      </c>
      <c r="Q80" s="69">
        <f t="shared" si="39"/>
        <v>1</v>
      </c>
      <c r="R80" s="70">
        <f t="shared" si="40"/>
        <v>1.3862943611198906</v>
      </c>
      <c r="S80" s="70">
        <f t="shared" si="41"/>
        <v>1.3862943611198906</v>
      </c>
      <c r="T80" s="70">
        <f t="shared" si="42"/>
        <v>1.4089232772384264</v>
      </c>
      <c r="U80" s="70">
        <f t="shared" si="43"/>
        <v>1.4089232772384264</v>
      </c>
      <c r="V80" s="70">
        <f t="shared" si="44"/>
        <v>1.1180339887498949</v>
      </c>
      <c r="W80" s="70">
        <f t="shared" si="45"/>
        <v>1.1180339887498949</v>
      </c>
      <c r="X80" s="70">
        <f t="shared" si="46"/>
        <v>0</v>
      </c>
      <c r="Y80" s="70">
        <f t="shared" si="47"/>
        <v>1.5811388300841898</v>
      </c>
      <c r="Z80" s="70">
        <f t="shared" si="48"/>
        <v>0</v>
      </c>
      <c r="AA80" s="69" t="str">
        <f t="shared" si="49"/>
        <v>Negligible</v>
      </c>
      <c r="AB80" s="69" t="str">
        <f t="shared" si="50"/>
        <v>Tidak Ada Indikasi Bias</v>
      </c>
    </row>
    <row r="81" spans="1:28" ht="50" x14ac:dyDescent="0.35">
      <c r="A81" s="71" t="str">
        <f>AIL!A75</f>
        <v>71. Hal berikut harus dipastikan oleh organisasi pendidikan ketika melakukan kontrol terhadap produk dan layanan yang disediakan oleh pihak eksternal, kecuali …</v>
      </c>
      <c r="B81" s="69">
        <f>AIL!B75</f>
        <v>0</v>
      </c>
      <c r="C81" s="69">
        <f>AIL!C75</f>
        <v>0</v>
      </c>
      <c r="D81" s="69">
        <f>AIL!D75</f>
        <v>1</v>
      </c>
      <c r="E81" s="69">
        <f>AIL!E75</f>
        <v>1</v>
      </c>
      <c r="F81" s="69">
        <f>AIL!F75</f>
        <v>0</v>
      </c>
      <c r="G81" s="69">
        <f>AIL!G75</f>
        <v>0</v>
      </c>
      <c r="H81" s="69">
        <f>AIL!H75</f>
        <v>0</v>
      </c>
      <c r="I81" s="69">
        <f>AIL!I75</f>
        <v>0</v>
      </c>
      <c r="J81" s="69">
        <f>AIL!J75</f>
        <v>0</v>
      </c>
      <c r="K81" s="69">
        <f>AIL!K75</f>
        <v>0</v>
      </c>
      <c r="L81" s="69">
        <f t="shared" si="34"/>
        <v>5</v>
      </c>
      <c r="M81" s="69">
        <f t="shared" si="35"/>
        <v>5</v>
      </c>
      <c r="N81" s="69">
        <f t="shared" si="36"/>
        <v>1</v>
      </c>
      <c r="O81" s="69">
        <f t="shared" si="37"/>
        <v>1</v>
      </c>
      <c r="P81" s="69">
        <f t="shared" si="38"/>
        <v>1</v>
      </c>
      <c r="Q81" s="69">
        <f t="shared" si="39"/>
        <v>1</v>
      </c>
      <c r="R81" s="70">
        <f t="shared" si="40"/>
        <v>1.3862943611198906</v>
      </c>
      <c r="S81" s="70">
        <f t="shared" si="41"/>
        <v>1.3862943611198906</v>
      </c>
      <c r="T81" s="70">
        <f t="shared" si="42"/>
        <v>1.4089232772384264</v>
      </c>
      <c r="U81" s="70">
        <f t="shared" si="43"/>
        <v>1.4089232772384264</v>
      </c>
      <c r="V81" s="70">
        <f t="shared" si="44"/>
        <v>1.1180339887498949</v>
      </c>
      <c r="W81" s="70">
        <f t="shared" si="45"/>
        <v>1.1180339887498949</v>
      </c>
      <c r="X81" s="70">
        <f t="shared" si="46"/>
        <v>0</v>
      </c>
      <c r="Y81" s="70">
        <f t="shared" si="47"/>
        <v>1.5811388300841898</v>
      </c>
      <c r="Z81" s="70">
        <f t="shared" si="48"/>
        <v>0</v>
      </c>
      <c r="AA81" s="69" t="str">
        <f t="shared" si="49"/>
        <v>Negligible</v>
      </c>
      <c r="AB81" s="69" t="str">
        <f t="shared" si="50"/>
        <v>Tidak Ada Indikasi Bias</v>
      </c>
    </row>
    <row r="82" spans="1:28" ht="50" x14ac:dyDescent="0.35">
      <c r="A82" s="71" t="str">
        <f>AIL!A76</f>
        <v>72. Informasi berikut harus disampaikan kepada pihak eksternal ketika organisasi pendidikan ingin menggunakan produk dan layanannya.</v>
      </c>
      <c r="B82" s="69">
        <f>AIL!B76</f>
        <v>1</v>
      </c>
      <c r="C82" s="69">
        <f>AIL!C76</f>
        <v>1</v>
      </c>
      <c r="D82" s="69">
        <f>AIL!D76</f>
        <v>1</v>
      </c>
      <c r="E82" s="69">
        <f>AIL!E76</f>
        <v>1</v>
      </c>
      <c r="F82" s="69">
        <f>AIL!F76</f>
        <v>0</v>
      </c>
      <c r="G82" s="69">
        <f>AIL!G76</f>
        <v>0</v>
      </c>
      <c r="H82" s="69">
        <f>AIL!H76</f>
        <v>1</v>
      </c>
      <c r="I82" s="69">
        <f>AIL!I76</f>
        <v>1</v>
      </c>
      <c r="J82" s="69">
        <f>AIL!J76</f>
        <v>0</v>
      </c>
      <c r="K82" s="69">
        <f>AIL!K76</f>
        <v>0</v>
      </c>
      <c r="L82" s="69">
        <f t="shared" si="34"/>
        <v>5</v>
      </c>
      <c r="M82" s="69">
        <f t="shared" si="35"/>
        <v>5</v>
      </c>
      <c r="N82" s="69">
        <f t="shared" si="36"/>
        <v>3</v>
      </c>
      <c r="O82" s="69">
        <f t="shared" si="37"/>
        <v>3</v>
      </c>
      <c r="P82" s="69">
        <f t="shared" si="38"/>
        <v>3</v>
      </c>
      <c r="Q82" s="69">
        <f t="shared" si="39"/>
        <v>3</v>
      </c>
      <c r="R82" s="70">
        <f t="shared" si="40"/>
        <v>-0.40546510810816444</v>
      </c>
      <c r="S82" s="70">
        <f t="shared" si="41"/>
        <v>-0.40546510810816444</v>
      </c>
      <c r="T82" s="70">
        <f t="shared" si="42"/>
        <v>-0.38283619198962854</v>
      </c>
      <c r="U82" s="70">
        <f t="shared" si="43"/>
        <v>-0.38283619198962854</v>
      </c>
      <c r="V82" s="70">
        <f t="shared" si="44"/>
        <v>0.91287092917527679</v>
      </c>
      <c r="W82" s="70">
        <f t="shared" si="45"/>
        <v>0.91287092917527679</v>
      </c>
      <c r="X82" s="70">
        <f t="shared" si="46"/>
        <v>0</v>
      </c>
      <c r="Y82" s="70">
        <f t="shared" si="47"/>
        <v>1.2909944487358056</v>
      </c>
      <c r="Z82" s="70">
        <f t="shared" si="48"/>
        <v>0</v>
      </c>
      <c r="AA82" s="69" t="str">
        <f t="shared" si="49"/>
        <v>Negligible</v>
      </c>
      <c r="AB82" s="69" t="str">
        <f t="shared" si="50"/>
        <v>Tidak Ada Indikasi Bias</v>
      </c>
    </row>
    <row r="83" spans="1:28" ht="25" x14ac:dyDescent="0.35">
      <c r="A83" s="71" t="str">
        <f>AIL!A77</f>
        <v>73. Tujuan dilakukan penelitian pada organisasi pendidikan tinggi adalah …</v>
      </c>
      <c r="B83" s="69">
        <f>AIL!B77</f>
        <v>0</v>
      </c>
      <c r="C83" s="69">
        <f>AIL!C77</f>
        <v>0</v>
      </c>
      <c r="D83" s="69">
        <f>AIL!D77</f>
        <v>1</v>
      </c>
      <c r="E83" s="69">
        <f>AIL!E77</f>
        <v>1</v>
      </c>
      <c r="F83" s="69">
        <f>AIL!F77</f>
        <v>0</v>
      </c>
      <c r="G83" s="69">
        <f>AIL!G77</f>
        <v>0</v>
      </c>
      <c r="H83" s="69">
        <f>AIL!H77</f>
        <v>0</v>
      </c>
      <c r="I83" s="69">
        <f>AIL!I77</f>
        <v>0</v>
      </c>
      <c r="J83" s="69">
        <f>AIL!J77</f>
        <v>0</v>
      </c>
      <c r="K83" s="69">
        <f>AIL!K77</f>
        <v>0</v>
      </c>
      <c r="L83" s="69">
        <f t="shared" si="34"/>
        <v>5</v>
      </c>
      <c r="M83" s="69">
        <f t="shared" si="35"/>
        <v>5</v>
      </c>
      <c r="N83" s="69">
        <f t="shared" si="36"/>
        <v>1</v>
      </c>
      <c r="O83" s="69">
        <f t="shared" si="37"/>
        <v>1</v>
      </c>
      <c r="P83" s="69">
        <f t="shared" si="38"/>
        <v>1</v>
      </c>
      <c r="Q83" s="69">
        <f t="shared" si="39"/>
        <v>1</v>
      </c>
      <c r="R83" s="70">
        <f t="shared" si="40"/>
        <v>1.3862943611198906</v>
      </c>
      <c r="S83" s="70">
        <f t="shared" si="41"/>
        <v>1.3862943611198906</v>
      </c>
      <c r="T83" s="70">
        <f t="shared" si="42"/>
        <v>1.4089232772384264</v>
      </c>
      <c r="U83" s="70">
        <f t="shared" si="43"/>
        <v>1.4089232772384264</v>
      </c>
      <c r="V83" s="70">
        <f t="shared" si="44"/>
        <v>1.1180339887498949</v>
      </c>
      <c r="W83" s="70">
        <f t="shared" si="45"/>
        <v>1.1180339887498949</v>
      </c>
      <c r="X83" s="70">
        <f t="shared" si="46"/>
        <v>0</v>
      </c>
      <c r="Y83" s="70">
        <f t="shared" si="47"/>
        <v>1.5811388300841898</v>
      </c>
      <c r="Z83" s="70">
        <f t="shared" si="48"/>
        <v>0</v>
      </c>
      <c r="AA83" s="69" t="str">
        <f t="shared" si="49"/>
        <v>Negligible</v>
      </c>
      <c r="AB83" s="69" t="str">
        <f t="shared" si="50"/>
        <v>Tidak Ada Indikasi Bias</v>
      </c>
    </row>
    <row r="84" spans="1:28" ht="25" x14ac:dyDescent="0.35">
      <c r="A84" s="71" t="str">
        <f>AIL!A78</f>
        <v>74. Input dari pelaksanaan penelitian pada organisasi pendidikan tinggi adalah …</v>
      </c>
      <c r="B84" s="69">
        <f>AIL!B78</f>
        <v>0</v>
      </c>
      <c r="C84" s="69">
        <f>AIL!C78</f>
        <v>0</v>
      </c>
      <c r="D84" s="69">
        <f>AIL!D78</f>
        <v>1</v>
      </c>
      <c r="E84" s="69">
        <f>AIL!E78</f>
        <v>1</v>
      </c>
      <c r="F84" s="69">
        <f>AIL!F78</f>
        <v>1</v>
      </c>
      <c r="G84" s="69">
        <f>AIL!G78</f>
        <v>1</v>
      </c>
      <c r="H84" s="69">
        <f>AIL!H78</f>
        <v>1</v>
      </c>
      <c r="I84" s="69">
        <f>AIL!I78</f>
        <v>1</v>
      </c>
      <c r="J84" s="69">
        <f>AIL!J78</f>
        <v>1</v>
      </c>
      <c r="K84" s="69">
        <f>AIL!K78</f>
        <v>1</v>
      </c>
      <c r="L84" s="69">
        <f t="shared" si="34"/>
        <v>5</v>
      </c>
      <c r="M84" s="69">
        <f t="shared" si="35"/>
        <v>5</v>
      </c>
      <c r="N84" s="69">
        <f t="shared" si="36"/>
        <v>4</v>
      </c>
      <c r="O84" s="69">
        <f t="shared" si="37"/>
        <v>4</v>
      </c>
      <c r="P84" s="69">
        <f t="shared" si="38"/>
        <v>4</v>
      </c>
      <c r="Q84" s="69">
        <f t="shared" si="39"/>
        <v>4</v>
      </c>
      <c r="R84" s="70">
        <f t="shared" si="40"/>
        <v>-1.3862943611198906</v>
      </c>
      <c r="S84" s="70">
        <f t="shared" si="41"/>
        <v>-1.3862943611198906</v>
      </c>
      <c r="T84" s="70">
        <f t="shared" si="42"/>
        <v>-1.3636654450013548</v>
      </c>
      <c r="U84" s="70">
        <f t="shared" si="43"/>
        <v>-1.3636654450013548</v>
      </c>
      <c r="V84" s="70">
        <f t="shared" si="44"/>
        <v>1.1180339887498949</v>
      </c>
      <c r="W84" s="70">
        <f t="shared" si="45"/>
        <v>1.1180339887498949</v>
      </c>
      <c r="X84" s="70">
        <f t="shared" si="46"/>
        <v>0</v>
      </c>
      <c r="Y84" s="70">
        <f t="shared" si="47"/>
        <v>1.5811388300841898</v>
      </c>
      <c r="Z84" s="70">
        <f t="shared" si="48"/>
        <v>0</v>
      </c>
      <c r="AA84" s="69" t="str">
        <f t="shared" si="49"/>
        <v>Negligible</v>
      </c>
      <c r="AB84" s="69" t="str">
        <f t="shared" si="50"/>
        <v>Tidak Ada Indikasi Bias</v>
      </c>
    </row>
    <row r="85" spans="1:28" ht="62.5" x14ac:dyDescent="0.35">
      <c r="A85" s="71" t="str">
        <f>AIL!A79</f>
        <v>75. Organisasi pendidikan diharuskan untuk dapat menangani apabila terjadi komplain. ISO yang dapat digunakan sebagai acuan penanganan komplain adalah …</v>
      </c>
      <c r="B85" s="69">
        <f>AIL!B79</f>
        <v>1</v>
      </c>
      <c r="C85" s="69">
        <f>AIL!C79</f>
        <v>1</v>
      </c>
      <c r="D85" s="69">
        <f>AIL!D79</f>
        <v>1</v>
      </c>
      <c r="E85" s="69">
        <f>AIL!E79</f>
        <v>1</v>
      </c>
      <c r="F85" s="69">
        <f>AIL!F79</f>
        <v>0</v>
      </c>
      <c r="G85" s="69">
        <f>AIL!G79</f>
        <v>0</v>
      </c>
      <c r="H85" s="69">
        <f>AIL!H79</f>
        <v>1</v>
      </c>
      <c r="I85" s="69">
        <f>AIL!I79</f>
        <v>1</v>
      </c>
      <c r="J85" s="69">
        <f>AIL!J79</f>
        <v>0</v>
      </c>
      <c r="K85" s="69">
        <f>AIL!K79</f>
        <v>0</v>
      </c>
      <c r="L85" s="69">
        <f t="shared" si="34"/>
        <v>5</v>
      </c>
      <c r="M85" s="69">
        <f t="shared" si="35"/>
        <v>5</v>
      </c>
      <c r="N85" s="69">
        <f t="shared" si="36"/>
        <v>3</v>
      </c>
      <c r="O85" s="69">
        <f t="shared" si="37"/>
        <v>3</v>
      </c>
      <c r="P85" s="69">
        <f t="shared" si="38"/>
        <v>3</v>
      </c>
      <c r="Q85" s="69">
        <f t="shared" si="39"/>
        <v>3</v>
      </c>
      <c r="R85" s="70">
        <f t="shared" si="40"/>
        <v>-0.40546510810816444</v>
      </c>
      <c r="S85" s="70">
        <f t="shared" si="41"/>
        <v>-0.40546510810816444</v>
      </c>
      <c r="T85" s="70">
        <f t="shared" si="42"/>
        <v>-0.38283619198962854</v>
      </c>
      <c r="U85" s="70">
        <f t="shared" si="43"/>
        <v>-0.38283619198962854</v>
      </c>
      <c r="V85" s="70">
        <f t="shared" si="44"/>
        <v>0.91287092917527679</v>
      </c>
      <c r="W85" s="70">
        <f t="shared" si="45"/>
        <v>0.91287092917527679</v>
      </c>
      <c r="X85" s="70">
        <f t="shared" si="46"/>
        <v>0</v>
      </c>
      <c r="Y85" s="70">
        <f t="shared" si="47"/>
        <v>1.2909944487358056</v>
      </c>
      <c r="Z85" s="70">
        <f t="shared" si="48"/>
        <v>0</v>
      </c>
      <c r="AA85" s="69" t="str">
        <f t="shared" si="49"/>
        <v>Negligible</v>
      </c>
      <c r="AB85" s="69" t="str">
        <f t="shared" si="50"/>
        <v>Tidak Ada Indikasi Bias</v>
      </c>
    </row>
    <row r="86" spans="1:28" ht="75" x14ac:dyDescent="0.35">
      <c r="A86" s="71" t="str">
        <f>AIL!A80</f>
        <v>76. Organisasi pendidikan harus menentukan proses apa saja yang perlu dievaluasi. ISO 21001:2018 menyediakan daftar proses yang terdapat dalam organisasi pendidikan yang disediakan dalam lampiran E nomor …</v>
      </c>
      <c r="B86" s="69">
        <f>AIL!B80</f>
        <v>0</v>
      </c>
      <c r="C86" s="69">
        <f>AIL!C80</f>
        <v>0</v>
      </c>
      <c r="D86" s="69">
        <f>AIL!D80</f>
        <v>1</v>
      </c>
      <c r="E86" s="69">
        <f>AIL!E80</f>
        <v>1</v>
      </c>
      <c r="F86" s="69">
        <f>AIL!F80</f>
        <v>0</v>
      </c>
      <c r="G86" s="69">
        <f>AIL!G80</f>
        <v>0</v>
      </c>
      <c r="H86" s="69">
        <f>AIL!H80</f>
        <v>0</v>
      </c>
      <c r="I86" s="69">
        <f>AIL!I80</f>
        <v>0</v>
      </c>
      <c r="J86" s="69">
        <f>AIL!J80</f>
        <v>1</v>
      </c>
      <c r="K86" s="69">
        <f>AIL!K80</f>
        <v>1</v>
      </c>
      <c r="L86" s="69">
        <f t="shared" si="34"/>
        <v>5</v>
      </c>
      <c r="M86" s="69">
        <f t="shared" si="35"/>
        <v>5</v>
      </c>
      <c r="N86" s="69">
        <f t="shared" si="36"/>
        <v>2</v>
      </c>
      <c r="O86" s="69">
        <f t="shared" si="37"/>
        <v>2</v>
      </c>
      <c r="P86" s="69">
        <f t="shared" si="38"/>
        <v>2</v>
      </c>
      <c r="Q86" s="69">
        <f t="shared" si="39"/>
        <v>2</v>
      </c>
      <c r="R86" s="70">
        <f t="shared" si="40"/>
        <v>0.40546510810816438</v>
      </c>
      <c r="S86" s="70">
        <f t="shared" si="41"/>
        <v>0.40546510810816438</v>
      </c>
      <c r="T86" s="70">
        <f t="shared" si="42"/>
        <v>0.42809402422670029</v>
      </c>
      <c r="U86" s="70">
        <f t="shared" si="43"/>
        <v>0.42809402422670029</v>
      </c>
      <c r="V86" s="70">
        <f t="shared" si="44"/>
        <v>0.91287092917527679</v>
      </c>
      <c r="W86" s="70">
        <f t="shared" si="45"/>
        <v>0.91287092917527679</v>
      </c>
      <c r="X86" s="70">
        <f t="shared" si="46"/>
        <v>0</v>
      </c>
      <c r="Y86" s="70">
        <f t="shared" si="47"/>
        <v>1.2909944487358056</v>
      </c>
      <c r="Z86" s="70">
        <f t="shared" si="48"/>
        <v>0</v>
      </c>
      <c r="AA86" s="69" t="str">
        <f t="shared" si="49"/>
        <v>Negligible</v>
      </c>
      <c r="AB86" s="69" t="str">
        <f t="shared" si="50"/>
        <v>Tidak Ada Indikasi Bias</v>
      </c>
    </row>
    <row r="87" spans="1:28" ht="37.5" x14ac:dyDescent="0.35">
      <c r="A87" s="71" t="str">
        <f>AIL!A81</f>
        <v>77. ISO 21001:2018 menyediakan daftar tools yang dapat digunakan untuk evaluasi pada lampiran E nomor …</v>
      </c>
      <c r="B87" s="69">
        <f>AIL!B81</f>
        <v>1</v>
      </c>
      <c r="C87" s="69">
        <f>AIL!C81</f>
        <v>1</v>
      </c>
      <c r="D87" s="69">
        <f>AIL!D81</f>
        <v>0</v>
      </c>
      <c r="E87" s="69">
        <f>AIL!E81</f>
        <v>0</v>
      </c>
      <c r="F87" s="69">
        <f>AIL!F81</f>
        <v>0</v>
      </c>
      <c r="G87" s="69">
        <f>AIL!G81</f>
        <v>0</v>
      </c>
      <c r="H87" s="69">
        <f>AIL!H81</f>
        <v>0</v>
      </c>
      <c r="I87" s="69">
        <f>AIL!I81</f>
        <v>0</v>
      </c>
      <c r="J87" s="69">
        <f>AIL!J81</f>
        <v>1</v>
      </c>
      <c r="K87" s="69">
        <f>AIL!K81</f>
        <v>1</v>
      </c>
      <c r="L87" s="69">
        <f t="shared" si="34"/>
        <v>5</v>
      </c>
      <c r="M87" s="69">
        <f t="shared" si="35"/>
        <v>5</v>
      </c>
      <c r="N87" s="69">
        <f t="shared" si="36"/>
        <v>2</v>
      </c>
      <c r="O87" s="69">
        <f t="shared" si="37"/>
        <v>2</v>
      </c>
      <c r="P87" s="69">
        <f t="shared" si="38"/>
        <v>2</v>
      </c>
      <c r="Q87" s="69">
        <f t="shared" si="39"/>
        <v>2</v>
      </c>
      <c r="R87" s="70">
        <f t="shared" si="40"/>
        <v>0.40546510810816438</v>
      </c>
      <c r="S87" s="70">
        <f t="shared" si="41"/>
        <v>0.40546510810816438</v>
      </c>
      <c r="T87" s="70">
        <f t="shared" si="42"/>
        <v>0.42809402422670029</v>
      </c>
      <c r="U87" s="70">
        <f t="shared" si="43"/>
        <v>0.42809402422670029</v>
      </c>
      <c r="V87" s="70">
        <f t="shared" si="44"/>
        <v>0.91287092917527679</v>
      </c>
      <c r="W87" s="70">
        <f t="shared" si="45"/>
        <v>0.91287092917527679</v>
      </c>
      <c r="X87" s="70">
        <f t="shared" si="46"/>
        <v>0</v>
      </c>
      <c r="Y87" s="70">
        <f t="shared" si="47"/>
        <v>1.2909944487358056</v>
      </c>
      <c r="Z87" s="70">
        <f t="shared" si="48"/>
        <v>0</v>
      </c>
      <c r="AA87" s="69" t="str">
        <f t="shared" si="49"/>
        <v>Negligible</v>
      </c>
      <c r="AB87" s="69" t="str">
        <f t="shared" si="50"/>
        <v>Tidak Ada Indikasi Bias</v>
      </c>
    </row>
    <row r="88" spans="1:28" ht="62.5" x14ac:dyDescent="0.35">
      <c r="A88" s="71" t="str">
        <f>AIL!A82</f>
        <v>78. Apabila organisasi pendidikan ingin memperoleh feed back lengkap terkait tingkat kepuasan melalui diskusi dengan pihak berkepentingan, maka tools apa yang lebih tepat diterapkan?</v>
      </c>
      <c r="B88" s="69">
        <f>AIL!B82</f>
        <v>1</v>
      </c>
      <c r="C88" s="69">
        <f>AIL!C82</f>
        <v>1</v>
      </c>
      <c r="D88" s="69">
        <f>AIL!D82</f>
        <v>1</v>
      </c>
      <c r="E88" s="69">
        <f>AIL!E82</f>
        <v>1</v>
      </c>
      <c r="F88" s="69">
        <f>AIL!F82</f>
        <v>0</v>
      </c>
      <c r="G88" s="69">
        <f>AIL!G82</f>
        <v>0</v>
      </c>
      <c r="H88" s="69">
        <f>AIL!H82</f>
        <v>0</v>
      </c>
      <c r="I88" s="69">
        <f>AIL!I82</f>
        <v>0</v>
      </c>
      <c r="J88" s="69">
        <f>AIL!J82</f>
        <v>1</v>
      </c>
      <c r="K88" s="69">
        <f>AIL!K82</f>
        <v>1</v>
      </c>
      <c r="L88" s="69">
        <f t="shared" si="34"/>
        <v>5</v>
      </c>
      <c r="M88" s="69">
        <f t="shared" si="35"/>
        <v>5</v>
      </c>
      <c r="N88" s="69">
        <f t="shared" si="36"/>
        <v>3</v>
      </c>
      <c r="O88" s="69">
        <f t="shared" si="37"/>
        <v>3</v>
      </c>
      <c r="P88" s="69">
        <f t="shared" si="38"/>
        <v>3</v>
      </c>
      <c r="Q88" s="69">
        <f t="shared" si="39"/>
        <v>3</v>
      </c>
      <c r="R88" s="70">
        <f t="shared" si="40"/>
        <v>-0.40546510810816444</v>
      </c>
      <c r="S88" s="70">
        <f t="shared" si="41"/>
        <v>-0.40546510810816444</v>
      </c>
      <c r="T88" s="70">
        <f t="shared" si="42"/>
        <v>-0.38283619198962854</v>
      </c>
      <c r="U88" s="70">
        <f t="shared" si="43"/>
        <v>-0.38283619198962854</v>
      </c>
      <c r="V88" s="70">
        <f t="shared" si="44"/>
        <v>0.91287092917527679</v>
      </c>
      <c r="W88" s="70">
        <f t="shared" si="45"/>
        <v>0.91287092917527679</v>
      </c>
      <c r="X88" s="70">
        <f t="shared" si="46"/>
        <v>0</v>
      </c>
      <c r="Y88" s="70">
        <f t="shared" si="47"/>
        <v>1.2909944487358056</v>
      </c>
      <c r="Z88" s="70">
        <f t="shared" si="48"/>
        <v>0</v>
      </c>
      <c r="AA88" s="69" t="str">
        <f t="shared" si="49"/>
        <v>Negligible</v>
      </c>
      <c r="AB88" s="69" t="str">
        <f t="shared" si="50"/>
        <v>Tidak Ada Indikasi Bias</v>
      </c>
    </row>
    <row r="89" spans="1:28" ht="25" x14ac:dyDescent="0.35">
      <c r="A89" s="71" t="str">
        <f>AIL!A83</f>
        <v>79. Apakah seorang auditor internal boleh mengaudit departemennya sendiri?</v>
      </c>
      <c r="B89" s="69">
        <f>AIL!B83</f>
        <v>1</v>
      </c>
      <c r="C89" s="69">
        <f>AIL!C83</f>
        <v>1</v>
      </c>
      <c r="D89" s="69">
        <f>AIL!D83</f>
        <v>1</v>
      </c>
      <c r="E89" s="69">
        <f>AIL!E83</f>
        <v>1</v>
      </c>
      <c r="F89" s="69">
        <f>AIL!F83</f>
        <v>0</v>
      </c>
      <c r="G89" s="69">
        <f>AIL!G83</f>
        <v>0</v>
      </c>
      <c r="H89" s="69">
        <f>AIL!H83</f>
        <v>0</v>
      </c>
      <c r="I89" s="69">
        <f>AIL!I83</f>
        <v>0</v>
      </c>
      <c r="J89" s="69">
        <f>AIL!J83</f>
        <v>0</v>
      </c>
      <c r="K89" s="69">
        <f>AIL!K83</f>
        <v>0</v>
      </c>
      <c r="L89" s="69">
        <f t="shared" si="34"/>
        <v>5</v>
      </c>
      <c r="M89" s="69">
        <f t="shared" si="35"/>
        <v>5</v>
      </c>
      <c r="N89" s="69">
        <f t="shared" si="36"/>
        <v>2</v>
      </c>
      <c r="O89" s="69">
        <f t="shared" si="37"/>
        <v>2</v>
      </c>
      <c r="P89" s="69">
        <f t="shared" si="38"/>
        <v>2</v>
      </c>
      <c r="Q89" s="69">
        <f t="shared" si="39"/>
        <v>2</v>
      </c>
      <c r="R89" s="70">
        <f t="shared" si="40"/>
        <v>0.40546510810816438</v>
      </c>
      <c r="S89" s="70">
        <f t="shared" si="41"/>
        <v>0.40546510810816438</v>
      </c>
      <c r="T89" s="70">
        <f t="shared" si="42"/>
        <v>0.42809402422670029</v>
      </c>
      <c r="U89" s="70">
        <f t="shared" si="43"/>
        <v>0.42809402422670029</v>
      </c>
      <c r="V89" s="70">
        <f t="shared" si="44"/>
        <v>0.91287092917527679</v>
      </c>
      <c r="W89" s="70">
        <f t="shared" si="45"/>
        <v>0.91287092917527679</v>
      </c>
      <c r="X89" s="70">
        <f t="shared" si="46"/>
        <v>0</v>
      </c>
      <c r="Y89" s="70">
        <f t="shared" si="47"/>
        <v>1.2909944487358056</v>
      </c>
      <c r="Z89" s="70">
        <f t="shared" si="48"/>
        <v>0</v>
      </c>
      <c r="AA89" s="69" t="str">
        <f t="shared" si="49"/>
        <v>Negligible</v>
      </c>
      <c r="AB89" s="69" t="str">
        <f t="shared" si="50"/>
        <v>Tidak Ada Indikasi Bias</v>
      </c>
    </row>
    <row r="90" spans="1:28" ht="37.5" x14ac:dyDescent="0.35">
      <c r="A90" s="71" t="str">
        <f>AIL!A84</f>
        <v>80. Dalam menentukan auditor internal, organisasi pendidikan harus dapat menjamin adanya …</v>
      </c>
      <c r="B90" s="69">
        <f>AIL!B84</f>
        <v>0</v>
      </c>
      <c r="C90" s="69">
        <f>AIL!C84</f>
        <v>0</v>
      </c>
      <c r="D90" s="69">
        <f>AIL!D84</f>
        <v>1</v>
      </c>
      <c r="E90" s="69">
        <f>AIL!E84</f>
        <v>1</v>
      </c>
      <c r="F90" s="69">
        <f>AIL!F84</f>
        <v>0</v>
      </c>
      <c r="G90" s="69">
        <f>AIL!G84</f>
        <v>0</v>
      </c>
      <c r="H90" s="69">
        <f>AIL!H84</f>
        <v>0</v>
      </c>
      <c r="I90" s="69">
        <f>AIL!I84</f>
        <v>0</v>
      </c>
      <c r="J90" s="69">
        <f>AIL!J84</f>
        <v>0</v>
      </c>
      <c r="K90" s="69">
        <f>AIL!K84</f>
        <v>0</v>
      </c>
      <c r="L90" s="69">
        <f t="shared" si="34"/>
        <v>5</v>
      </c>
      <c r="M90" s="69">
        <f t="shared" si="35"/>
        <v>5</v>
      </c>
      <c r="N90" s="69">
        <f t="shared" si="36"/>
        <v>1</v>
      </c>
      <c r="O90" s="69">
        <f t="shared" si="37"/>
        <v>1</v>
      </c>
      <c r="P90" s="69">
        <f t="shared" si="38"/>
        <v>1</v>
      </c>
      <c r="Q90" s="69">
        <f t="shared" si="39"/>
        <v>1</v>
      </c>
      <c r="R90" s="70">
        <f t="shared" si="40"/>
        <v>1.3862943611198906</v>
      </c>
      <c r="S90" s="70">
        <f t="shared" si="41"/>
        <v>1.3862943611198906</v>
      </c>
      <c r="T90" s="70">
        <f t="shared" si="42"/>
        <v>1.4089232772384264</v>
      </c>
      <c r="U90" s="70">
        <f t="shared" si="43"/>
        <v>1.4089232772384264</v>
      </c>
      <c r="V90" s="70">
        <f t="shared" si="44"/>
        <v>1.1180339887498949</v>
      </c>
      <c r="W90" s="70">
        <f t="shared" si="45"/>
        <v>1.1180339887498949</v>
      </c>
      <c r="X90" s="70">
        <f t="shared" si="46"/>
        <v>0</v>
      </c>
      <c r="Y90" s="70">
        <f t="shared" si="47"/>
        <v>1.5811388300841898</v>
      </c>
      <c r="Z90" s="70">
        <f t="shared" si="48"/>
        <v>0</v>
      </c>
      <c r="AA90" s="69" t="str">
        <f t="shared" si="49"/>
        <v>Negligible</v>
      </c>
      <c r="AB90" s="69" t="str">
        <f t="shared" si="50"/>
        <v>Tidak Ada Indikasi Bias</v>
      </c>
    </row>
    <row r="91" spans="1:28" ht="37.5" customHeight="1" x14ac:dyDescent="0.35">
      <c r="A91" s="71" t="str">
        <f>AIL!A85</f>
        <v>81. Dalam melaksanakan kegiatan audit, organisasi pendidikan dapat mengacu pada …</v>
      </c>
      <c r="B91" s="69">
        <f>AIL!B85</f>
        <v>1</v>
      </c>
      <c r="C91" s="69">
        <f>AIL!C85</f>
        <v>1</v>
      </c>
      <c r="D91" s="69">
        <f>AIL!D85</f>
        <v>1</v>
      </c>
      <c r="E91" s="69">
        <f>AIL!E85</f>
        <v>1</v>
      </c>
      <c r="F91" s="69">
        <f>AIL!F85</f>
        <v>0</v>
      </c>
      <c r="G91" s="69">
        <f>AIL!G85</f>
        <v>0</v>
      </c>
      <c r="H91" s="69">
        <f>AIL!H85</f>
        <v>0</v>
      </c>
      <c r="I91" s="69">
        <f>AIL!I85</f>
        <v>0</v>
      </c>
      <c r="J91" s="69">
        <f>AIL!J85</f>
        <v>0</v>
      </c>
      <c r="K91" s="69">
        <f>AIL!K85</f>
        <v>0</v>
      </c>
      <c r="L91" s="69">
        <f t="shared" si="34"/>
        <v>5</v>
      </c>
      <c r="M91" s="69">
        <f t="shared" si="35"/>
        <v>5</v>
      </c>
      <c r="N91" s="69">
        <f t="shared" si="36"/>
        <v>2</v>
      </c>
      <c r="O91" s="69">
        <f t="shared" si="37"/>
        <v>2</v>
      </c>
      <c r="P91" s="69">
        <f t="shared" si="38"/>
        <v>2</v>
      </c>
      <c r="Q91" s="69">
        <f t="shared" si="39"/>
        <v>2</v>
      </c>
      <c r="R91" s="70">
        <f t="shared" si="40"/>
        <v>0.40546510810816438</v>
      </c>
      <c r="S91" s="70">
        <f t="shared" si="41"/>
        <v>0.40546510810816438</v>
      </c>
      <c r="T91" s="70">
        <f t="shared" si="42"/>
        <v>0.42809402422670029</v>
      </c>
      <c r="U91" s="70">
        <f t="shared" si="43"/>
        <v>0.42809402422670029</v>
      </c>
      <c r="V91" s="70">
        <f t="shared" si="44"/>
        <v>0.91287092917527679</v>
      </c>
      <c r="W91" s="70">
        <f t="shared" si="45"/>
        <v>0.91287092917527679</v>
      </c>
      <c r="X91" s="70">
        <f t="shared" si="46"/>
        <v>0</v>
      </c>
      <c r="Y91" s="70">
        <f t="shared" si="47"/>
        <v>1.2909944487358056</v>
      </c>
      <c r="Z91" s="70">
        <f t="shared" si="48"/>
        <v>0</v>
      </c>
      <c r="AA91" s="69" t="str">
        <f t="shared" si="49"/>
        <v>Negligible</v>
      </c>
      <c r="AB91" s="69" t="str">
        <f t="shared" si="50"/>
        <v>Tidak Ada Indikasi Bias</v>
      </c>
    </row>
    <row r="92" spans="1:28" ht="62.5" x14ac:dyDescent="0.35">
      <c r="A92" s="71" t="str">
        <f>AIL!A86</f>
        <v>82. ISO 21001:2018 mengharuskan organisasi pendidikan melakukan rapat tinjauan manajemen. hal berikut harus dibahas dalam rapat tinjauan manajemen, kecuali …</v>
      </c>
      <c r="B92" s="69">
        <f>AIL!B86</f>
        <v>1</v>
      </c>
      <c r="C92" s="69">
        <f>AIL!C86</f>
        <v>1</v>
      </c>
      <c r="D92" s="69">
        <f>AIL!D86</f>
        <v>1</v>
      </c>
      <c r="E92" s="69">
        <f>AIL!E86</f>
        <v>1</v>
      </c>
      <c r="F92" s="69">
        <f>AIL!F86</f>
        <v>1</v>
      </c>
      <c r="G92" s="69">
        <f>AIL!G86</f>
        <v>1</v>
      </c>
      <c r="H92" s="69">
        <f>AIL!H86</f>
        <v>0</v>
      </c>
      <c r="I92" s="69">
        <f>AIL!I86</f>
        <v>0</v>
      </c>
      <c r="J92" s="69">
        <f>AIL!J86</f>
        <v>0</v>
      </c>
      <c r="K92" s="69">
        <f>AIL!K86</f>
        <v>0</v>
      </c>
      <c r="L92" s="69">
        <f t="shared" si="34"/>
        <v>5</v>
      </c>
      <c r="M92" s="69">
        <f t="shared" si="35"/>
        <v>5</v>
      </c>
      <c r="N92" s="69">
        <f t="shared" si="36"/>
        <v>3</v>
      </c>
      <c r="O92" s="69">
        <f t="shared" si="37"/>
        <v>3</v>
      </c>
      <c r="P92" s="69">
        <f t="shared" si="38"/>
        <v>3</v>
      </c>
      <c r="Q92" s="69">
        <f t="shared" si="39"/>
        <v>3</v>
      </c>
      <c r="R92" s="70">
        <f t="shared" si="40"/>
        <v>-0.40546510810816444</v>
      </c>
      <c r="S92" s="70">
        <f t="shared" si="41"/>
        <v>-0.40546510810816444</v>
      </c>
      <c r="T92" s="70">
        <f t="shared" si="42"/>
        <v>-0.38283619198962854</v>
      </c>
      <c r="U92" s="70">
        <f t="shared" si="43"/>
        <v>-0.38283619198962854</v>
      </c>
      <c r="V92" s="70">
        <f t="shared" si="44"/>
        <v>0.91287092917527679</v>
      </c>
      <c r="W92" s="70">
        <f t="shared" si="45"/>
        <v>0.91287092917527679</v>
      </c>
      <c r="X92" s="70">
        <f t="shared" si="46"/>
        <v>0</v>
      </c>
      <c r="Y92" s="70">
        <f t="shared" si="47"/>
        <v>1.2909944487358056</v>
      </c>
      <c r="Z92" s="70">
        <f t="shared" si="48"/>
        <v>0</v>
      </c>
      <c r="AA92" s="69" t="str">
        <f t="shared" si="49"/>
        <v>Negligible</v>
      </c>
      <c r="AB92" s="69" t="str">
        <f t="shared" si="50"/>
        <v>Tidak Ada Indikasi Bias</v>
      </c>
    </row>
    <row r="93" spans="1:28" ht="37.5" x14ac:dyDescent="0.35">
      <c r="A93" s="71" t="str">
        <f>AIL!A87</f>
        <v>83. Output dari rapat tinjauan manajemen paling sedikit harus mencakup hal berikut, kecuali …</v>
      </c>
      <c r="B93" s="69">
        <f>AIL!B87</f>
        <v>0</v>
      </c>
      <c r="C93" s="69">
        <f>AIL!C87</f>
        <v>0</v>
      </c>
      <c r="D93" s="69">
        <f>AIL!D87</f>
        <v>1</v>
      </c>
      <c r="E93" s="69">
        <f>AIL!E87</f>
        <v>1</v>
      </c>
      <c r="F93" s="69">
        <f>AIL!F87</f>
        <v>0</v>
      </c>
      <c r="G93" s="69">
        <f>AIL!G87</f>
        <v>0</v>
      </c>
      <c r="H93" s="69">
        <f>AIL!H87</f>
        <v>0</v>
      </c>
      <c r="I93" s="69">
        <f>AIL!I87</f>
        <v>0</v>
      </c>
      <c r="J93" s="69">
        <f>AIL!J87</f>
        <v>0</v>
      </c>
      <c r="K93" s="69">
        <f>AIL!K87</f>
        <v>0</v>
      </c>
      <c r="L93" s="69">
        <f t="shared" si="34"/>
        <v>5</v>
      </c>
      <c r="M93" s="69">
        <f t="shared" si="35"/>
        <v>5</v>
      </c>
      <c r="N93" s="69">
        <f t="shared" si="36"/>
        <v>1</v>
      </c>
      <c r="O93" s="69">
        <f t="shared" si="37"/>
        <v>1</v>
      </c>
      <c r="P93" s="69">
        <f t="shared" si="38"/>
        <v>1</v>
      </c>
      <c r="Q93" s="69">
        <f t="shared" si="39"/>
        <v>1</v>
      </c>
      <c r="R93" s="70">
        <f t="shared" si="40"/>
        <v>1.3862943611198906</v>
      </c>
      <c r="S93" s="70">
        <f t="shared" si="41"/>
        <v>1.3862943611198906</v>
      </c>
      <c r="T93" s="70">
        <f t="shared" si="42"/>
        <v>1.4089232772384264</v>
      </c>
      <c r="U93" s="70">
        <f t="shared" si="43"/>
        <v>1.4089232772384264</v>
      </c>
      <c r="V93" s="70">
        <f t="shared" si="44"/>
        <v>1.1180339887498949</v>
      </c>
      <c r="W93" s="70">
        <f t="shared" si="45"/>
        <v>1.1180339887498949</v>
      </c>
      <c r="X93" s="70">
        <f t="shared" si="46"/>
        <v>0</v>
      </c>
      <c r="Y93" s="70">
        <f t="shared" si="47"/>
        <v>1.5811388300841898</v>
      </c>
      <c r="Z93" s="70">
        <f t="shared" si="48"/>
        <v>0</v>
      </c>
      <c r="AA93" s="69" t="str">
        <f t="shared" si="49"/>
        <v>Negligible</v>
      </c>
      <c r="AB93" s="69" t="str">
        <f t="shared" si="50"/>
        <v>Tidak Ada Indikasi Bias</v>
      </c>
    </row>
    <row r="94" spans="1:28" ht="37.5" x14ac:dyDescent="0.35">
      <c r="A94" s="71" t="str">
        <f>AIL!A88</f>
        <v>84. Mengambil tindakan dan melakukan perbaikan merupakan bentuk … dari penanganan ketidaksesuaian</v>
      </c>
      <c r="B94" s="69">
        <f>AIL!B88</f>
        <v>1</v>
      </c>
      <c r="C94" s="69">
        <f>AIL!C88</f>
        <v>1</v>
      </c>
      <c r="D94" s="69">
        <f>AIL!D88</f>
        <v>1</v>
      </c>
      <c r="E94" s="69">
        <f>AIL!E88</f>
        <v>1</v>
      </c>
      <c r="F94" s="69">
        <f>AIL!F88</f>
        <v>0</v>
      </c>
      <c r="G94" s="69">
        <f>AIL!G88</f>
        <v>0</v>
      </c>
      <c r="H94" s="69">
        <f>AIL!H88</f>
        <v>0</v>
      </c>
      <c r="I94" s="69">
        <f>AIL!I88</f>
        <v>0</v>
      </c>
      <c r="J94" s="69">
        <f>AIL!J88</f>
        <v>0</v>
      </c>
      <c r="K94" s="69">
        <f>AIL!K88</f>
        <v>0</v>
      </c>
      <c r="L94" s="69">
        <f t="shared" si="34"/>
        <v>5</v>
      </c>
      <c r="M94" s="69">
        <f t="shared" si="35"/>
        <v>5</v>
      </c>
      <c r="N94" s="69">
        <f t="shared" si="36"/>
        <v>2</v>
      </c>
      <c r="O94" s="69">
        <f t="shared" si="37"/>
        <v>2</v>
      </c>
      <c r="P94" s="69">
        <f t="shared" si="38"/>
        <v>2</v>
      </c>
      <c r="Q94" s="69">
        <f t="shared" si="39"/>
        <v>2</v>
      </c>
      <c r="R94" s="70">
        <f t="shared" si="40"/>
        <v>0.40546510810816438</v>
      </c>
      <c r="S94" s="70">
        <f t="shared" si="41"/>
        <v>0.40546510810816438</v>
      </c>
      <c r="T94" s="70">
        <f t="shared" si="42"/>
        <v>0.42809402422670029</v>
      </c>
      <c r="U94" s="70">
        <f t="shared" si="43"/>
        <v>0.42809402422670029</v>
      </c>
      <c r="V94" s="70">
        <f t="shared" si="44"/>
        <v>0.91287092917527679</v>
      </c>
      <c r="W94" s="70">
        <f t="shared" si="45"/>
        <v>0.91287092917527679</v>
      </c>
      <c r="X94" s="70">
        <f t="shared" si="46"/>
        <v>0</v>
      </c>
      <c r="Y94" s="70">
        <f t="shared" si="47"/>
        <v>1.2909944487358056</v>
      </c>
      <c r="Z94" s="70">
        <f t="shared" si="48"/>
        <v>0</v>
      </c>
      <c r="AA94" s="69" t="str">
        <f t="shared" si="49"/>
        <v>Negligible</v>
      </c>
      <c r="AB94" s="69" t="str">
        <f t="shared" si="50"/>
        <v>Tidak Ada Indikasi Bias</v>
      </c>
    </row>
    <row r="95" spans="1:28" ht="37.5" x14ac:dyDescent="0.35">
      <c r="A95" s="71" t="str">
        <f>AIL!A89</f>
        <v>85. Bagaimana organisasi pendidikan membuktikan bahwa telah melakukan tindakan perbaikan pada ketidaksesuaian?</v>
      </c>
      <c r="B95" s="69">
        <f>AIL!B89</f>
        <v>1</v>
      </c>
      <c r="C95" s="69">
        <f>AIL!C89</f>
        <v>1</v>
      </c>
      <c r="D95" s="69">
        <f>AIL!D89</f>
        <v>0</v>
      </c>
      <c r="E95" s="69">
        <f>AIL!E89</f>
        <v>0</v>
      </c>
      <c r="F95" s="69">
        <f>AIL!F89</f>
        <v>0</v>
      </c>
      <c r="G95" s="69">
        <f>AIL!G89</f>
        <v>0</v>
      </c>
      <c r="H95" s="69">
        <f>AIL!H89</f>
        <v>0</v>
      </c>
      <c r="I95" s="69">
        <f>AIL!I89</f>
        <v>0</v>
      </c>
      <c r="J95" s="69">
        <f>AIL!J89</f>
        <v>0</v>
      </c>
      <c r="K95" s="69">
        <f>AIL!K89</f>
        <v>0</v>
      </c>
      <c r="L95" s="69">
        <f t="shared" si="34"/>
        <v>5</v>
      </c>
      <c r="M95" s="69">
        <f t="shared" si="35"/>
        <v>5</v>
      </c>
      <c r="N95" s="69">
        <f t="shared" si="36"/>
        <v>1</v>
      </c>
      <c r="O95" s="69">
        <f t="shared" si="37"/>
        <v>1</v>
      </c>
      <c r="P95" s="69">
        <f t="shared" si="38"/>
        <v>1</v>
      </c>
      <c r="Q95" s="69">
        <f t="shared" si="39"/>
        <v>1</v>
      </c>
      <c r="R95" s="70">
        <f t="shared" si="40"/>
        <v>1.3862943611198906</v>
      </c>
      <c r="S95" s="70">
        <f t="shared" si="41"/>
        <v>1.3862943611198906</v>
      </c>
      <c r="T95" s="70">
        <f t="shared" si="42"/>
        <v>1.4089232772384264</v>
      </c>
      <c r="U95" s="70">
        <f t="shared" si="43"/>
        <v>1.4089232772384264</v>
      </c>
      <c r="V95" s="70">
        <f t="shared" si="44"/>
        <v>1.1180339887498949</v>
      </c>
      <c r="W95" s="70">
        <f t="shared" si="45"/>
        <v>1.1180339887498949</v>
      </c>
      <c r="X95" s="70">
        <f t="shared" si="46"/>
        <v>0</v>
      </c>
      <c r="Y95" s="70">
        <f t="shared" si="47"/>
        <v>1.5811388300841898</v>
      </c>
      <c r="Z95" s="70">
        <f t="shared" si="48"/>
        <v>0</v>
      </c>
      <c r="AA95" s="69" t="str">
        <f t="shared" si="49"/>
        <v>Negligible</v>
      </c>
      <c r="AB95" s="69" t="str">
        <f t="shared" si="50"/>
        <v>Tidak Ada Indikasi Bias</v>
      </c>
    </row>
    <row r="96" spans="1:28" ht="50" x14ac:dyDescent="0.35">
      <c r="A96" s="71" t="str">
        <f>AIL!A90</f>
        <v>86. Untuk menentukan tindakan perbaikan, maka organisasi pendidikan harus mempertimbangkan input dari klausul …</v>
      </c>
      <c r="B96" s="69">
        <f>AIL!B90</f>
        <v>1</v>
      </c>
      <c r="C96" s="69">
        <f>AIL!C90</f>
        <v>1</v>
      </c>
      <c r="D96" s="69">
        <f>AIL!D90</f>
        <v>1</v>
      </c>
      <c r="E96" s="69">
        <f>AIL!E90</f>
        <v>1</v>
      </c>
      <c r="F96" s="69">
        <f>AIL!F90</f>
        <v>0</v>
      </c>
      <c r="G96" s="69">
        <f>AIL!G90</f>
        <v>0</v>
      </c>
      <c r="H96" s="69">
        <f>AIL!H90</f>
        <v>0</v>
      </c>
      <c r="I96" s="69">
        <f>AIL!I90</f>
        <v>0</v>
      </c>
      <c r="J96" s="69">
        <f>AIL!J90</f>
        <v>1</v>
      </c>
      <c r="K96" s="69">
        <f>AIL!K90</f>
        <v>1</v>
      </c>
      <c r="L96" s="69">
        <f t="shared" si="34"/>
        <v>5</v>
      </c>
      <c r="M96" s="69">
        <f t="shared" si="35"/>
        <v>5</v>
      </c>
      <c r="N96" s="69">
        <f t="shared" si="36"/>
        <v>3</v>
      </c>
      <c r="O96" s="69">
        <f t="shared" si="37"/>
        <v>3</v>
      </c>
      <c r="P96" s="69">
        <f t="shared" si="38"/>
        <v>3</v>
      </c>
      <c r="Q96" s="69">
        <f t="shared" si="39"/>
        <v>3</v>
      </c>
      <c r="R96" s="70">
        <f t="shared" si="40"/>
        <v>-0.40546510810816444</v>
      </c>
      <c r="S96" s="70">
        <f t="shared" si="41"/>
        <v>-0.40546510810816444</v>
      </c>
      <c r="T96" s="70">
        <f t="shared" si="42"/>
        <v>-0.38283619198962854</v>
      </c>
      <c r="U96" s="70">
        <f t="shared" si="43"/>
        <v>-0.38283619198962854</v>
      </c>
      <c r="V96" s="70">
        <f t="shared" si="44"/>
        <v>0.91287092917527679</v>
      </c>
      <c r="W96" s="70">
        <f t="shared" si="45"/>
        <v>0.91287092917527679</v>
      </c>
      <c r="X96" s="70">
        <f t="shared" si="46"/>
        <v>0</v>
      </c>
      <c r="Y96" s="70">
        <f t="shared" si="47"/>
        <v>1.2909944487358056</v>
      </c>
      <c r="Z96" s="70">
        <f t="shared" si="48"/>
        <v>0</v>
      </c>
      <c r="AA96" s="69" t="str">
        <f t="shared" si="49"/>
        <v>Negligible</v>
      </c>
      <c r="AB96" s="69" t="str">
        <f t="shared" si="50"/>
        <v>Tidak Ada Indikasi Bias</v>
      </c>
    </row>
    <row r="97" spans="1:28" ht="37.5" customHeight="1" x14ac:dyDescent="0.35">
      <c r="A97" s="71" t="str">
        <f>AIL!A91</f>
        <v>87. Upaya peningkatan dapat berbentuk sebagai berikut, kecuali …</v>
      </c>
      <c r="B97" s="69">
        <f>AIL!B91</f>
        <v>1</v>
      </c>
      <c r="C97" s="69">
        <f>AIL!C91</f>
        <v>1</v>
      </c>
      <c r="D97" s="69">
        <f>AIL!D91</f>
        <v>1</v>
      </c>
      <c r="E97" s="69">
        <f>AIL!E91</f>
        <v>1</v>
      </c>
      <c r="F97" s="69">
        <f>AIL!F91</f>
        <v>0</v>
      </c>
      <c r="G97" s="69">
        <f>AIL!G91</f>
        <v>0</v>
      </c>
      <c r="H97" s="69">
        <f>AIL!H91</f>
        <v>0</v>
      </c>
      <c r="I97" s="69">
        <f>AIL!I91</f>
        <v>0</v>
      </c>
      <c r="J97" s="69">
        <f>AIL!J91</f>
        <v>0</v>
      </c>
      <c r="K97" s="69">
        <f>AIL!K91</f>
        <v>0</v>
      </c>
      <c r="L97" s="69">
        <f t="shared" si="34"/>
        <v>5</v>
      </c>
      <c r="M97" s="69">
        <f t="shared" si="35"/>
        <v>5</v>
      </c>
      <c r="N97" s="69">
        <f t="shared" si="36"/>
        <v>2</v>
      </c>
      <c r="O97" s="69">
        <f t="shared" si="37"/>
        <v>2</v>
      </c>
      <c r="P97" s="69">
        <f t="shared" si="38"/>
        <v>2</v>
      </c>
      <c r="Q97" s="69">
        <f t="shared" si="39"/>
        <v>2</v>
      </c>
      <c r="R97" s="70">
        <f t="shared" si="40"/>
        <v>0.40546510810816438</v>
      </c>
      <c r="S97" s="70">
        <f t="shared" si="41"/>
        <v>0.40546510810816438</v>
      </c>
      <c r="T97" s="70">
        <f t="shared" si="42"/>
        <v>0.42809402422670029</v>
      </c>
      <c r="U97" s="70">
        <f t="shared" si="43"/>
        <v>0.42809402422670029</v>
      </c>
      <c r="V97" s="70">
        <f t="shared" si="44"/>
        <v>0.91287092917527679</v>
      </c>
      <c r="W97" s="70">
        <f t="shared" si="45"/>
        <v>0.91287092917527679</v>
      </c>
      <c r="X97" s="70">
        <f t="shared" si="46"/>
        <v>0</v>
      </c>
      <c r="Y97" s="70">
        <f t="shared" si="47"/>
        <v>1.2909944487358056</v>
      </c>
      <c r="Z97" s="70">
        <f t="shared" si="48"/>
        <v>0</v>
      </c>
      <c r="AA97" s="69" t="str">
        <f t="shared" si="49"/>
        <v>Negligible</v>
      </c>
      <c r="AB97" s="69" t="str">
        <f t="shared" si="50"/>
        <v>Tidak Ada Indikasi Bias</v>
      </c>
    </row>
    <row r="98" spans="1:28" ht="37.5" x14ac:dyDescent="0.35">
      <c r="A98" s="71" t="str">
        <f>AIL!A92</f>
        <v>88. Analisis terhadap peluang perbaikan harus dapat memenuhi kebutuhan dari pihak berikut, kecuali …</v>
      </c>
      <c r="B98" s="69">
        <f>AIL!B92</f>
        <v>1</v>
      </c>
      <c r="C98" s="69">
        <f>AIL!C92</f>
        <v>1</v>
      </c>
      <c r="D98" s="69">
        <f>AIL!D92</f>
        <v>1</v>
      </c>
      <c r="E98" s="69">
        <f>AIL!E92</f>
        <v>1</v>
      </c>
      <c r="F98" s="69">
        <f>AIL!F92</f>
        <v>0</v>
      </c>
      <c r="G98" s="69">
        <f>AIL!G92</f>
        <v>0</v>
      </c>
      <c r="H98" s="69">
        <f>AIL!H92</f>
        <v>0</v>
      </c>
      <c r="I98" s="69">
        <f>AIL!I92</f>
        <v>0</v>
      </c>
      <c r="J98" s="69">
        <f>AIL!J92</f>
        <v>0</v>
      </c>
      <c r="K98" s="69">
        <f>AIL!K92</f>
        <v>0</v>
      </c>
      <c r="L98" s="69">
        <f t="shared" si="34"/>
        <v>5</v>
      </c>
      <c r="M98" s="69">
        <f t="shared" si="35"/>
        <v>5</v>
      </c>
      <c r="N98" s="69">
        <f t="shared" si="36"/>
        <v>2</v>
      </c>
      <c r="O98" s="69">
        <f t="shared" si="37"/>
        <v>2</v>
      </c>
      <c r="P98" s="69">
        <f t="shared" si="38"/>
        <v>2</v>
      </c>
      <c r="Q98" s="69">
        <f t="shared" si="39"/>
        <v>2</v>
      </c>
      <c r="R98" s="70">
        <f t="shared" si="40"/>
        <v>0.40546510810816438</v>
      </c>
      <c r="S98" s="70">
        <f t="shared" si="41"/>
        <v>0.40546510810816438</v>
      </c>
      <c r="T98" s="70">
        <f t="shared" si="42"/>
        <v>0.42809402422670029</v>
      </c>
      <c r="U98" s="70">
        <f t="shared" si="43"/>
        <v>0.42809402422670029</v>
      </c>
      <c r="V98" s="70">
        <f t="shared" si="44"/>
        <v>0.91287092917527679</v>
      </c>
      <c r="W98" s="70">
        <f t="shared" si="45"/>
        <v>0.91287092917527679</v>
      </c>
      <c r="X98" s="70">
        <f t="shared" si="46"/>
        <v>0</v>
      </c>
      <c r="Y98" s="70">
        <f t="shared" si="47"/>
        <v>1.2909944487358056</v>
      </c>
      <c r="Z98" s="70">
        <f t="shared" si="48"/>
        <v>0</v>
      </c>
      <c r="AA98" s="69" t="str">
        <f t="shared" si="49"/>
        <v>Negligible</v>
      </c>
      <c r="AB98" s="69" t="str">
        <f t="shared" si="50"/>
        <v>Tidak Ada Indikasi Bias</v>
      </c>
    </row>
    <row r="99" spans="1:28" ht="50" x14ac:dyDescent="0.35">
      <c r="A99" s="71" t="str">
        <f>AIL!A93</f>
        <v>89. Ketika melakukan pengembangan terhadap pengembangan standar, maka prosedur apa yang digunakan sebagai acuan?</v>
      </c>
      <c r="B99" s="69">
        <f>AIL!B93</f>
        <v>1</v>
      </c>
      <c r="C99" s="69">
        <f>AIL!C93</f>
        <v>1</v>
      </c>
      <c r="D99" s="69">
        <f>AIL!D93</f>
        <v>0</v>
      </c>
      <c r="E99" s="69">
        <f>AIL!E93</f>
        <v>0</v>
      </c>
      <c r="F99" s="69">
        <f>AIL!F93</f>
        <v>0</v>
      </c>
      <c r="G99" s="69">
        <f>AIL!G93</f>
        <v>0</v>
      </c>
      <c r="H99" s="69">
        <f>AIL!H93</f>
        <v>0</v>
      </c>
      <c r="I99" s="69">
        <f>AIL!I93</f>
        <v>0</v>
      </c>
      <c r="J99" s="69">
        <f>AIL!J93</f>
        <v>0</v>
      </c>
      <c r="K99" s="69">
        <f>AIL!K93</f>
        <v>0</v>
      </c>
      <c r="L99" s="69">
        <f t="shared" si="34"/>
        <v>5</v>
      </c>
      <c r="M99" s="69">
        <f t="shared" si="35"/>
        <v>5</v>
      </c>
      <c r="N99" s="69">
        <f t="shared" si="36"/>
        <v>1</v>
      </c>
      <c r="O99" s="69">
        <f t="shared" si="37"/>
        <v>1</v>
      </c>
      <c r="P99" s="69">
        <f t="shared" si="38"/>
        <v>1</v>
      </c>
      <c r="Q99" s="69">
        <f t="shared" si="39"/>
        <v>1</v>
      </c>
      <c r="R99" s="70">
        <f t="shared" si="40"/>
        <v>1.3862943611198906</v>
      </c>
      <c r="S99" s="70">
        <f t="shared" si="41"/>
        <v>1.3862943611198906</v>
      </c>
      <c r="T99" s="70">
        <f t="shared" si="42"/>
        <v>1.4089232772384264</v>
      </c>
      <c r="U99" s="70">
        <f t="shared" si="43"/>
        <v>1.4089232772384264</v>
      </c>
      <c r="V99" s="70">
        <f t="shared" si="44"/>
        <v>1.1180339887498949</v>
      </c>
      <c r="W99" s="70">
        <f t="shared" si="45"/>
        <v>1.1180339887498949</v>
      </c>
      <c r="X99" s="70">
        <f t="shared" si="46"/>
        <v>0</v>
      </c>
      <c r="Y99" s="70">
        <f t="shared" si="47"/>
        <v>1.5811388300841898</v>
      </c>
      <c r="Z99" s="70">
        <f t="shared" si="48"/>
        <v>0</v>
      </c>
      <c r="AA99" s="69" t="str">
        <f t="shared" si="49"/>
        <v>Negligible</v>
      </c>
      <c r="AB99" s="69" t="str">
        <f t="shared" si="50"/>
        <v>Tidak Ada Indikasi Bias</v>
      </c>
    </row>
    <row r="100" spans="1:28" ht="37.5" customHeight="1" x14ac:dyDescent="0.35">
      <c r="A100" s="71" t="str">
        <f>AIL!A94</f>
        <v>90. Berikut merupakan definisi audit yaitu ...</v>
      </c>
      <c r="B100" s="69">
        <f>AIL!B94</f>
        <v>1</v>
      </c>
      <c r="C100" s="69">
        <f>AIL!C94</f>
        <v>1</v>
      </c>
      <c r="D100" s="69">
        <f>AIL!D94</f>
        <v>1</v>
      </c>
      <c r="E100" s="69">
        <f>AIL!E94</f>
        <v>1</v>
      </c>
      <c r="F100" s="69">
        <f>AIL!F94</f>
        <v>1</v>
      </c>
      <c r="G100" s="69">
        <f>AIL!G94</f>
        <v>1</v>
      </c>
      <c r="H100" s="69">
        <f>AIL!H94</f>
        <v>0</v>
      </c>
      <c r="I100" s="69">
        <f>AIL!I94</f>
        <v>0</v>
      </c>
      <c r="J100" s="69">
        <f>AIL!J94</f>
        <v>1</v>
      </c>
      <c r="K100" s="69">
        <f>AIL!K94</f>
        <v>1</v>
      </c>
      <c r="L100" s="69">
        <f t="shared" si="34"/>
        <v>5</v>
      </c>
      <c r="M100" s="69">
        <f t="shared" si="35"/>
        <v>5</v>
      </c>
      <c r="N100" s="69">
        <f t="shared" si="36"/>
        <v>4</v>
      </c>
      <c r="O100" s="69">
        <f t="shared" si="37"/>
        <v>4</v>
      </c>
      <c r="P100" s="69">
        <f t="shared" si="38"/>
        <v>4</v>
      </c>
      <c r="Q100" s="69">
        <f t="shared" si="39"/>
        <v>4</v>
      </c>
      <c r="R100" s="70">
        <f t="shared" si="40"/>
        <v>-1.3862943611198906</v>
      </c>
      <c r="S100" s="70">
        <f t="shared" si="41"/>
        <v>-1.3862943611198906</v>
      </c>
      <c r="T100" s="70">
        <f t="shared" si="42"/>
        <v>-1.3636654450013548</v>
      </c>
      <c r="U100" s="70">
        <f t="shared" si="43"/>
        <v>-1.3636654450013548</v>
      </c>
      <c r="V100" s="70">
        <f t="shared" si="44"/>
        <v>1.1180339887498949</v>
      </c>
      <c r="W100" s="70">
        <f t="shared" si="45"/>
        <v>1.1180339887498949</v>
      </c>
      <c r="X100" s="70">
        <f t="shared" si="46"/>
        <v>0</v>
      </c>
      <c r="Y100" s="70">
        <f t="shared" si="47"/>
        <v>1.5811388300841898</v>
      </c>
      <c r="Z100" s="70">
        <f t="shared" si="48"/>
        <v>0</v>
      </c>
      <c r="AA100" s="69" t="str">
        <f t="shared" si="49"/>
        <v>Negligible</v>
      </c>
      <c r="AB100" s="69" t="str">
        <f t="shared" si="50"/>
        <v>Tidak Ada Indikasi Bias</v>
      </c>
    </row>
    <row r="101" spans="1:28" ht="25" x14ac:dyDescent="0.35">
      <c r="A101" s="71" t="str">
        <f>AIL!A95</f>
        <v>91. Audit yang dilakukan oleh organisasi itu sendiri disebut dengan …</v>
      </c>
      <c r="B101" s="69">
        <f>AIL!B95</f>
        <v>0</v>
      </c>
      <c r="C101" s="69">
        <f>AIL!C95</f>
        <v>0</v>
      </c>
      <c r="D101" s="69">
        <f>AIL!D95</f>
        <v>1</v>
      </c>
      <c r="E101" s="69">
        <f>AIL!E95</f>
        <v>1</v>
      </c>
      <c r="F101" s="69">
        <f>AIL!F95</f>
        <v>0</v>
      </c>
      <c r="G101" s="69">
        <f>AIL!G95</f>
        <v>0</v>
      </c>
      <c r="H101" s="69">
        <f>AIL!H95</f>
        <v>0</v>
      </c>
      <c r="I101" s="69">
        <f>AIL!I95</f>
        <v>0</v>
      </c>
      <c r="J101" s="69">
        <f>AIL!J95</f>
        <v>0</v>
      </c>
      <c r="K101" s="69">
        <f>AIL!K95</f>
        <v>0</v>
      </c>
      <c r="L101" s="69">
        <f t="shared" si="34"/>
        <v>5</v>
      </c>
      <c r="M101" s="69">
        <f t="shared" si="35"/>
        <v>5</v>
      </c>
      <c r="N101" s="69">
        <f t="shared" si="36"/>
        <v>1</v>
      </c>
      <c r="O101" s="69">
        <f t="shared" si="37"/>
        <v>1</v>
      </c>
      <c r="P101" s="69">
        <f t="shared" si="38"/>
        <v>1</v>
      </c>
      <c r="Q101" s="69">
        <f t="shared" si="39"/>
        <v>1</v>
      </c>
      <c r="R101" s="70">
        <f t="shared" si="40"/>
        <v>1.3862943611198906</v>
      </c>
      <c r="S101" s="70">
        <f t="shared" si="41"/>
        <v>1.3862943611198906</v>
      </c>
      <c r="T101" s="70">
        <f t="shared" si="42"/>
        <v>1.4089232772384264</v>
      </c>
      <c r="U101" s="70">
        <f t="shared" si="43"/>
        <v>1.4089232772384264</v>
      </c>
      <c r="V101" s="70">
        <f t="shared" si="44"/>
        <v>1.1180339887498949</v>
      </c>
      <c r="W101" s="70">
        <f t="shared" si="45"/>
        <v>1.1180339887498949</v>
      </c>
      <c r="X101" s="70">
        <f t="shared" si="46"/>
        <v>0</v>
      </c>
      <c r="Y101" s="70">
        <f t="shared" si="47"/>
        <v>1.5811388300841898</v>
      </c>
      <c r="Z101" s="70">
        <f t="shared" si="48"/>
        <v>0</v>
      </c>
      <c r="AA101" s="69" t="str">
        <f t="shared" si="49"/>
        <v>Negligible</v>
      </c>
      <c r="AB101" s="69" t="str">
        <f t="shared" si="50"/>
        <v>Tidak Ada Indikasi Bias</v>
      </c>
    </row>
    <row r="102" spans="1:28" ht="25" x14ac:dyDescent="0.35">
      <c r="A102" s="71" t="str">
        <f>AIL!A96</f>
        <v>92. Hal – hal yang sebaiknya dihindari ketika menjadi auditor adalah, kecuali …</v>
      </c>
      <c r="B102" s="69">
        <f>AIL!B96</f>
        <v>1</v>
      </c>
      <c r="C102" s="69">
        <f>AIL!C96</f>
        <v>1</v>
      </c>
      <c r="D102" s="69">
        <f>AIL!D96</f>
        <v>1</v>
      </c>
      <c r="E102" s="69">
        <f>AIL!E96</f>
        <v>1</v>
      </c>
      <c r="F102" s="69">
        <f>AIL!F96</f>
        <v>0</v>
      </c>
      <c r="G102" s="69">
        <f>AIL!G96</f>
        <v>0</v>
      </c>
      <c r="H102" s="69">
        <f>AIL!H96</f>
        <v>0</v>
      </c>
      <c r="I102" s="69">
        <f>AIL!I96</f>
        <v>0</v>
      </c>
      <c r="J102" s="69">
        <f>AIL!J96</f>
        <v>1</v>
      </c>
      <c r="K102" s="69">
        <f>AIL!K96</f>
        <v>1</v>
      </c>
      <c r="L102" s="69">
        <f t="shared" si="34"/>
        <v>5</v>
      </c>
      <c r="M102" s="69">
        <f t="shared" si="35"/>
        <v>5</v>
      </c>
      <c r="N102" s="69">
        <f t="shared" si="36"/>
        <v>3</v>
      </c>
      <c r="O102" s="69">
        <f t="shared" si="37"/>
        <v>3</v>
      </c>
      <c r="P102" s="69">
        <f t="shared" si="38"/>
        <v>3</v>
      </c>
      <c r="Q102" s="69">
        <f t="shared" si="39"/>
        <v>3</v>
      </c>
      <c r="R102" s="70">
        <f t="shared" si="40"/>
        <v>-0.40546510810816444</v>
      </c>
      <c r="S102" s="70">
        <f t="shared" si="41"/>
        <v>-0.40546510810816444</v>
      </c>
      <c r="T102" s="70">
        <f t="shared" si="42"/>
        <v>-0.38283619198962854</v>
      </c>
      <c r="U102" s="70">
        <f t="shared" si="43"/>
        <v>-0.38283619198962854</v>
      </c>
      <c r="V102" s="70">
        <f t="shared" si="44"/>
        <v>0.91287092917527679</v>
      </c>
      <c r="W102" s="70">
        <f t="shared" si="45"/>
        <v>0.91287092917527679</v>
      </c>
      <c r="X102" s="70">
        <f t="shared" si="46"/>
        <v>0</v>
      </c>
      <c r="Y102" s="70">
        <f t="shared" si="47"/>
        <v>1.2909944487358056</v>
      </c>
      <c r="Z102" s="70">
        <f t="shared" si="48"/>
        <v>0</v>
      </c>
      <c r="AA102" s="69" t="str">
        <f t="shared" si="49"/>
        <v>Negligible</v>
      </c>
      <c r="AB102" s="69" t="str">
        <f t="shared" si="50"/>
        <v>Tidak Ada Indikasi Bias</v>
      </c>
    </row>
    <row r="103" spans="1:28" ht="37.5" customHeight="1" x14ac:dyDescent="0.35">
      <c r="A103" s="71" t="str">
        <f>AIL!A97</f>
        <v>93. Manakah dari perilaku berikut yang paling tidak penting untuk ditunjukkan oleh auditor?</v>
      </c>
      <c r="B103" s="69">
        <f>AIL!B97</f>
        <v>1</v>
      </c>
      <c r="C103" s="69">
        <f>AIL!C97</f>
        <v>1</v>
      </c>
      <c r="D103" s="69">
        <f>AIL!D97</f>
        <v>1</v>
      </c>
      <c r="E103" s="69">
        <f>AIL!E97</f>
        <v>1</v>
      </c>
      <c r="F103" s="69">
        <f>AIL!F97</f>
        <v>0</v>
      </c>
      <c r="G103" s="69">
        <f>AIL!G97</f>
        <v>0</v>
      </c>
      <c r="H103" s="69">
        <f>AIL!H97</f>
        <v>0</v>
      </c>
      <c r="I103" s="69">
        <f>AIL!I97</f>
        <v>0</v>
      </c>
      <c r="J103" s="69">
        <f>AIL!J97</f>
        <v>0</v>
      </c>
      <c r="K103" s="69">
        <f>AIL!K97</f>
        <v>0</v>
      </c>
      <c r="L103" s="69">
        <f t="shared" si="34"/>
        <v>5</v>
      </c>
      <c r="M103" s="69">
        <f t="shared" si="35"/>
        <v>5</v>
      </c>
      <c r="N103" s="69">
        <f t="shared" si="36"/>
        <v>2</v>
      </c>
      <c r="O103" s="69">
        <f t="shared" si="37"/>
        <v>2</v>
      </c>
      <c r="P103" s="69">
        <f t="shared" si="38"/>
        <v>2</v>
      </c>
      <c r="Q103" s="69">
        <f t="shared" si="39"/>
        <v>2</v>
      </c>
      <c r="R103" s="70">
        <f t="shared" si="40"/>
        <v>0.40546510810816438</v>
      </c>
      <c r="S103" s="70">
        <f t="shared" si="41"/>
        <v>0.40546510810816438</v>
      </c>
      <c r="T103" s="70">
        <f t="shared" si="42"/>
        <v>0.42809402422670029</v>
      </c>
      <c r="U103" s="70">
        <f t="shared" si="43"/>
        <v>0.42809402422670029</v>
      </c>
      <c r="V103" s="70">
        <f t="shared" si="44"/>
        <v>0.91287092917527679</v>
      </c>
      <c r="W103" s="70">
        <f t="shared" si="45"/>
        <v>0.91287092917527679</v>
      </c>
      <c r="X103" s="70">
        <f t="shared" si="46"/>
        <v>0</v>
      </c>
      <c r="Y103" s="70">
        <f t="shared" si="47"/>
        <v>1.2909944487358056</v>
      </c>
      <c r="Z103" s="70">
        <f t="shared" si="48"/>
        <v>0</v>
      </c>
      <c r="AA103" s="69" t="str">
        <f t="shared" si="49"/>
        <v>Negligible</v>
      </c>
      <c r="AB103" s="69" t="str">
        <f t="shared" si="50"/>
        <v>Tidak Ada Indikasi Bias</v>
      </c>
    </row>
    <row r="104" spans="1:28" ht="50" customHeight="1" x14ac:dyDescent="0.35">
      <c r="A104" s="71" t="str">
        <f>AIL!A98</f>
        <v>94. Anggota tim audit memiliki tanggung jawab untuk …</v>
      </c>
      <c r="B104" s="69">
        <f>AIL!B98</f>
        <v>1</v>
      </c>
      <c r="C104" s="69">
        <f>AIL!C98</f>
        <v>1</v>
      </c>
      <c r="D104" s="69">
        <f>AIL!D98</f>
        <v>0</v>
      </c>
      <c r="E104" s="69">
        <f>AIL!E98</f>
        <v>0</v>
      </c>
      <c r="F104" s="69">
        <f>AIL!F98</f>
        <v>1</v>
      </c>
      <c r="G104" s="69">
        <f>AIL!G98</f>
        <v>1</v>
      </c>
      <c r="H104" s="69">
        <f>AIL!H98</f>
        <v>1</v>
      </c>
      <c r="I104" s="69">
        <f>AIL!I98</f>
        <v>1</v>
      </c>
      <c r="J104" s="69">
        <f>AIL!J98</f>
        <v>1</v>
      </c>
      <c r="K104" s="69">
        <f>AIL!K98</f>
        <v>1</v>
      </c>
      <c r="L104" s="69">
        <f t="shared" si="34"/>
        <v>5</v>
      </c>
      <c r="M104" s="69">
        <f t="shared" si="35"/>
        <v>5</v>
      </c>
      <c r="N104" s="69">
        <f t="shared" si="36"/>
        <v>4</v>
      </c>
      <c r="O104" s="69">
        <f t="shared" si="37"/>
        <v>4</v>
      </c>
      <c r="P104" s="69">
        <f t="shared" si="38"/>
        <v>4</v>
      </c>
      <c r="Q104" s="69">
        <f t="shared" si="39"/>
        <v>4</v>
      </c>
      <c r="R104" s="70">
        <f t="shared" si="40"/>
        <v>-1.3862943611198906</v>
      </c>
      <c r="S104" s="70">
        <f t="shared" si="41"/>
        <v>-1.3862943611198906</v>
      </c>
      <c r="T104" s="70">
        <f t="shared" si="42"/>
        <v>-1.3636654450013548</v>
      </c>
      <c r="U104" s="70">
        <f t="shared" si="43"/>
        <v>-1.3636654450013548</v>
      </c>
      <c r="V104" s="70">
        <f t="shared" si="44"/>
        <v>1.1180339887498949</v>
      </c>
      <c r="W104" s="70">
        <f t="shared" si="45"/>
        <v>1.1180339887498949</v>
      </c>
      <c r="X104" s="70">
        <f t="shared" si="46"/>
        <v>0</v>
      </c>
      <c r="Y104" s="70">
        <f t="shared" si="47"/>
        <v>1.5811388300841898</v>
      </c>
      <c r="Z104" s="70">
        <f t="shared" si="48"/>
        <v>0</v>
      </c>
      <c r="AA104" s="69" t="str">
        <f t="shared" si="49"/>
        <v>Negligible</v>
      </c>
      <c r="AB104" s="69" t="str">
        <f t="shared" si="50"/>
        <v>Tidak Ada Indikasi Bias</v>
      </c>
    </row>
    <row r="105" spans="1:28" ht="25" x14ac:dyDescent="0.35">
      <c r="A105" s="71" t="str">
        <f>AIL!A99</f>
        <v>95. Siapa yang bertugas mempersiapkan rencana tindakan perbaikan?</v>
      </c>
      <c r="B105" s="69">
        <f>AIL!B99</f>
        <v>0</v>
      </c>
      <c r="C105" s="69">
        <f>AIL!C99</f>
        <v>0</v>
      </c>
      <c r="D105" s="69">
        <f>AIL!D99</f>
        <v>0</v>
      </c>
      <c r="E105" s="69">
        <f>AIL!E99</f>
        <v>0</v>
      </c>
      <c r="F105" s="69">
        <f>AIL!F99</f>
        <v>1</v>
      </c>
      <c r="G105" s="69">
        <f>AIL!G99</f>
        <v>1</v>
      </c>
      <c r="H105" s="69">
        <f>AIL!H99</f>
        <v>1</v>
      </c>
      <c r="I105" s="69">
        <f>AIL!I99</f>
        <v>1</v>
      </c>
      <c r="J105" s="69">
        <f>AIL!J99</f>
        <v>1</v>
      </c>
      <c r="K105" s="69">
        <f>AIL!K99</f>
        <v>1</v>
      </c>
      <c r="L105" s="69">
        <f t="shared" si="34"/>
        <v>5</v>
      </c>
      <c r="M105" s="69">
        <f t="shared" si="35"/>
        <v>5</v>
      </c>
      <c r="N105" s="69">
        <f t="shared" si="36"/>
        <v>3</v>
      </c>
      <c r="O105" s="69">
        <f t="shared" si="37"/>
        <v>3</v>
      </c>
      <c r="P105" s="69">
        <f t="shared" si="38"/>
        <v>3</v>
      </c>
      <c r="Q105" s="69">
        <f t="shared" si="39"/>
        <v>3</v>
      </c>
      <c r="R105" s="70">
        <f t="shared" si="40"/>
        <v>-0.40546510810816444</v>
      </c>
      <c r="S105" s="70">
        <f t="shared" si="41"/>
        <v>-0.40546510810816444</v>
      </c>
      <c r="T105" s="70">
        <f t="shared" si="42"/>
        <v>-0.38283619198962854</v>
      </c>
      <c r="U105" s="70">
        <f t="shared" si="43"/>
        <v>-0.38283619198962854</v>
      </c>
      <c r="V105" s="70">
        <f t="shared" si="44"/>
        <v>0.91287092917527679</v>
      </c>
      <c r="W105" s="70">
        <f t="shared" si="45"/>
        <v>0.91287092917527679</v>
      </c>
      <c r="X105" s="70">
        <f t="shared" si="46"/>
        <v>0</v>
      </c>
      <c r="Y105" s="70">
        <f t="shared" si="47"/>
        <v>1.2909944487358056</v>
      </c>
      <c r="Z105" s="70">
        <f t="shared" si="48"/>
        <v>0</v>
      </c>
      <c r="AA105" s="69" t="str">
        <f t="shared" si="49"/>
        <v>Negligible</v>
      </c>
      <c r="AB105" s="69" t="str">
        <f t="shared" si="50"/>
        <v>Tidak Ada Indikasi Bias</v>
      </c>
    </row>
    <row r="106" spans="1:28" ht="37.5" x14ac:dyDescent="0.35">
      <c r="A106" s="71" t="str">
        <f>AIL!A100</f>
        <v>96. Manakah dari berikut ini yang merupakan manfaat terbesar dari program audit internal bagi suatu organisasi?</v>
      </c>
      <c r="B106" s="69">
        <f>AIL!B100</f>
        <v>1</v>
      </c>
      <c r="C106" s="69">
        <f>AIL!C100</f>
        <v>1</v>
      </c>
      <c r="D106" s="69">
        <f>AIL!D100</f>
        <v>1</v>
      </c>
      <c r="E106" s="69">
        <f>AIL!E100</f>
        <v>1</v>
      </c>
      <c r="F106" s="69">
        <f>AIL!F100</f>
        <v>0</v>
      </c>
      <c r="G106" s="69">
        <f>AIL!G100</f>
        <v>0</v>
      </c>
      <c r="H106" s="69">
        <f>AIL!H100</f>
        <v>0</v>
      </c>
      <c r="I106" s="69">
        <f>AIL!I100</f>
        <v>0</v>
      </c>
      <c r="J106" s="69">
        <f>AIL!J100</f>
        <v>1</v>
      </c>
      <c r="K106" s="69">
        <f>AIL!K100</f>
        <v>1</v>
      </c>
      <c r="L106" s="69">
        <f t="shared" si="34"/>
        <v>5</v>
      </c>
      <c r="M106" s="69">
        <f t="shared" si="35"/>
        <v>5</v>
      </c>
      <c r="N106" s="69">
        <f t="shared" si="36"/>
        <v>3</v>
      </c>
      <c r="O106" s="69">
        <f t="shared" si="37"/>
        <v>3</v>
      </c>
      <c r="P106" s="69">
        <f t="shared" si="38"/>
        <v>3</v>
      </c>
      <c r="Q106" s="69">
        <f t="shared" si="39"/>
        <v>3</v>
      </c>
      <c r="R106" s="70">
        <f t="shared" si="40"/>
        <v>-0.40546510810816444</v>
      </c>
      <c r="S106" s="70">
        <f t="shared" si="41"/>
        <v>-0.40546510810816444</v>
      </c>
      <c r="T106" s="70">
        <f t="shared" si="42"/>
        <v>-0.38283619198962854</v>
      </c>
      <c r="U106" s="70">
        <f t="shared" si="43"/>
        <v>-0.38283619198962854</v>
      </c>
      <c r="V106" s="70">
        <f t="shared" si="44"/>
        <v>0.91287092917527679</v>
      </c>
      <c r="W106" s="70">
        <f t="shared" si="45"/>
        <v>0.91287092917527679</v>
      </c>
      <c r="X106" s="70">
        <f t="shared" si="46"/>
        <v>0</v>
      </c>
      <c r="Y106" s="70">
        <f t="shared" si="47"/>
        <v>1.2909944487358056</v>
      </c>
      <c r="Z106" s="70">
        <f t="shared" si="48"/>
        <v>0</v>
      </c>
      <c r="AA106" s="69" t="str">
        <f t="shared" si="49"/>
        <v>Negligible</v>
      </c>
      <c r="AB106" s="69" t="str">
        <f t="shared" si="50"/>
        <v>Tidak Ada Indikasi Bias</v>
      </c>
    </row>
    <row r="107" spans="1:28" ht="25" x14ac:dyDescent="0.35">
      <c r="A107" s="71" t="str">
        <f>AIL!A101</f>
        <v>97. Jejak audit diperlukan untuk …</v>
      </c>
      <c r="B107" s="69">
        <f>AIL!B101</f>
        <v>1</v>
      </c>
      <c r="C107" s="69">
        <f>AIL!C101</f>
        <v>1</v>
      </c>
      <c r="D107" s="69">
        <f>AIL!D101</f>
        <v>1</v>
      </c>
      <c r="E107" s="69">
        <f>AIL!E101</f>
        <v>1</v>
      </c>
      <c r="F107" s="69">
        <f>AIL!F101</f>
        <v>0</v>
      </c>
      <c r="G107" s="69">
        <f>AIL!G101</f>
        <v>0</v>
      </c>
      <c r="H107" s="69">
        <f>AIL!H101</f>
        <v>0</v>
      </c>
      <c r="I107" s="69">
        <f>AIL!I101</f>
        <v>0</v>
      </c>
      <c r="J107" s="69">
        <f>AIL!J101</f>
        <v>0</v>
      </c>
      <c r="K107" s="69">
        <f>AIL!K101</f>
        <v>0</v>
      </c>
      <c r="L107" s="69">
        <f t="shared" si="34"/>
        <v>5</v>
      </c>
      <c r="M107" s="69">
        <f t="shared" si="35"/>
        <v>5</v>
      </c>
      <c r="N107" s="69">
        <f t="shared" si="36"/>
        <v>2</v>
      </c>
      <c r="O107" s="69">
        <f t="shared" si="37"/>
        <v>2</v>
      </c>
      <c r="P107" s="69">
        <f t="shared" si="38"/>
        <v>2</v>
      </c>
      <c r="Q107" s="69">
        <f t="shared" si="39"/>
        <v>2</v>
      </c>
      <c r="R107" s="70">
        <f t="shared" si="40"/>
        <v>0.40546510810816438</v>
      </c>
      <c r="S107" s="70">
        <f t="shared" si="41"/>
        <v>0.40546510810816438</v>
      </c>
      <c r="T107" s="70">
        <f t="shared" si="42"/>
        <v>0.42809402422670029</v>
      </c>
      <c r="U107" s="70">
        <f t="shared" si="43"/>
        <v>0.42809402422670029</v>
      </c>
      <c r="V107" s="70">
        <f t="shared" si="44"/>
        <v>0.91287092917527679</v>
      </c>
      <c r="W107" s="70">
        <f t="shared" si="45"/>
        <v>0.91287092917527679</v>
      </c>
      <c r="X107" s="70">
        <f t="shared" si="46"/>
        <v>0</v>
      </c>
      <c r="Y107" s="70">
        <f t="shared" si="47"/>
        <v>1.2909944487358056</v>
      </c>
      <c r="Z107" s="70">
        <f t="shared" ref="Z107:Z110" si="51">X107/Y107</f>
        <v>0</v>
      </c>
      <c r="AA107" s="69" t="str">
        <f t="shared" ref="AA107:AA110" si="52">IF(AND(ABS(X107)&gt;=$B$4,ABS(Z107)&gt;=$B$5),"DIF Besar - review",IF(AND(ABS(X107)&gt;=$B$3,ABS(Z107)&gt;=$B$5),"DIF Moderat - cek","Negligible"))</f>
        <v>Negligible</v>
      </c>
      <c r="AB107" s="69" t="str">
        <f t="shared" si="50"/>
        <v>Tidak Ada Indikasi Bias</v>
      </c>
    </row>
    <row r="108" spans="1:28" ht="62.5" customHeight="1" x14ac:dyDescent="0.35">
      <c r="A108" s="71" t="str">
        <f>AIL!A102</f>
        <v>98. Manakah dari berikut ini yang paling penting untuk disampaikan auditor pada wawancara audit awal?</v>
      </c>
      <c r="B108" s="69">
        <f>AIL!B102</f>
        <v>1</v>
      </c>
      <c r="C108" s="69">
        <f>AIL!C102</f>
        <v>1</v>
      </c>
      <c r="D108" s="69">
        <f>AIL!D102</f>
        <v>1</v>
      </c>
      <c r="E108" s="69">
        <f>AIL!E102</f>
        <v>1</v>
      </c>
      <c r="F108" s="69">
        <f>AIL!F102</f>
        <v>1</v>
      </c>
      <c r="G108" s="69">
        <f>AIL!G102</f>
        <v>1</v>
      </c>
      <c r="H108" s="69">
        <f>AIL!H102</f>
        <v>0</v>
      </c>
      <c r="I108" s="69">
        <f>AIL!I102</f>
        <v>0</v>
      </c>
      <c r="J108" s="69">
        <f>AIL!J102</f>
        <v>0</v>
      </c>
      <c r="K108" s="69">
        <f>AIL!K102</f>
        <v>0</v>
      </c>
      <c r="L108" s="69">
        <f t="shared" si="34"/>
        <v>5</v>
      </c>
      <c r="M108" s="69">
        <f t="shared" si="35"/>
        <v>5</v>
      </c>
      <c r="N108" s="69">
        <f t="shared" si="36"/>
        <v>3</v>
      </c>
      <c r="O108" s="69">
        <f t="shared" si="37"/>
        <v>3</v>
      </c>
      <c r="P108" s="69">
        <f t="shared" si="38"/>
        <v>3</v>
      </c>
      <c r="Q108" s="69">
        <f t="shared" si="39"/>
        <v>3</v>
      </c>
      <c r="R108" s="70">
        <f t="shared" si="40"/>
        <v>-0.40546510810816444</v>
      </c>
      <c r="S108" s="70">
        <f t="shared" si="41"/>
        <v>-0.40546510810816444</v>
      </c>
      <c r="T108" s="70">
        <f t="shared" si="42"/>
        <v>-0.38283619198962854</v>
      </c>
      <c r="U108" s="70">
        <f t="shared" si="43"/>
        <v>-0.38283619198962854</v>
      </c>
      <c r="V108" s="70">
        <f t="shared" si="44"/>
        <v>0.91287092917527679</v>
      </c>
      <c r="W108" s="70">
        <f t="shared" si="45"/>
        <v>0.91287092917527679</v>
      </c>
      <c r="X108" s="70">
        <f t="shared" si="46"/>
        <v>0</v>
      </c>
      <c r="Y108" s="70">
        <f t="shared" si="47"/>
        <v>1.2909944487358056</v>
      </c>
      <c r="Z108" s="70">
        <f t="shared" si="51"/>
        <v>0</v>
      </c>
      <c r="AA108" s="69" t="str">
        <f t="shared" si="52"/>
        <v>Negligible</v>
      </c>
      <c r="AB108" s="69" t="str">
        <f t="shared" si="50"/>
        <v>Tidak Ada Indikasi Bias</v>
      </c>
    </row>
    <row r="109" spans="1:28" ht="50" x14ac:dyDescent="0.35">
      <c r="A109" s="71" t="str">
        <f>AIL!A103</f>
        <v>99. Manakah dari permintaan auditor berikut yang kemungkinan besar akan memperoleh bukti paling obyektif untuk verifikasi?</v>
      </c>
      <c r="B109" s="69">
        <f>AIL!B103</f>
        <v>1</v>
      </c>
      <c r="C109" s="69">
        <f>AIL!C103</f>
        <v>1</v>
      </c>
      <c r="D109" s="69">
        <f>AIL!D103</f>
        <v>0</v>
      </c>
      <c r="E109" s="69">
        <f>AIL!E103</f>
        <v>0</v>
      </c>
      <c r="F109" s="69">
        <f>AIL!F103</f>
        <v>0</v>
      </c>
      <c r="G109" s="69">
        <f>AIL!G103</f>
        <v>0</v>
      </c>
      <c r="H109" s="69">
        <f>AIL!H103</f>
        <v>0</v>
      </c>
      <c r="I109" s="69">
        <f>AIL!I103</f>
        <v>0</v>
      </c>
      <c r="J109" s="69">
        <f>AIL!J103</f>
        <v>0</v>
      </c>
      <c r="K109" s="69">
        <f>AIL!K103</f>
        <v>0</v>
      </c>
      <c r="L109" s="69">
        <f t="shared" si="34"/>
        <v>5</v>
      </c>
      <c r="M109" s="69">
        <f t="shared" si="35"/>
        <v>5</v>
      </c>
      <c r="N109" s="69">
        <f t="shared" si="36"/>
        <v>1</v>
      </c>
      <c r="O109" s="69">
        <f t="shared" si="37"/>
        <v>1</v>
      </c>
      <c r="P109" s="69">
        <f t="shared" si="38"/>
        <v>1</v>
      </c>
      <c r="Q109" s="69">
        <f t="shared" si="39"/>
        <v>1</v>
      </c>
      <c r="R109" s="70">
        <f t="shared" si="40"/>
        <v>1.3862943611198906</v>
      </c>
      <c r="S109" s="70">
        <f t="shared" si="41"/>
        <v>1.3862943611198906</v>
      </c>
      <c r="T109" s="70">
        <f t="shared" si="42"/>
        <v>1.4089232772384264</v>
      </c>
      <c r="U109" s="70">
        <f t="shared" si="43"/>
        <v>1.4089232772384264</v>
      </c>
      <c r="V109" s="70">
        <f t="shared" si="44"/>
        <v>1.1180339887498949</v>
      </c>
      <c r="W109" s="70">
        <f t="shared" si="45"/>
        <v>1.1180339887498949</v>
      </c>
      <c r="X109" s="70">
        <f t="shared" si="46"/>
        <v>0</v>
      </c>
      <c r="Y109" s="70">
        <f t="shared" si="47"/>
        <v>1.5811388300841898</v>
      </c>
      <c r="Z109" s="70">
        <f t="shared" si="51"/>
        <v>0</v>
      </c>
      <c r="AA109" s="69" t="str">
        <f t="shared" si="52"/>
        <v>Negligible</v>
      </c>
      <c r="AB109" s="69" t="str">
        <f t="shared" si="50"/>
        <v>Tidak Ada Indikasi Bias</v>
      </c>
    </row>
    <row r="110" spans="1:28" ht="62.5" customHeight="1" x14ac:dyDescent="0.35">
      <c r="A110" s="71" t="str">
        <f>AIL!A104</f>
        <v>100. Analisis akar masalah / root cause analysis digunakan untuk …</v>
      </c>
      <c r="B110" s="69">
        <f>AIL!B104</f>
        <v>1</v>
      </c>
      <c r="C110" s="69">
        <f>AIL!C104</f>
        <v>1</v>
      </c>
      <c r="D110" s="69">
        <f>AIL!D104</f>
        <v>1</v>
      </c>
      <c r="E110" s="69">
        <f>AIL!E104</f>
        <v>1</v>
      </c>
      <c r="F110" s="69">
        <f>AIL!F104</f>
        <v>0</v>
      </c>
      <c r="G110" s="69">
        <f>AIL!G104</f>
        <v>0</v>
      </c>
      <c r="H110" s="69">
        <f>AIL!H104</f>
        <v>1</v>
      </c>
      <c r="I110" s="69">
        <f>AIL!I104</f>
        <v>1</v>
      </c>
      <c r="J110" s="69">
        <f>AIL!J104</f>
        <v>1</v>
      </c>
      <c r="K110" s="69">
        <f>AIL!K104</f>
        <v>1</v>
      </c>
      <c r="L110" s="69">
        <f t="shared" si="34"/>
        <v>5</v>
      </c>
      <c r="M110" s="69">
        <f t="shared" si="35"/>
        <v>5</v>
      </c>
      <c r="N110" s="69">
        <f t="shared" si="36"/>
        <v>4</v>
      </c>
      <c r="O110" s="69">
        <f t="shared" si="37"/>
        <v>4</v>
      </c>
      <c r="P110" s="69">
        <f t="shared" si="38"/>
        <v>4</v>
      </c>
      <c r="Q110" s="69">
        <f t="shared" si="39"/>
        <v>4</v>
      </c>
      <c r="R110" s="70">
        <f t="shared" si="40"/>
        <v>-1.3862943611198906</v>
      </c>
      <c r="S110" s="70">
        <f t="shared" si="41"/>
        <v>-1.3862943611198906</v>
      </c>
      <c r="T110" s="70">
        <f t="shared" si="42"/>
        <v>-1.3636654450013548</v>
      </c>
      <c r="U110" s="70">
        <f t="shared" si="43"/>
        <v>-1.3636654450013548</v>
      </c>
      <c r="V110" s="70">
        <f t="shared" si="44"/>
        <v>1.1180339887498949</v>
      </c>
      <c r="W110" s="70">
        <f t="shared" si="45"/>
        <v>1.1180339887498949</v>
      </c>
      <c r="X110" s="70">
        <f t="shared" si="46"/>
        <v>0</v>
      </c>
      <c r="Y110" s="70">
        <f t="shared" si="47"/>
        <v>1.5811388300841898</v>
      </c>
      <c r="Z110" s="70">
        <f t="shared" si="51"/>
        <v>0</v>
      </c>
      <c r="AA110" s="69" t="str">
        <f t="shared" si="52"/>
        <v>Negligible</v>
      </c>
      <c r="AB110" s="69" t="str">
        <f t="shared" si="50"/>
        <v>Tidak Ada Indikasi Bias</v>
      </c>
    </row>
    <row r="111" spans="1:28" x14ac:dyDescent="0.35">
      <c r="A111" s="67"/>
      <c r="B111" s="68">
        <f t="shared" ref="B111:K111" si="53">SUM(B11:B110)</f>
        <v>84</v>
      </c>
      <c r="C111" s="68">
        <f t="shared" si="53"/>
        <v>84</v>
      </c>
      <c r="D111" s="68">
        <f t="shared" si="53"/>
        <v>80</v>
      </c>
      <c r="E111" s="68">
        <f t="shared" si="53"/>
        <v>80</v>
      </c>
      <c r="F111" s="68">
        <f t="shared" si="53"/>
        <v>21</v>
      </c>
      <c r="G111" s="68">
        <f t="shared" si="53"/>
        <v>21</v>
      </c>
      <c r="H111" s="68">
        <f t="shared" si="53"/>
        <v>22</v>
      </c>
      <c r="I111" s="68">
        <f t="shared" si="53"/>
        <v>22</v>
      </c>
      <c r="J111" s="68">
        <f t="shared" si="53"/>
        <v>46</v>
      </c>
      <c r="K111" s="68">
        <f t="shared" si="53"/>
        <v>46</v>
      </c>
      <c r="L111" s="67"/>
      <c r="M111" s="67"/>
      <c r="N111" s="67"/>
      <c r="O111" s="67"/>
      <c r="P111" s="67"/>
      <c r="Q111" s="67"/>
      <c r="R111" s="67"/>
      <c r="S111" s="67"/>
      <c r="T111" s="67"/>
      <c r="U111" s="67"/>
      <c r="V111" s="67"/>
      <c r="W111" s="67"/>
      <c r="X111" s="67"/>
      <c r="Y111" s="67"/>
      <c r="Z111" s="67"/>
      <c r="AA111" s="67"/>
      <c r="AB111" s="67"/>
    </row>
    <row r="112" spans="1:28" x14ac:dyDescent="0.35">
      <c r="A112" s="1"/>
      <c r="L112"/>
    </row>
  </sheetData>
  <mergeCells count="28">
    <mergeCell ref="O9:O10"/>
    <mergeCell ref="AB9:AB10"/>
    <mergeCell ref="Q3:T3"/>
    <mergeCell ref="Q4:S4"/>
    <mergeCell ref="A9:A10"/>
    <mergeCell ref="B9:K9"/>
    <mergeCell ref="L9:L10"/>
    <mergeCell ref="M9:M10"/>
    <mergeCell ref="N9:N10"/>
    <mergeCell ref="L6:N6"/>
    <mergeCell ref="Q6:T6"/>
    <mergeCell ref="K7:Y7"/>
    <mergeCell ref="A1:AC1"/>
    <mergeCell ref="L4:N4"/>
    <mergeCell ref="L5:N5"/>
    <mergeCell ref="Q5:T5"/>
    <mergeCell ref="R9:R10"/>
    <mergeCell ref="S9:S10"/>
    <mergeCell ref="T9:T10"/>
    <mergeCell ref="X9:X10"/>
    <mergeCell ref="W9:W10"/>
    <mergeCell ref="Y9:Y10"/>
    <mergeCell ref="Z9:Z10"/>
    <mergeCell ref="AA9:AA10"/>
    <mergeCell ref="P9:P10"/>
    <mergeCell ref="Q9:Q10"/>
    <mergeCell ref="U9:U10"/>
    <mergeCell ref="V9:V10"/>
  </mergeCells>
  <pageMargins left="0.26" right="0.16" top="0.6" bottom="0.36" header="0.3" footer="0.3"/>
  <pageSetup scale="59"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FD5B4-686C-4F70-95EF-A83ADC920FEF}">
  <dimension ref="A1:AE113"/>
  <sheetViews>
    <sheetView view="pageBreakPreview" topLeftCell="A99" zoomScale="48" zoomScaleNormal="89" zoomScaleSheetLayoutView="48" workbookViewId="0">
      <selection activeCell="O123" sqref="O123"/>
    </sheetView>
  </sheetViews>
  <sheetFormatPr defaultColWidth="9.08984375" defaultRowHeight="14" x14ac:dyDescent="0.3"/>
  <cols>
    <col min="1" max="1" width="38.90625" style="5" customWidth="1"/>
    <col min="2" max="11" width="5.36328125" style="5" customWidth="1"/>
    <col min="12" max="12" width="12" style="6" customWidth="1"/>
    <col min="13" max="13" width="9" style="6" customWidth="1"/>
    <col min="14" max="14" width="10.6328125" style="6" customWidth="1"/>
    <col min="15" max="15" width="17.26953125" style="6" customWidth="1"/>
    <col min="16" max="16" width="9.08984375" style="6"/>
    <col min="17" max="17" width="12.90625" style="6" customWidth="1"/>
    <col min="18" max="18" width="8.6328125" style="6" customWidth="1"/>
    <col min="19" max="28" width="8.08984375" style="6" customWidth="1"/>
    <col min="29" max="39" width="9.08984375" style="6"/>
    <col min="40" max="40" width="8.90625" style="6" customWidth="1"/>
    <col min="41" max="16384" width="9.08984375" style="6"/>
  </cols>
  <sheetData>
    <row r="1" spans="1:31" ht="15" x14ac:dyDescent="0.3">
      <c r="A1" s="111" t="s">
        <v>792</v>
      </c>
      <c r="B1" s="112"/>
      <c r="C1" s="112"/>
      <c r="D1" s="112"/>
      <c r="E1" s="112"/>
      <c r="F1" s="112"/>
      <c r="G1" s="112"/>
      <c r="H1" s="112"/>
      <c r="I1" s="112"/>
      <c r="J1" s="112"/>
      <c r="K1" s="112"/>
      <c r="L1" s="112"/>
      <c r="M1" s="112"/>
      <c r="N1" s="112"/>
      <c r="O1" s="112"/>
      <c r="P1" s="33"/>
      <c r="Q1" s="33"/>
      <c r="R1" s="33"/>
      <c r="S1" s="33"/>
      <c r="T1" s="33"/>
      <c r="U1" s="33"/>
      <c r="V1" s="33"/>
      <c r="W1" s="33"/>
      <c r="X1" s="33"/>
      <c r="Y1" s="33"/>
      <c r="Z1" s="33"/>
      <c r="AA1" s="33"/>
      <c r="AB1" s="33"/>
      <c r="AC1" s="33"/>
      <c r="AD1" s="33"/>
      <c r="AE1" s="33"/>
    </row>
    <row r="2" spans="1:31" s="8" customFormat="1" ht="42" x14ac:dyDescent="0.35">
      <c r="A2" s="21" t="s">
        <v>756</v>
      </c>
      <c r="B2" s="101" t="s">
        <v>758</v>
      </c>
      <c r="C2" s="101" t="s">
        <v>757</v>
      </c>
      <c r="D2" s="101" t="s">
        <v>758</v>
      </c>
      <c r="E2" s="101" t="s">
        <v>757</v>
      </c>
      <c r="F2" s="101" t="s">
        <v>758</v>
      </c>
      <c r="G2" s="101" t="s">
        <v>758</v>
      </c>
      <c r="H2" s="101" t="s">
        <v>757</v>
      </c>
      <c r="I2" s="101" t="s">
        <v>758</v>
      </c>
      <c r="J2" s="101" t="s">
        <v>757</v>
      </c>
      <c r="K2" s="101" t="s">
        <v>757</v>
      </c>
      <c r="L2" s="20"/>
      <c r="M2" s="20"/>
      <c r="N2" s="20"/>
      <c r="O2" s="20"/>
      <c r="P2" s="20"/>
      <c r="Q2" s="20"/>
      <c r="R2" s="20"/>
      <c r="S2" s="20"/>
      <c r="T2" s="20"/>
      <c r="U2" s="20"/>
      <c r="V2" s="20"/>
      <c r="W2" s="20"/>
      <c r="X2" s="20"/>
      <c r="Y2" s="20"/>
      <c r="Z2" s="20"/>
      <c r="AA2" s="20"/>
      <c r="AB2" s="20"/>
      <c r="AC2" s="20"/>
      <c r="AD2" s="20"/>
      <c r="AE2" s="20"/>
    </row>
    <row r="3" spans="1:31" ht="15" customHeight="1" x14ac:dyDescent="0.3">
      <c r="A3" s="114" t="s">
        <v>0</v>
      </c>
      <c r="B3" s="128" t="s">
        <v>633</v>
      </c>
      <c r="C3" s="128"/>
      <c r="D3" s="128"/>
      <c r="E3" s="128"/>
      <c r="F3" s="128"/>
      <c r="G3" s="128"/>
      <c r="H3" s="128"/>
      <c r="I3" s="128"/>
      <c r="J3" s="128"/>
      <c r="K3" s="128"/>
      <c r="L3" s="114" t="s">
        <v>101</v>
      </c>
      <c r="M3" s="128" t="s">
        <v>102</v>
      </c>
      <c r="N3" s="128" t="s">
        <v>103</v>
      </c>
      <c r="O3" s="109" t="s">
        <v>102</v>
      </c>
      <c r="P3" s="33"/>
      <c r="Q3" s="49" t="s">
        <v>106</v>
      </c>
      <c r="R3" s="33"/>
      <c r="S3" s="33"/>
      <c r="T3" s="33"/>
      <c r="U3" s="33"/>
      <c r="V3" s="33"/>
      <c r="W3" s="33"/>
      <c r="X3" s="33"/>
      <c r="Y3" s="33"/>
      <c r="Z3" s="33"/>
      <c r="AA3" s="33"/>
      <c r="AB3" s="33"/>
      <c r="AC3" s="33"/>
      <c r="AD3" s="33"/>
      <c r="AE3" s="33"/>
    </row>
    <row r="4" spans="1:31" ht="15" customHeight="1" x14ac:dyDescent="0.3">
      <c r="A4" s="114"/>
      <c r="B4" s="58">
        <v>1</v>
      </c>
      <c r="C4" s="58">
        <v>2</v>
      </c>
      <c r="D4" s="58">
        <v>3</v>
      </c>
      <c r="E4" s="58">
        <v>4</v>
      </c>
      <c r="F4" s="58">
        <v>5</v>
      </c>
      <c r="G4" s="58">
        <v>6</v>
      </c>
      <c r="H4" s="58">
        <v>7</v>
      </c>
      <c r="I4" s="58">
        <v>8</v>
      </c>
      <c r="J4" s="58">
        <v>9</v>
      </c>
      <c r="K4" s="58">
        <v>10</v>
      </c>
      <c r="L4" s="114"/>
      <c r="M4" s="128"/>
      <c r="N4" s="128"/>
      <c r="O4" s="109"/>
      <c r="P4" s="33"/>
      <c r="Q4" s="109" t="s">
        <v>108</v>
      </c>
      <c r="R4" s="109" t="s">
        <v>633</v>
      </c>
      <c r="S4" s="109"/>
      <c r="T4" s="109"/>
      <c r="U4" s="109"/>
      <c r="V4" s="109"/>
      <c r="W4" s="109"/>
      <c r="X4" s="109"/>
      <c r="Y4" s="109"/>
      <c r="Z4" s="109"/>
      <c r="AA4" s="109"/>
      <c r="AB4" s="109" t="s">
        <v>107</v>
      </c>
      <c r="AC4" s="109" t="s">
        <v>109</v>
      </c>
      <c r="AD4" s="109" t="s">
        <v>110</v>
      </c>
      <c r="AE4" s="33"/>
    </row>
    <row r="5" spans="1:31" ht="28" x14ac:dyDescent="0.3">
      <c r="A5" s="59" t="s">
        <v>120</v>
      </c>
      <c r="B5" s="25">
        <v>0</v>
      </c>
      <c r="C5" s="25">
        <v>0</v>
      </c>
      <c r="D5" s="25">
        <v>1</v>
      </c>
      <c r="E5" s="25">
        <v>1</v>
      </c>
      <c r="F5" s="25">
        <v>1</v>
      </c>
      <c r="G5" s="25">
        <v>0</v>
      </c>
      <c r="H5" s="25">
        <v>1</v>
      </c>
      <c r="I5" s="25">
        <v>1</v>
      </c>
      <c r="J5" s="25">
        <v>1</v>
      </c>
      <c r="K5" s="25">
        <v>0</v>
      </c>
      <c r="L5" s="3">
        <f>SUM(B5:K5)/10</f>
        <v>0.6</v>
      </c>
      <c r="M5" s="26" t="str">
        <f>IF(L5&lt;0.31,"sukar",IF(L5&lt;0.71,"sedang","mudah"))</f>
        <v>sedang</v>
      </c>
      <c r="N5" s="3">
        <f>ABS((SUM(B5:E5)-SUM(F5,H5:J5))*2/8)</f>
        <v>0.5</v>
      </c>
      <c r="O5" s="26" t="str">
        <f>IF(N5&lt;0.2,"soal dibuang",IF(N5&lt;0.3,"soal diperbaiki",IF(N5&lt;0.4,"soal diterima tapi perlu diperbaiki","soal diterima baik")))</f>
        <v>soal diterima baik</v>
      </c>
      <c r="P5" s="33"/>
      <c r="Q5" s="109"/>
      <c r="R5" s="27">
        <v>1</v>
      </c>
      <c r="S5" s="27">
        <v>2</v>
      </c>
      <c r="T5" s="27">
        <v>3</v>
      </c>
      <c r="U5" s="27">
        <v>4</v>
      </c>
      <c r="V5" s="27">
        <v>5</v>
      </c>
      <c r="W5" s="27">
        <v>6</v>
      </c>
      <c r="X5" s="27">
        <v>7</v>
      </c>
      <c r="Y5" s="27">
        <v>8</v>
      </c>
      <c r="Z5" s="27">
        <v>9</v>
      </c>
      <c r="AA5" s="27">
        <v>10</v>
      </c>
      <c r="AB5" s="109"/>
      <c r="AC5" s="109"/>
      <c r="AD5" s="109"/>
      <c r="AE5" s="33"/>
    </row>
    <row r="6" spans="1:31" ht="42" x14ac:dyDescent="0.3">
      <c r="A6" s="59" t="s">
        <v>121</v>
      </c>
      <c r="B6" s="25">
        <v>1</v>
      </c>
      <c r="C6" s="25">
        <v>1</v>
      </c>
      <c r="D6" s="25">
        <v>1</v>
      </c>
      <c r="E6" s="25">
        <v>1</v>
      </c>
      <c r="F6" s="25">
        <v>0</v>
      </c>
      <c r="G6" s="25">
        <v>0</v>
      </c>
      <c r="H6" s="25">
        <v>0</v>
      </c>
      <c r="I6" s="25">
        <v>0</v>
      </c>
      <c r="J6" s="25">
        <v>0</v>
      </c>
      <c r="K6" s="25">
        <v>0</v>
      </c>
      <c r="L6" s="3">
        <f t="shared" ref="L6:L69" si="0">SUM(B6:K6)/10</f>
        <v>0.4</v>
      </c>
      <c r="M6" s="26" t="str">
        <f t="shared" ref="M6:M69" si="1">IF(L6&lt;0.31,"sukar",IF(L6&lt;0.71,"sedang","mudah"))</f>
        <v>sedang</v>
      </c>
      <c r="N6" s="3">
        <f t="shared" ref="N6:N69" si="2">ABS((SUM(B6:E6)-SUM(F6,H6:J6))*2/8)</f>
        <v>1</v>
      </c>
      <c r="O6" s="26" t="str">
        <f t="shared" ref="O6:O69" si="3">IF(N6&lt;0.2,"soal dibuang",IF(N6&lt;0.3,"soal diperbaiki",IF(N6&lt;0.4,"soal diterima tapi perlu diperbaiki","soal diterima baik")))</f>
        <v>soal diterima baik</v>
      </c>
      <c r="P6" s="33"/>
      <c r="Q6" s="26">
        <v>1</v>
      </c>
      <c r="R6" s="25">
        <f>B5</f>
        <v>0</v>
      </c>
      <c r="S6" s="25">
        <f t="shared" ref="S6:AA21" si="4">C5</f>
        <v>0</v>
      </c>
      <c r="T6" s="25">
        <f t="shared" si="4"/>
        <v>1</v>
      </c>
      <c r="U6" s="25">
        <f t="shared" si="4"/>
        <v>1</v>
      </c>
      <c r="V6" s="25">
        <f t="shared" si="4"/>
        <v>1</v>
      </c>
      <c r="W6" s="25">
        <f t="shared" si="4"/>
        <v>0</v>
      </c>
      <c r="X6" s="25">
        <f t="shared" si="4"/>
        <v>1</v>
      </c>
      <c r="Y6" s="25">
        <f t="shared" si="4"/>
        <v>1</v>
      </c>
      <c r="Z6" s="25">
        <f t="shared" si="4"/>
        <v>1</v>
      </c>
      <c r="AA6" s="25">
        <f t="shared" si="4"/>
        <v>0</v>
      </c>
      <c r="AB6" s="3">
        <f>SUM(R6:AA6)/COUNT(R6:AA6)</f>
        <v>0.6</v>
      </c>
      <c r="AC6" s="3">
        <f>1-AB6</f>
        <v>0.4</v>
      </c>
      <c r="AD6" s="3">
        <f>AB6*AC6</f>
        <v>0.24</v>
      </c>
      <c r="AE6" s="33"/>
    </row>
    <row r="7" spans="1:31" ht="42" x14ac:dyDescent="0.3">
      <c r="A7" s="60" t="s">
        <v>122</v>
      </c>
      <c r="B7" s="25">
        <v>1</v>
      </c>
      <c r="C7" s="25">
        <v>1</v>
      </c>
      <c r="D7" s="25">
        <v>1</v>
      </c>
      <c r="E7" s="25">
        <v>1</v>
      </c>
      <c r="F7" s="25">
        <v>0</v>
      </c>
      <c r="G7" s="25">
        <v>0</v>
      </c>
      <c r="H7" s="25">
        <v>0</v>
      </c>
      <c r="I7" s="25">
        <v>0</v>
      </c>
      <c r="J7" s="25">
        <v>0</v>
      </c>
      <c r="K7" s="25">
        <v>0</v>
      </c>
      <c r="L7" s="3">
        <f t="shared" si="0"/>
        <v>0.4</v>
      </c>
      <c r="M7" s="26" t="str">
        <f t="shared" si="1"/>
        <v>sedang</v>
      </c>
      <c r="N7" s="3">
        <f t="shared" si="2"/>
        <v>1</v>
      </c>
      <c r="O7" s="26" t="str">
        <f t="shared" si="3"/>
        <v>soal diterima baik</v>
      </c>
      <c r="P7" s="33"/>
      <c r="Q7" s="26">
        <v>2</v>
      </c>
      <c r="R7" s="25">
        <f t="shared" ref="R7:AA45" si="5">B6</f>
        <v>1</v>
      </c>
      <c r="S7" s="25">
        <f t="shared" si="4"/>
        <v>1</v>
      </c>
      <c r="T7" s="25">
        <f t="shared" si="4"/>
        <v>1</v>
      </c>
      <c r="U7" s="25">
        <f t="shared" si="4"/>
        <v>1</v>
      </c>
      <c r="V7" s="25">
        <f t="shared" si="4"/>
        <v>0</v>
      </c>
      <c r="W7" s="25">
        <f t="shared" si="4"/>
        <v>0</v>
      </c>
      <c r="X7" s="25">
        <f t="shared" si="4"/>
        <v>0</v>
      </c>
      <c r="Y7" s="25">
        <f t="shared" si="4"/>
        <v>0</v>
      </c>
      <c r="Z7" s="25">
        <f t="shared" si="4"/>
        <v>0</v>
      </c>
      <c r="AA7" s="25">
        <f t="shared" si="4"/>
        <v>0</v>
      </c>
      <c r="AB7" s="3">
        <f t="shared" ref="AB7:AB70" si="6">SUM(R7:AA7)/COUNT(R7:AA7)</f>
        <v>0.4</v>
      </c>
      <c r="AC7" s="3">
        <f t="shared" ref="AC7:AC70" si="7">1-AB7</f>
        <v>0.6</v>
      </c>
      <c r="AD7" s="3">
        <f t="shared" ref="AD7:AD70" si="8">AB7*AC7</f>
        <v>0.24</v>
      </c>
      <c r="AE7" s="33"/>
    </row>
    <row r="8" spans="1:31" ht="28" x14ac:dyDescent="0.3">
      <c r="A8" s="59" t="s">
        <v>123</v>
      </c>
      <c r="B8" s="25">
        <v>1</v>
      </c>
      <c r="C8" s="25">
        <v>1</v>
      </c>
      <c r="D8" s="25">
        <v>0</v>
      </c>
      <c r="E8" s="25">
        <v>0</v>
      </c>
      <c r="F8" s="25">
        <v>0</v>
      </c>
      <c r="G8" s="25">
        <v>1</v>
      </c>
      <c r="H8" s="25">
        <v>0</v>
      </c>
      <c r="I8" s="25">
        <v>0</v>
      </c>
      <c r="J8" s="25">
        <v>0</v>
      </c>
      <c r="K8" s="25">
        <v>1</v>
      </c>
      <c r="L8" s="3">
        <f t="shared" si="0"/>
        <v>0.4</v>
      </c>
      <c r="M8" s="26" t="str">
        <f t="shared" si="1"/>
        <v>sedang</v>
      </c>
      <c r="N8" s="3">
        <f t="shared" si="2"/>
        <v>0.5</v>
      </c>
      <c r="O8" s="26" t="str">
        <f t="shared" si="3"/>
        <v>soal diterima baik</v>
      </c>
      <c r="P8" s="33"/>
      <c r="Q8" s="26">
        <v>3</v>
      </c>
      <c r="R8" s="25">
        <f t="shared" si="5"/>
        <v>1</v>
      </c>
      <c r="S8" s="25">
        <f t="shared" si="4"/>
        <v>1</v>
      </c>
      <c r="T8" s="25">
        <f t="shared" si="4"/>
        <v>1</v>
      </c>
      <c r="U8" s="25">
        <f t="shared" si="4"/>
        <v>1</v>
      </c>
      <c r="V8" s="25">
        <f t="shared" si="4"/>
        <v>0</v>
      </c>
      <c r="W8" s="25">
        <f t="shared" si="4"/>
        <v>0</v>
      </c>
      <c r="X8" s="25">
        <f t="shared" si="4"/>
        <v>0</v>
      </c>
      <c r="Y8" s="25">
        <f t="shared" si="4"/>
        <v>0</v>
      </c>
      <c r="Z8" s="25">
        <f t="shared" si="4"/>
        <v>0</v>
      </c>
      <c r="AA8" s="25">
        <f t="shared" si="4"/>
        <v>0</v>
      </c>
      <c r="AB8" s="3">
        <f t="shared" si="6"/>
        <v>0.4</v>
      </c>
      <c r="AC8" s="3">
        <f t="shared" si="7"/>
        <v>0.6</v>
      </c>
      <c r="AD8" s="3">
        <f t="shared" si="8"/>
        <v>0.24</v>
      </c>
      <c r="AE8" s="33"/>
    </row>
    <row r="9" spans="1:31" ht="28" x14ac:dyDescent="0.3">
      <c r="A9" s="59" t="s">
        <v>124</v>
      </c>
      <c r="B9" s="25">
        <v>1</v>
      </c>
      <c r="C9" s="25">
        <v>1</v>
      </c>
      <c r="D9" s="25">
        <v>0</v>
      </c>
      <c r="E9" s="25">
        <v>0</v>
      </c>
      <c r="F9" s="25">
        <v>0</v>
      </c>
      <c r="G9" s="25">
        <v>0</v>
      </c>
      <c r="H9" s="25">
        <v>0</v>
      </c>
      <c r="I9" s="25">
        <v>0</v>
      </c>
      <c r="J9" s="25">
        <v>0</v>
      </c>
      <c r="K9" s="25">
        <v>0</v>
      </c>
      <c r="L9" s="3">
        <f t="shared" si="0"/>
        <v>0.2</v>
      </c>
      <c r="M9" s="26" t="str">
        <f t="shared" si="1"/>
        <v>sukar</v>
      </c>
      <c r="N9" s="3">
        <f t="shared" si="2"/>
        <v>0.5</v>
      </c>
      <c r="O9" s="26" t="str">
        <f t="shared" si="3"/>
        <v>soal diterima baik</v>
      </c>
      <c r="P9" s="33"/>
      <c r="Q9" s="26">
        <v>4</v>
      </c>
      <c r="R9" s="25">
        <f t="shared" si="5"/>
        <v>1</v>
      </c>
      <c r="S9" s="25">
        <f t="shared" si="4"/>
        <v>1</v>
      </c>
      <c r="T9" s="25">
        <f t="shared" si="4"/>
        <v>0</v>
      </c>
      <c r="U9" s="25">
        <f t="shared" si="4"/>
        <v>0</v>
      </c>
      <c r="V9" s="25">
        <f t="shared" si="4"/>
        <v>0</v>
      </c>
      <c r="W9" s="25">
        <f t="shared" si="4"/>
        <v>1</v>
      </c>
      <c r="X9" s="25">
        <f t="shared" si="4"/>
        <v>0</v>
      </c>
      <c r="Y9" s="25">
        <f t="shared" si="4"/>
        <v>0</v>
      </c>
      <c r="Z9" s="25">
        <f t="shared" si="4"/>
        <v>0</v>
      </c>
      <c r="AA9" s="25">
        <f t="shared" si="4"/>
        <v>1</v>
      </c>
      <c r="AB9" s="3">
        <f t="shared" si="6"/>
        <v>0.4</v>
      </c>
      <c r="AC9" s="3">
        <f t="shared" si="7"/>
        <v>0.6</v>
      </c>
      <c r="AD9" s="3">
        <f t="shared" si="8"/>
        <v>0.24</v>
      </c>
      <c r="AE9" s="33"/>
    </row>
    <row r="10" spans="1:31" ht="28" x14ac:dyDescent="0.3">
      <c r="A10" s="60" t="s">
        <v>125</v>
      </c>
      <c r="B10" s="25">
        <v>1</v>
      </c>
      <c r="C10" s="25">
        <v>1</v>
      </c>
      <c r="D10" s="25">
        <v>0</v>
      </c>
      <c r="E10" s="25">
        <v>0</v>
      </c>
      <c r="F10" s="25">
        <v>0</v>
      </c>
      <c r="G10" s="25">
        <v>1</v>
      </c>
      <c r="H10" s="25">
        <v>0</v>
      </c>
      <c r="I10" s="25">
        <v>0</v>
      </c>
      <c r="J10" s="25">
        <v>0</v>
      </c>
      <c r="K10" s="25">
        <v>1</v>
      </c>
      <c r="L10" s="3">
        <f t="shared" si="0"/>
        <v>0.4</v>
      </c>
      <c r="M10" s="26" t="str">
        <f t="shared" si="1"/>
        <v>sedang</v>
      </c>
      <c r="N10" s="3">
        <f t="shared" si="2"/>
        <v>0.5</v>
      </c>
      <c r="O10" s="26" t="str">
        <f t="shared" si="3"/>
        <v>soal diterima baik</v>
      </c>
      <c r="P10" s="33"/>
      <c r="Q10" s="26">
        <v>5</v>
      </c>
      <c r="R10" s="25">
        <f t="shared" si="5"/>
        <v>1</v>
      </c>
      <c r="S10" s="25">
        <f t="shared" si="4"/>
        <v>1</v>
      </c>
      <c r="T10" s="25">
        <f t="shared" si="4"/>
        <v>0</v>
      </c>
      <c r="U10" s="25">
        <f t="shared" si="4"/>
        <v>0</v>
      </c>
      <c r="V10" s="25">
        <f t="shared" si="4"/>
        <v>0</v>
      </c>
      <c r="W10" s="25">
        <f t="shared" si="4"/>
        <v>0</v>
      </c>
      <c r="X10" s="25">
        <f t="shared" si="4"/>
        <v>0</v>
      </c>
      <c r="Y10" s="25">
        <f t="shared" si="4"/>
        <v>0</v>
      </c>
      <c r="Z10" s="25">
        <f t="shared" si="4"/>
        <v>0</v>
      </c>
      <c r="AA10" s="25">
        <f t="shared" si="4"/>
        <v>0</v>
      </c>
      <c r="AB10" s="3">
        <f t="shared" si="6"/>
        <v>0.2</v>
      </c>
      <c r="AC10" s="3">
        <f t="shared" si="7"/>
        <v>0.8</v>
      </c>
      <c r="AD10" s="3">
        <f t="shared" si="8"/>
        <v>0.16000000000000003</v>
      </c>
      <c r="AE10" s="33"/>
    </row>
    <row r="11" spans="1:31" ht="28" x14ac:dyDescent="0.3">
      <c r="A11" s="59" t="s">
        <v>126</v>
      </c>
      <c r="B11" s="25">
        <v>1</v>
      </c>
      <c r="C11" s="25">
        <v>1</v>
      </c>
      <c r="D11" s="25">
        <v>1</v>
      </c>
      <c r="E11" s="25">
        <v>1</v>
      </c>
      <c r="F11" s="25">
        <v>0</v>
      </c>
      <c r="G11" s="25">
        <v>1</v>
      </c>
      <c r="H11" s="25">
        <v>0</v>
      </c>
      <c r="I11" s="25">
        <v>0</v>
      </c>
      <c r="J11" s="25">
        <v>0</v>
      </c>
      <c r="K11" s="25">
        <v>1</v>
      </c>
      <c r="L11" s="3">
        <f t="shared" si="0"/>
        <v>0.6</v>
      </c>
      <c r="M11" s="26" t="str">
        <f t="shared" si="1"/>
        <v>sedang</v>
      </c>
      <c r="N11" s="3">
        <f t="shared" si="2"/>
        <v>1</v>
      </c>
      <c r="O11" s="26" t="str">
        <f t="shared" si="3"/>
        <v>soal diterima baik</v>
      </c>
      <c r="P11" s="33"/>
      <c r="Q11" s="26">
        <v>6</v>
      </c>
      <c r="R11" s="25">
        <f t="shared" si="5"/>
        <v>1</v>
      </c>
      <c r="S11" s="25">
        <f t="shared" si="4"/>
        <v>1</v>
      </c>
      <c r="T11" s="25">
        <f t="shared" si="4"/>
        <v>0</v>
      </c>
      <c r="U11" s="25">
        <f t="shared" si="4"/>
        <v>0</v>
      </c>
      <c r="V11" s="25">
        <f t="shared" si="4"/>
        <v>0</v>
      </c>
      <c r="W11" s="25">
        <f t="shared" si="4"/>
        <v>1</v>
      </c>
      <c r="X11" s="25">
        <f t="shared" si="4"/>
        <v>0</v>
      </c>
      <c r="Y11" s="25">
        <f t="shared" si="4"/>
        <v>0</v>
      </c>
      <c r="Z11" s="25">
        <f t="shared" si="4"/>
        <v>0</v>
      </c>
      <c r="AA11" s="25">
        <f t="shared" si="4"/>
        <v>1</v>
      </c>
      <c r="AB11" s="3">
        <f t="shared" si="6"/>
        <v>0.4</v>
      </c>
      <c r="AC11" s="3">
        <f t="shared" si="7"/>
        <v>0.6</v>
      </c>
      <c r="AD11" s="3">
        <f t="shared" si="8"/>
        <v>0.24</v>
      </c>
      <c r="AE11" s="33"/>
    </row>
    <row r="12" spans="1:31" ht="42" x14ac:dyDescent="0.3">
      <c r="A12" s="59" t="s">
        <v>127</v>
      </c>
      <c r="B12" s="25">
        <v>0</v>
      </c>
      <c r="C12" s="25">
        <v>0</v>
      </c>
      <c r="D12" s="25">
        <v>1</v>
      </c>
      <c r="E12" s="25">
        <v>1</v>
      </c>
      <c r="F12" s="25">
        <v>0</v>
      </c>
      <c r="G12" s="25">
        <v>1</v>
      </c>
      <c r="H12" s="25">
        <v>0</v>
      </c>
      <c r="I12" s="25">
        <v>0</v>
      </c>
      <c r="J12" s="25">
        <v>0</v>
      </c>
      <c r="K12" s="25">
        <v>1</v>
      </c>
      <c r="L12" s="3">
        <f t="shared" si="0"/>
        <v>0.4</v>
      </c>
      <c r="M12" s="26" t="str">
        <f t="shared" si="1"/>
        <v>sedang</v>
      </c>
      <c r="N12" s="3">
        <f t="shared" si="2"/>
        <v>0.5</v>
      </c>
      <c r="O12" s="26" t="str">
        <f t="shared" si="3"/>
        <v>soal diterima baik</v>
      </c>
      <c r="P12" s="33"/>
      <c r="Q12" s="26">
        <v>7</v>
      </c>
      <c r="R12" s="25">
        <f t="shared" si="5"/>
        <v>1</v>
      </c>
      <c r="S12" s="25">
        <f t="shared" si="4"/>
        <v>1</v>
      </c>
      <c r="T12" s="25">
        <f t="shared" si="4"/>
        <v>1</v>
      </c>
      <c r="U12" s="25">
        <f t="shared" si="4"/>
        <v>1</v>
      </c>
      <c r="V12" s="25">
        <f t="shared" si="4"/>
        <v>0</v>
      </c>
      <c r="W12" s="25">
        <f t="shared" si="4"/>
        <v>1</v>
      </c>
      <c r="X12" s="25">
        <f t="shared" si="4"/>
        <v>0</v>
      </c>
      <c r="Y12" s="25">
        <f t="shared" si="4"/>
        <v>0</v>
      </c>
      <c r="Z12" s="25">
        <f t="shared" si="4"/>
        <v>0</v>
      </c>
      <c r="AA12" s="25">
        <f t="shared" si="4"/>
        <v>1</v>
      </c>
      <c r="AB12" s="3">
        <f t="shared" si="6"/>
        <v>0.6</v>
      </c>
      <c r="AC12" s="3">
        <f t="shared" si="7"/>
        <v>0.4</v>
      </c>
      <c r="AD12" s="3">
        <f t="shared" si="8"/>
        <v>0.24</v>
      </c>
      <c r="AE12" s="33"/>
    </row>
    <row r="13" spans="1:31" ht="28" x14ac:dyDescent="0.3">
      <c r="A13" s="61" t="s">
        <v>128</v>
      </c>
      <c r="B13" s="25">
        <v>1</v>
      </c>
      <c r="C13" s="25">
        <v>1</v>
      </c>
      <c r="D13" s="25">
        <v>1</v>
      </c>
      <c r="E13" s="25">
        <v>1</v>
      </c>
      <c r="F13" s="25">
        <v>0</v>
      </c>
      <c r="G13" s="25">
        <v>1</v>
      </c>
      <c r="H13" s="25">
        <v>0</v>
      </c>
      <c r="I13" s="25">
        <v>1</v>
      </c>
      <c r="J13" s="25">
        <v>1</v>
      </c>
      <c r="K13" s="25">
        <v>1</v>
      </c>
      <c r="L13" s="3">
        <f t="shared" si="0"/>
        <v>0.8</v>
      </c>
      <c r="M13" s="26" t="str">
        <f t="shared" si="1"/>
        <v>mudah</v>
      </c>
      <c r="N13" s="3">
        <f t="shared" si="2"/>
        <v>0.5</v>
      </c>
      <c r="O13" s="26" t="str">
        <f t="shared" si="3"/>
        <v>soal diterima baik</v>
      </c>
      <c r="P13" s="33"/>
      <c r="Q13" s="26">
        <v>8</v>
      </c>
      <c r="R13" s="25">
        <f t="shared" si="5"/>
        <v>0</v>
      </c>
      <c r="S13" s="25">
        <f t="shared" si="4"/>
        <v>0</v>
      </c>
      <c r="T13" s="25">
        <f t="shared" si="4"/>
        <v>1</v>
      </c>
      <c r="U13" s="25">
        <f t="shared" si="4"/>
        <v>1</v>
      </c>
      <c r="V13" s="25">
        <f t="shared" si="4"/>
        <v>0</v>
      </c>
      <c r="W13" s="25">
        <f t="shared" si="4"/>
        <v>1</v>
      </c>
      <c r="X13" s="25">
        <f t="shared" si="4"/>
        <v>0</v>
      </c>
      <c r="Y13" s="25">
        <f t="shared" si="4"/>
        <v>0</v>
      </c>
      <c r="Z13" s="25">
        <f t="shared" si="4"/>
        <v>0</v>
      </c>
      <c r="AA13" s="25">
        <f t="shared" si="4"/>
        <v>1</v>
      </c>
      <c r="AB13" s="3">
        <f t="shared" si="6"/>
        <v>0.4</v>
      </c>
      <c r="AC13" s="3">
        <f t="shared" si="7"/>
        <v>0.6</v>
      </c>
      <c r="AD13" s="3">
        <f t="shared" si="8"/>
        <v>0.24</v>
      </c>
      <c r="AE13" s="33"/>
    </row>
    <row r="14" spans="1:31" ht="42" x14ac:dyDescent="0.3">
      <c r="A14" s="59" t="s">
        <v>129</v>
      </c>
      <c r="B14" s="25">
        <v>1</v>
      </c>
      <c r="C14" s="25">
        <v>1</v>
      </c>
      <c r="D14" s="25">
        <v>1</v>
      </c>
      <c r="E14" s="25">
        <v>1</v>
      </c>
      <c r="F14" s="25">
        <v>1</v>
      </c>
      <c r="G14" s="25">
        <v>0</v>
      </c>
      <c r="H14" s="25">
        <v>1</v>
      </c>
      <c r="I14" s="25">
        <v>0</v>
      </c>
      <c r="J14" s="25">
        <v>0</v>
      </c>
      <c r="K14" s="25">
        <v>0</v>
      </c>
      <c r="L14" s="3">
        <f t="shared" si="0"/>
        <v>0.6</v>
      </c>
      <c r="M14" s="26" t="str">
        <f t="shared" si="1"/>
        <v>sedang</v>
      </c>
      <c r="N14" s="3">
        <f t="shared" si="2"/>
        <v>0.5</v>
      </c>
      <c r="O14" s="26" t="str">
        <f t="shared" si="3"/>
        <v>soal diterima baik</v>
      </c>
      <c r="P14" s="33"/>
      <c r="Q14" s="26">
        <v>9</v>
      </c>
      <c r="R14" s="25">
        <f t="shared" si="5"/>
        <v>1</v>
      </c>
      <c r="S14" s="25">
        <f t="shared" si="4"/>
        <v>1</v>
      </c>
      <c r="T14" s="25">
        <f t="shared" si="4"/>
        <v>1</v>
      </c>
      <c r="U14" s="25">
        <f t="shared" si="4"/>
        <v>1</v>
      </c>
      <c r="V14" s="25">
        <f t="shared" si="4"/>
        <v>0</v>
      </c>
      <c r="W14" s="25">
        <f t="shared" si="4"/>
        <v>1</v>
      </c>
      <c r="X14" s="25">
        <f t="shared" si="4"/>
        <v>0</v>
      </c>
      <c r="Y14" s="25">
        <f t="shared" si="4"/>
        <v>1</v>
      </c>
      <c r="Z14" s="25">
        <f t="shared" si="4"/>
        <v>1</v>
      </c>
      <c r="AA14" s="25">
        <f t="shared" si="4"/>
        <v>1</v>
      </c>
      <c r="AB14" s="3">
        <f t="shared" si="6"/>
        <v>0.8</v>
      </c>
      <c r="AC14" s="3">
        <f t="shared" si="7"/>
        <v>0.19999999999999996</v>
      </c>
      <c r="AD14" s="3">
        <f t="shared" si="8"/>
        <v>0.15999999999999998</v>
      </c>
      <c r="AE14" s="33"/>
    </row>
    <row r="15" spans="1:31" ht="28" x14ac:dyDescent="0.3">
      <c r="A15" s="60" t="s">
        <v>130</v>
      </c>
      <c r="B15" s="25">
        <v>1</v>
      </c>
      <c r="C15" s="25">
        <v>1</v>
      </c>
      <c r="D15" s="25">
        <v>1</v>
      </c>
      <c r="E15" s="25">
        <v>1</v>
      </c>
      <c r="F15" s="25">
        <v>0</v>
      </c>
      <c r="G15" s="25">
        <v>0</v>
      </c>
      <c r="H15" s="25">
        <v>0</v>
      </c>
      <c r="I15" s="25">
        <v>0</v>
      </c>
      <c r="J15" s="25">
        <v>0</v>
      </c>
      <c r="K15" s="25">
        <v>0</v>
      </c>
      <c r="L15" s="3">
        <f t="shared" si="0"/>
        <v>0.4</v>
      </c>
      <c r="M15" s="26" t="str">
        <f t="shared" si="1"/>
        <v>sedang</v>
      </c>
      <c r="N15" s="3">
        <f t="shared" si="2"/>
        <v>1</v>
      </c>
      <c r="O15" s="26" t="str">
        <f t="shared" si="3"/>
        <v>soal diterima baik</v>
      </c>
      <c r="P15" s="33"/>
      <c r="Q15" s="26">
        <v>10</v>
      </c>
      <c r="R15" s="25">
        <f t="shared" si="5"/>
        <v>1</v>
      </c>
      <c r="S15" s="25">
        <f t="shared" si="4"/>
        <v>1</v>
      </c>
      <c r="T15" s="25">
        <f t="shared" si="4"/>
        <v>1</v>
      </c>
      <c r="U15" s="25">
        <f t="shared" si="4"/>
        <v>1</v>
      </c>
      <c r="V15" s="25">
        <f t="shared" si="4"/>
        <v>1</v>
      </c>
      <c r="W15" s="25">
        <f t="shared" si="4"/>
        <v>0</v>
      </c>
      <c r="X15" s="25">
        <f t="shared" si="4"/>
        <v>1</v>
      </c>
      <c r="Y15" s="25">
        <f t="shared" si="4"/>
        <v>0</v>
      </c>
      <c r="Z15" s="25">
        <f t="shared" si="4"/>
        <v>0</v>
      </c>
      <c r="AA15" s="25">
        <f t="shared" si="4"/>
        <v>0</v>
      </c>
      <c r="AB15" s="3">
        <f t="shared" si="6"/>
        <v>0.6</v>
      </c>
      <c r="AC15" s="3">
        <f t="shared" si="7"/>
        <v>0.4</v>
      </c>
      <c r="AD15" s="3">
        <f t="shared" si="8"/>
        <v>0.24</v>
      </c>
      <c r="AE15" s="33"/>
    </row>
    <row r="16" spans="1:31" ht="56" x14ac:dyDescent="0.3">
      <c r="A16" s="59" t="s">
        <v>131</v>
      </c>
      <c r="B16" s="25">
        <v>1</v>
      </c>
      <c r="C16" s="25">
        <v>1</v>
      </c>
      <c r="D16" s="25">
        <v>1</v>
      </c>
      <c r="E16" s="25">
        <v>1</v>
      </c>
      <c r="F16" s="25">
        <v>0</v>
      </c>
      <c r="G16" s="25">
        <v>1</v>
      </c>
      <c r="H16" s="25">
        <v>0</v>
      </c>
      <c r="I16" s="25">
        <v>0</v>
      </c>
      <c r="J16" s="25">
        <v>0</v>
      </c>
      <c r="K16" s="25">
        <v>1</v>
      </c>
      <c r="L16" s="3">
        <f t="shared" si="0"/>
        <v>0.6</v>
      </c>
      <c r="M16" s="26" t="str">
        <f t="shared" si="1"/>
        <v>sedang</v>
      </c>
      <c r="N16" s="3">
        <f t="shared" si="2"/>
        <v>1</v>
      </c>
      <c r="O16" s="26" t="str">
        <f t="shared" si="3"/>
        <v>soal diterima baik</v>
      </c>
      <c r="P16" s="33"/>
      <c r="Q16" s="26">
        <v>11</v>
      </c>
      <c r="R16" s="25">
        <f t="shared" si="5"/>
        <v>1</v>
      </c>
      <c r="S16" s="25">
        <f t="shared" si="4"/>
        <v>1</v>
      </c>
      <c r="T16" s="25">
        <f t="shared" si="4"/>
        <v>1</v>
      </c>
      <c r="U16" s="25">
        <f t="shared" si="4"/>
        <v>1</v>
      </c>
      <c r="V16" s="25">
        <f t="shared" si="4"/>
        <v>0</v>
      </c>
      <c r="W16" s="25">
        <f t="shared" si="4"/>
        <v>0</v>
      </c>
      <c r="X16" s="25">
        <f t="shared" si="4"/>
        <v>0</v>
      </c>
      <c r="Y16" s="25">
        <f t="shared" si="4"/>
        <v>0</v>
      </c>
      <c r="Z16" s="25">
        <f t="shared" si="4"/>
        <v>0</v>
      </c>
      <c r="AA16" s="25">
        <f t="shared" si="4"/>
        <v>0</v>
      </c>
      <c r="AB16" s="3">
        <f t="shared" si="6"/>
        <v>0.4</v>
      </c>
      <c r="AC16" s="3">
        <f t="shared" si="7"/>
        <v>0.6</v>
      </c>
      <c r="AD16" s="3">
        <f t="shared" si="8"/>
        <v>0.24</v>
      </c>
      <c r="AE16" s="33"/>
    </row>
    <row r="17" spans="1:31" ht="56" x14ac:dyDescent="0.3">
      <c r="A17" s="61" t="s">
        <v>132</v>
      </c>
      <c r="B17" s="25">
        <v>1</v>
      </c>
      <c r="C17" s="25">
        <v>1</v>
      </c>
      <c r="D17" s="25">
        <v>1</v>
      </c>
      <c r="E17" s="25">
        <v>1</v>
      </c>
      <c r="F17" s="25">
        <v>0</v>
      </c>
      <c r="G17" s="25">
        <v>1</v>
      </c>
      <c r="H17" s="25">
        <v>0</v>
      </c>
      <c r="I17" s="25">
        <v>1</v>
      </c>
      <c r="J17" s="25">
        <v>1</v>
      </c>
      <c r="K17" s="25">
        <v>1</v>
      </c>
      <c r="L17" s="3">
        <f t="shared" si="0"/>
        <v>0.8</v>
      </c>
      <c r="M17" s="26" t="str">
        <f t="shared" si="1"/>
        <v>mudah</v>
      </c>
      <c r="N17" s="3">
        <f t="shared" si="2"/>
        <v>0.5</v>
      </c>
      <c r="O17" s="26" t="str">
        <f t="shared" si="3"/>
        <v>soal diterima baik</v>
      </c>
      <c r="P17" s="33"/>
      <c r="Q17" s="26">
        <v>12</v>
      </c>
      <c r="R17" s="25">
        <f t="shared" si="5"/>
        <v>1</v>
      </c>
      <c r="S17" s="25">
        <f t="shared" si="4"/>
        <v>1</v>
      </c>
      <c r="T17" s="25">
        <f t="shared" si="4"/>
        <v>1</v>
      </c>
      <c r="U17" s="25">
        <f t="shared" si="4"/>
        <v>1</v>
      </c>
      <c r="V17" s="25">
        <f t="shared" si="4"/>
        <v>0</v>
      </c>
      <c r="W17" s="25">
        <f t="shared" si="4"/>
        <v>1</v>
      </c>
      <c r="X17" s="25">
        <f t="shared" si="4"/>
        <v>0</v>
      </c>
      <c r="Y17" s="25">
        <f t="shared" si="4"/>
        <v>0</v>
      </c>
      <c r="Z17" s="25">
        <f t="shared" si="4"/>
        <v>0</v>
      </c>
      <c r="AA17" s="25">
        <f t="shared" si="4"/>
        <v>1</v>
      </c>
      <c r="AB17" s="3">
        <f t="shared" si="6"/>
        <v>0.6</v>
      </c>
      <c r="AC17" s="3">
        <f t="shared" si="7"/>
        <v>0.4</v>
      </c>
      <c r="AD17" s="3">
        <f t="shared" si="8"/>
        <v>0.24</v>
      </c>
      <c r="AE17" s="33"/>
    </row>
    <row r="18" spans="1:31" ht="42" x14ac:dyDescent="0.3">
      <c r="A18" s="60" t="s">
        <v>133</v>
      </c>
      <c r="B18" s="25">
        <v>1</v>
      </c>
      <c r="C18" s="25">
        <v>1</v>
      </c>
      <c r="D18" s="25">
        <v>1</v>
      </c>
      <c r="E18" s="25">
        <v>1</v>
      </c>
      <c r="F18" s="25">
        <v>1</v>
      </c>
      <c r="G18" s="25">
        <v>1</v>
      </c>
      <c r="H18" s="25">
        <v>1</v>
      </c>
      <c r="I18" s="25">
        <v>0</v>
      </c>
      <c r="J18" s="25">
        <v>0</v>
      </c>
      <c r="K18" s="25">
        <v>1</v>
      </c>
      <c r="L18" s="3">
        <f t="shared" si="0"/>
        <v>0.8</v>
      </c>
      <c r="M18" s="26" t="str">
        <f t="shared" si="1"/>
        <v>mudah</v>
      </c>
      <c r="N18" s="3">
        <f t="shared" si="2"/>
        <v>0.5</v>
      </c>
      <c r="O18" s="26" t="str">
        <f t="shared" si="3"/>
        <v>soal diterima baik</v>
      </c>
      <c r="P18" s="33"/>
      <c r="Q18" s="26">
        <v>13</v>
      </c>
      <c r="R18" s="25">
        <f t="shared" si="5"/>
        <v>1</v>
      </c>
      <c r="S18" s="25">
        <f t="shared" si="4"/>
        <v>1</v>
      </c>
      <c r="T18" s="25">
        <f t="shared" si="4"/>
        <v>1</v>
      </c>
      <c r="U18" s="25">
        <f t="shared" si="4"/>
        <v>1</v>
      </c>
      <c r="V18" s="25">
        <f t="shared" si="4"/>
        <v>0</v>
      </c>
      <c r="W18" s="25">
        <f t="shared" si="4"/>
        <v>1</v>
      </c>
      <c r="X18" s="25">
        <f t="shared" si="4"/>
        <v>0</v>
      </c>
      <c r="Y18" s="25">
        <f t="shared" si="4"/>
        <v>1</v>
      </c>
      <c r="Z18" s="25">
        <f t="shared" si="4"/>
        <v>1</v>
      </c>
      <c r="AA18" s="25">
        <f t="shared" si="4"/>
        <v>1</v>
      </c>
      <c r="AB18" s="3">
        <f t="shared" si="6"/>
        <v>0.8</v>
      </c>
      <c r="AC18" s="3">
        <f t="shared" si="7"/>
        <v>0.19999999999999996</v>
      </c>
      <c r="AD18" s="3">
        <f t="shared" si="8"/>
        <v>0.15999999999999998</v>
      </c>
      <c r="AE18" s="33"/>
    </row>
    <row r="19" spans="1:31" ht="28" x14ac:dyDescent="0.3">
      <c r="A19" s="60" t="s">
        <v>134</v>
      </c>
      <c r="B19" s="25">
        <v>1</v>
      </c>
      <c r="C19" s="25">
        <v>1</v>
      </c>
      <c r="D19" s="25">
        <v>1</v>
      </c>
      <c r="E19" s="25">
        <v>1</v>
      </c>
      <c r="F19" s="25">
        <v>0</v>
      </c>
      <c r="G19" s="25">
        <v>0</v>
      </c>
      <c r="H19" s="25">
        <v>0</v>
      </c>
      <c r="I19" s="25">
        <v>1</v>
      </c>
      <c r="J19" s="25">
        <v>1</v>
      </c>
      <c r="K19" s="25">
        <v>0</v>
      </c>
      <c r="L19" s="3">
        <f t="shared" si="0"/>
        <v>0.6</v>
      </c>
      <c r="M19" s="26" t="str">
        <f t="shared" si="1"/>
        <v>sedang</v>
      </c>
      <c r="N19" s="3">
        <f t="shared" si="2"/>
        <v>0.5</v>
      </c>
      <c r="O19" s="26" t="str">
        <f t="shared" si="3"/>
        <v>soal diterima baik</v>
      </c>
      <c r="P19" s="33"/>
      <c r="Q19" s="26">
        <v>14</v>
      </c>
      <c r="R19" s="25">
        <f t="shared" si="5"/>
        <v>1</v>
      </c>
      <c r="S19" s="25">
        <f t="shared" si="4"/>
        <v>1</v>
      </c>
      <c r="T19" s="25">
        <f t="shared" si="4"/>
        <v>1</v>
      </c>
      <c r="U19" s="25">
        <f t="shared" si="4"/>
        <v>1</v>
      </c>
      <c r="V19" s="25">
        <f t="shared" si="4"/>
        <v>1</v>
      </c>
      <c r="W19" s="25">
        <f t="shared" si="4"/>
        <v>1</v>
      </c>
      <c r="X19" s="25">
        <f t="shared" si="4"/>
        <v>1</v>
      </c>
      <c r="Y19" s="25">
        <f t="shared" si="4"/>
        <v>0</v>
      </c>
      <c r="Z19" s="25">
        <f t="shared" si="4"/>
        <v>0</v>
      </c>
      <c r="AA19" s="25">
        <f t="shared" si="4"/>
        <v>1</v>
      </c>
      <c r="AB19" s="3">
        <f t="shared" si="6"/>
        <v>0.8</v>
      </c>
      <c r="AC19" s="3">
        <f t="shared" si="7"/>
        <v>0.19999999999999996</v>
      </c>
      <c r="AD19" s="3">
        <f t="shared" si="8"/>
        <v>0.15999999999999998</v>
      </c>
      <c r="AE19" s="33"/>
    </row>
    <row r="20" spans="1:31" ht="28" x14ac:dyDescent="0.3">
      <c r="A20" s="59" t="s">
        <v>135</v>
      </c>
      <c r="B20" s="25">
        <v>1</v>
      </c>
      <c r="C20" s="25">
        <v>1</v>
      </c>
      <c r="D20" s="25">
        <v>1</v>
      </c>
      <c r="E20" s="25">
        <v>1</v>
      </c>
      <c r="F20" s="25">
        <v>0</v>
      </c>
      <c r="G20" s="25">
        <v>0</v>
      </c>
      <c r="H20" s="25">
        <v>0</v>
      </c>
      <c r="I20" s="25">
        <v>0</v>
      </c>
      <c r="J20" s="25">
        <v>0</v>
      </c>
      <c r="K20" s="25">
        <v>0</v>
      </c>
      <c r="L20" s="3">
        <f t="shared" si="0"/>
        <v>0.4</v>
      </c>
      <c r="M20" s="26" t="str">
        <f t="shared" si="1"/>
        <v>sedang</v>
      </c>
      <c r="N20" s="3">
        <f t="shared" si="2"/>
        <v>1</v>
      </c>
      <c r="O20" s="26" t="str">
        <f t="shared" si="3"/>
        <v>soal diterima baik</v>
      </c>
      <c r="P20" s="33"/>
      <c r="Q20" s="26">
        <v>15</v>
      </c>
      <c r="R20" s="25">
        <f t="shared" si="5"/>
        <v>1</v>
      </c>
      <c r="S20" s="25">
        <f t="shared" si="4"/>
        <v>1</v>
      </c>
      <c r="T20" s="25">
        <f t="shared" si="4"/>
        <v>1</v>
      </c>
      <c r="U20" s="25">
        <f t="shared" si="4"/>
        <v>1</v>
      </c>
      <c r="V20" s="25">
        <f t="shared" si="4"/>
        <v>0</v>
      </c>
      <c r="W20" s="25">
        <f t="shared" si="4"/>
        <v>0</v>
      </c>
      <c r="X20" s="25">
        <f t="shared" si="4"/>
        <v>0</v>
      </c>
      <c r="Y20" s="25">
        <f t="shared" si="4"/>
        <v>1</v>
      </c>
      <c r="Z20" s="25">
        <f t="shared" si="4"/>
        <v>1</v>
      </c>
      <c r="AA20" s="25">
        <f t="shared" si="4"/>
        <v>0</v>
      </c>
      <c r="AB20" s="3">
        <f t="shared" si="6"/>
        <v>0.6</v>
      </c>
      <c r="AC20" s="3">
        <f t="shared" si="7"/>
        <v>0.4</v>
      </c>
      <c r="AD20" s="3">
        <f t="shared" si="8"/>
        <v>0.24</v>
      </c>
      <c r="AE20" s="33"/>
    </row>
    <row r="21" spans="1:31" ht="42" x14ac:dyDescent="0.3">
      <c r="A21" s="59" t="s">
        <v>136</v>
      </c>
      <c r="B21" s="25">
        <v>1</v>
      </c>
      <c r="C21" s="25">
        <v>1</v>
      </c>
      <c r="D21" s="25">
        <v>1</v>
      </c>
      <c r="E21" s="25">
        <v>1</v>
      </c>
      <c r="F21" s="25">
        <v>0</v>
      </c>
      <c r="G21" s="25">
        <v>1</v>
      </c>
      <c r="H21" s="25">
        <v>0</v>
      </c>
      <c r="I21" s="25">
        <v>0</v>
      </c>
      <c r="J21" s="25">
        <v>0</v>
      </c>
      <c r="K21" s="25">
        <v>1</v>
      </c>
      <c r="L21" s="3">
        <f t="shared" si="0"/>
        <v>0.6</v>
      </c>
      <c r="M21" s="26" t="str">
        <f t="shared" si="1"/>
        <v>sedang</v>
      </c>
      <c r="N21" s="3">
        <f t="shared" si="2"/>
        <v>1</v>
      </c>
      <c r="O21" s="26" t="str">
        <f t="shared" si="3"/>
        <v>soal diterima baik</v>
      </c>
      <c r="P21" s="33"/>
      <c r="Q21" s="26">
        <v>16</v>
      </c>
      <c r="R21" s="25">
        <f t="shared" si="5"/>
        <v>1</v>
      </c>
      <c r="S21" s="25">
        <f t="shared" si="4"/>
        <v>1</v>
      </c>
      <c r="T21" s="25">
        <f t="shared" si="4"/>
        <v>1</v>
      </c>
      <c r="U21" s="25">
        <f t="shared" si="4"/>
        <v>1</v>
      </c>
      <c r="V21" s="25">
        <f t="shared" si="4"/>
        <v>0</v>
      </c>
      <c r="W21" s="25">
        <f t="shared" si="4"/>
        <v>0</v>
      </c>
      <c r="X21" s="25">
        <f t="shared" si="4"/>
        <v>0</v>
      </c>
      <c r="Y21" s="25">
        <f t="shared" si="4"/>
        <v>0</v>
      </c>
      <c r="Z21" s="25">
        <f t="shared" si="4"/>
        <v>0</v>
      </c>
      <c r="AA21" s="25">
        <f t="shared" si="4"/>
        <v>0</v>
      </c>
      <c r="AB21" s="3">
        <f t="shared" si="6"/>
        <v>0.4</v>
      </c>
      <c r="AC21" s="3">
        <f t="shared" si="7"/>
        <v>0.6</v>
      </c>
      <c r="AD21" s="3">
        <f t="shared" si="8"/>
        <v>0.24</v>
      </c>
      <c r="AE21" s="33"/>
    </row>
    <row r="22" spans="1:31" x14ac:dyDescent="0.3">
      <c r="A22" s="60" t="s">
        <v>137</v>
      </c>
      <c r="B22" s="25">
        <v>0</v>
      </c>
      <c r="C22" s="25">
        <v>0</v>
      </c>
      <c r="D22" s="25">
        <v>0</v>
      </c>
      <c r="E22" s="25">
        <v>0</v>
      </c>
      <c r="F22" s="25">
        <v>1</v>
      </c>
      <c r="G22" s="25">
        <v>0</v>
      </c>
      <c r="H22" s="25">
        <v>1</v>
      </c>
      <c r="I22" s="25">
        <v>1</v>
      </c>
      <c r="J22" s="25">
        <v>1</v>
      </c>
      <c r="K22" s="25">
        <v>0</v>
      </c>
      <c r="L22" s="3">
        <f t="shared" si="0"/>
        <v>0.4</v>
      </c>
      <c r="M22" s="26" t="str">
        <f t="shared" si="1"/>
        <v>sedang</v>
      </c>
      <c r="N22" s="3">
        <f t="shared" si="2"/>
        <v>1</v>
      </c>
      <c r="O22" s="26" t="str">
        <f t="shared" si="3"/>
        <v>soal diterima baik</v>
      </c>
      <c r="P22" s="33"/>
      <c r="Q22" s="26">
        <v>17</v>
      </c>
      <c r="R22" s="25">
        <f t="shared" si="5"/>
        <v>1</v>
      </c>
      <c r="S22" s="25">
        <f t="shared" si="5"/>
        <v>1</v>
      </c>
      <c r="T22" s="25">
        <f t="shared" si="5"/>
        <v>1</v>
      </c>
      <c r="U22" s="25">
        <f t="shared" si="5"/>
        <v>1</v>
      </c>
      <c r="V22" s="25">
        <f t="shared" si="5"/>
        <v>0</v>
      </c>
      <c r="W22" s="25">
        <f t="shared" si="5"/>
        <v>1</v>
      </c>
      <c r="X22" s="25">
        <f t="shared" si="5"/>
        <v>0</v>
      </c>
      <c r="Y22" s="25">
        <f t="shared" si="5"/>
        <v>0</v>
      </c>
      <c r="Z22" s="25">
        <f t="shared" si="5"/>
        <v>0</v>
      </c>
      <c r="AA22" s="25">
        <f t="shared" si="5"/>
        <v>1</v>
      </c>
      <c r="AB22" s="3">
        <f t="shared" si="6"/>
        <v>0.6</v>
      </c>
      <c r="AC22" s="3">
        <f t="shared" si="7"/>
        <v>0.4</v>
      </c>
      <c r="AD22" s="3">
        <f t="shared" si="8"/>
        <v>0.24</v>
      </c>
      <c r="AE22" s="33"/>
    </row>
    <row r="23" spans="1:31" ht="28" x14ac:dyDescent="0.3">
      <c r="A23" s="60" t="s">
        <v>138</v>
      </c>
      <c r="B23" s="25">
        <v>1</v>
      </c>
      <c r="C23" s="25">
        <v>1</v>
      </c>
      <c r="D23" s="25">
        <v>0</v>
      </c>
      <c r="E23" s="25">
        <v>0</v>
      </c>
      <c r="F23" s="25">
        <v>0</v>
      </c>
      <c r="G23" s="25">
        <v>1</v>
      </c>
      <c r="H23" s="25">
        <v>0</v>
      </c>
      <c r="I23" s="25">
        <v>0</v>
      </c>
      <c r="J23" s="25">
        <v>0</v>
      </c>
      <c r="K23" s="25">
        <v>1</v>
      </c>
      <c r="L23" s="3">
        <f t="shared" si="0"/>
        <v>0.4</v>
      </c>
      <c r="M23" s="26" t="str">
        <f t="shared" si="1"/>
        <v>sedang</v>
      </c>
      <c r="N23" s="3">
        <f t="shared" si="2"/>
        <v>0.5</v>
      </c>
      <c r="O23" s="26" t="str">
        <f t="shared" si="3"/>
        <v>soal diterima baik</v>
      </c>
      <c r="P23" s="33"/>
      <c r="Q23" s="26">
        <v>18</v>
      </c>
      <c r="R23" s="25">
        <f t="shared" si="5"/>
        <v>0</v>
      </c>
      <c r="S23" s="25">
        <f t="shared" si="5"/>
        <v>0</v>
      </c>
      <c r="T23" s="25">
        <f t="shared" si="5"/>
        <v>0</v>
      </c>
      <c r="U23" s="25">
        <f t="shared" si="5"/>
        <v>0</v>
      </c>
      <c r="V23" s="25">
        <f t="shared" si="5"/>
        <v>1</v>
      </c>
      <c r="W23" s="25">
        <f t="shared" si="5"/>
        <v>0</v>
      </c>
      <c r="X23" s="25">
        <f t="shared" si="5"/>
        <v>1</v>
      </c>
      <c r="Y23" s="25">
        <f t="shared" si="5"/>
        <v>1</v>
      </c>
      <c r="Z23" s="25">
        <f t="shared" si="5"/>
        <v>1</v>
      </c>
      <c r="AA23" s="25">
        <f t="shared" si="5"/>
        <v>0</v>
      </c>
      <c r="AB23" s="3">
        <f t="shared" si="6"/>
        <v>0.4</v>
      </c>
      <c r="AC23" s="3">
        <f t="shared" si="7"/>
        <v>0.6</v>
      </c>
      <c r="AD23" s="3">
        <f t="shared" si="8"/>
        <v>0.24</v>
      </c>
      <c r="AE23" s="33"/>
    </row>
    <row r="24" spans="1:31" ht="28" x14ac:dyDescent="0.3">
      <c r="A24" s="59" t="s">
        <v>139</v>
      </c>
      <c r="B24" s="25">
        <v>1</v>
      </c>
      <c r="C24" s="25">
        <v>1</v>
      </c>
      <c r="D24" s="25">
        <v>1</v>
      </c>
      <c r="E24" s="25">
        <v>1</v>
      </c>
      <c r="F24" s="25">
        <v>0</v>
      </c>
      <c r="G24" s="25">
        <v>1</v>
      </c>
      <c r="H24" s="25">
        <v>0</v>
      </c>
      <c r="I24" s="25">
        <v>0</v>
      </c>
      <c r="J24" s="25">
        <v>0</v>
      </c>
      <c r="K24" s="25">
        <v>1</v>
      </c>
      <c r="L24" s="3">
        <f t="shared" si="0"/>
        <v>0.6</v>
      </c>
      <c r="M24" s="26" t="str">
        <f t="shared" si="1"/>
        <v>sedang</v>
      </c>
      <c r="N24" s="3">
        <f t="shared" si="2"/>
        <v>1</v>
      </c>
      <c r="O24" s="26" t="str">
        <f t="shared" si="3"/>
        <v>soal diterima baik</v>
      </c>
      <c r="P24" s="33"/>
      <c r="Q24" s="26">
        <v>19</v>
      </c>
      <c r="R24" s="25">
        <f t="shared" si="5"/>
        <v>1</v>
      </c>
      <c r="S24" s="25">
        <f t="shared" si="5"/>
        <v>1</v>
      </c>
      <c r="T24" s="25">
        <f t="shared" si="5"/>
        <v>0</v>
      </c>
      <c r="U24" s="25">
        <f t="shared" si="5"/>
        <v>0</v>
      </c>
      <c r="V24" s="25">
        <f t="shared" si="5"/>
        <v>0</v>
      </c>
      <c r="W24" s="25">
        <f t="shared" si="5"/>
        <v>1</v>
      </c>
      <c r="X24" s="25">
        <f t="shared" si="5"/>
        <v>0</v>
      </c>
      <c r="Y24" s="25">
        <f t="shared" si="5"/>
        <v>0</v>
      </c>
      <c r="Z24" s="25">
        <f t="shared" si="5"/>
        <v>0</v>
      </c>
      <c r="AA24" s="25">
        <f t="shared" si="5"/>
        <v>1</v>
      </c>
      <c r="AB24" s="3">
        <f t="shared" si="6"/>
        <v>0.4</v>
      </c>
      <c r="AC24" s="3">
        <f t="shared" si="7"/>
        <v>0.6</v>
      </c>
      <c r="AD24" s="3">
        <f t="shared" si="8"/>
        <v>0.24</v>
      </c>
      <c r="AE24" s="33"/>
    </row>
    <row r="25" spans="1:31" ht="42" x14ac:dyDescent="0.3">
      <c r="A25" s="59" t="s">
        <v>140</v>
      </c>
      <c r="B25" s="25">
        <v>1</v>
      </c>
      <c r="C25" s="25">
        <v>1</v>
      </c>
      <c r="D25" s="25">
        <v>1</v>
      </c>
      <c r="E25" s="25">
        <v>1</v>
      </c>
      <c r="F25" s="25">
        <v>0</v>
      </c>
      <c r="G25" s="25">
        <v>1</v>
      </c>
      <c r="H25" s="25">
        <v>0</v>
      </c>
      <c r="I25" s="25">
        <v>0</v>
      </c>
      <c r="J25" s="25">
        <v>0</v>
      </c>
      <c r="K25" s="25">
        <v>1</v>
      </c>
      <c r="L25" s="3">
        <f t="shared" si="0"/>
        <v>0.6</v>
      </c>
      <c r="M25" s="26" t="str">
        <f t="shared" si="1"/>
        <v>sedang</v>
      </c>
      <c r="N25" s="3">
        <f t="shared" si="2"/>
        <v>1</v>
      </c>
      <c r="O25" s="26" t="str">
        <f t="shared" si="3"/>
        <v>soal diterima baik</v>
      </c>
      <c r="P25" s="33"/>
      <c r="Q25" s="26">
        <v>20</v>
      </c>
      <c r="R25" s="25">
        <f t="shared" si="5"/>
        <v>1</v>
      </c>
      <c r="S25" s="25">
        <f t="shared" si="5"/>
        <v>1</v>
      </c>
      <c r="T25" s="25">
        <f t="shared" si="5"/>
        <v>1</v>
      </c>
      <c r="U25" s="25">
        <f t="shared" si="5"/>
        <v>1</v>
      </c>
      <c r="V25" s="25">
        <f t="shared" si="5"/>
        <v>0</v>
      </c>
      <c r="W25" s="25">
        <f t="shared" si="5"/>
        <v>1</v>
      </c>
      <c r="X25" s="25">
        <f t="shared" si="5"/>
        <v>0</v>
      </c>
      <c r="Y25" s="25">
        <f t="shared" si="5"/>
        <v>0</v>
      </c>
      <c r="Z25" s="25">
        <f t="shared" si="5"/>
        <v>0</v>
      </c>
      <c r="AA25" s="25">
        <f t="shared" si="5"/>
        <v>1</v>
      </c>
      <c r="AB25" s="3">
        <f t="shared" si="6"/>
        <v>0.6</v>
      </c>
      <c r="AC25" s="3">
        <f t="shared" si="7"/>
        <v>0.4</v>
      </c>
      <c r="AD25" s="3">
        <f t="shared" si="8"/>
        <v>0.24</v>
      </c>
      <c r="AE25" s="33"/>
    </row>
    <row r="26" spans="1:31" ht="42" x14ac:dyDescent="0.3">
      <c r="A26" s="59" t="s">
        <v>141</v>
      </c>
      <c r="B26" s="25">
        <v>0</v>
      </c>
      <c r="C26" s="25">
        <v>0</v>
      </c>
      <c r="D26" s="25">
        <v>1</v>
      </c>
      <c r="E26" s="25">
        <v>1</v>
      </c>
      <c r="F26" s="25">
        <v>0</v>
      </c>
      <c r="G26" s="25">
        <v>0</v>
      </c>
      <c r="H26" s="25">
        <v>0</v>
      </c>
      <c r="I26" s="25">
        <v>0</v>
      </c>
      <c r="J26" s="25">
        <v>0</v>
      </c>
      <c r="K26" s="25">
        <v>0</v>
      </c>
      <c r="L26" s="3">
        <f t="shared" si="0"/>
        <v>0.2</v>
      </c>
      <c r="M26" s="26" t="str">
        <f t="shared" si="1"/>
        <v>sukar</v>
      </c>
      <c r="N26" s="3">
        <f t="shared" si="2"/>
        <v>0.5</v>
      </c>
      <c r="O26" s="26" t="str">
        <f t="shared" si="3"/>
        <v>soal diterima baik</v>
      </c>
      <c r="P26" s="33"/>
      <c r="Q26" s="26">
        <v>21</v>
      </c>
      <c r="R26" s="25">
        <f t="shared" si="5"/>
        <v>1</v>
      </c>
      <c r="S26" s="25">
        <f t="shared" si="5"/>
        <v>1</v>
      </c>
      <c r="T26" s="25">
        <f t="shared" si="5"/>
        <v>1</v>
      </c>
      <c r="U26" s="25">
        <f t="shared" si="5"/>
        <v>1</v>
      </c>
      <c r="V26" s="25">
        <f t="shared" si="5"/>
        <v>0</v>
      </c>
      <c r="W26" s="25">
        <f t="shared" si="5"/>
        <v>1</v>
      </c>
      <c r="X26" s="25">
        <f t="shared" si="5"/>
        <v>0</v>
      </c>
      <c r="Y26" s="25">
        <f t="shared" si="5"/>
        <v>0</v>
      </c>
      <c r="Z26" s="25">
        <f t="shared" si="5"/>
        <v>0</v>
      </c>
      <c r="AA26" s="25">
        <f t="shared" si="5"/>
        <v>1</v>
      </c>
      <c r="AB26" s="3">
        <f t="shared" si="6"/>
        <v>0.6</v>
      </c>
      <c r="AC26" s="3">
        <f t="shared" si="7"/>
        <v>0.4</v>
      </c>
      <c r="AD26" s="3">
        <f t="shared" si="8"/>
        <v>0.24</v>
      </c>
      <c r="AE26" s="33"/>
    </row>
    <row r="27" spans="1:31" ht="28" x14ac:dyDescent="0.3">
      <c r="A27" s="60" t="s">
        <v>142</v>
      </c>
      <c r="B27" s="25">
        <v>1</v>
      </c>
      <c r="C27" s="25">
        <v>1</v>
      </c>
      <c r="D27" s="25">
        <v>1</v>
      </c>
      <c r="E27" s="25">
        <v>1</v>
      </c>
      <c r="F27" s="25">
        <v>0</v>
      </c>
      <c r="G27" s="25">
        <v>1</v>
      </c>
      <c r="H27" s="25">
        <v>0</v>
      </c>
      <c r="I27" s="25">
        <v>1</v>
      </c>
      <c r="J27" s="25">
        <v>1</v>
      </c>
      <c r="K27" s="25">
        <v>1</v>
      </c>
      <c r="L27" s="3">
        <f t="shared" si="0"/>
        <v>0.8</v>
      </c>
      <c r="M27" s="26" t="str">
        <f t="shared" si="1"/>
        <v>mudah</v>
      </c>
      <c r="N27" s="3">
        <f t="shared" si="2"/>
        <v>0.5</v>
      </c>
      <c r="O27" s="26" t="str">
        <f t="shared" si="3"/>
        <v>soal diterima baik</v>
      </c>
      <c r="P27" s="33"/>
      <c r="Q27" s="26">
        <v>22</v>
      </c>
      <c r="R27" s="25">
        <f t="shared" si="5"/>
        <v>0</v>
      </c>
      <c r="S27" s="25">
        <f t="shared" si="5"/>
        <v>0</v>
      </c>
      <c r="T27" s="25">
        <f t="shared" si="5"/>
        <v>1</v>
      </c>
      <c r="U27" s="25">
        <f t="shared" si="5"/>
        <v>1</v>
      </c>
      <c r="V27" s="25">
        <f t="shared" si="5"/>
        <v>0</v>
      </c>
      <c r="W27" s="25">
        <f t="shared" si="5"/>
        <v>0</v>
      </c>
      <c r="X27" s="25">
        <f t="shared" si="5"/>
        <v>0</v>
      </c>
      <c r="Y27" s="25">
        <f t="shared" si="5"/>
        <v>0</v>
      </c>
      <c r="Z27" s="25">
        <f t="shared" si="5"/>
        <v>0</v>
      </c>
      <c r="AA27" s="25">
        <f t="shared" si="5"/>
        <v>0</v>
      </c>
      <c r="AB27" s="3">
        <f t="shared" si="6"/>
        <v>0.2</v>
      </c>
      <c r="AC27" s="3">
        <f t="shared" si="7"/>
        <v>0.8</v>
      </c>
      <c r="AD27" s="3">
        <f t="shared" si="8"/>
        <v>0.16000000000000003</v>
      </c>
      <c r="AE27" s="33"/>
    </row>
    <row r="28" spans="1:31" ht="28" x14ac:dyDescent="0.3">
      <c r="A28" s="60" t="s">
        <v>143</v>
      </c>
      <c r="B28" s="25">
        <v>1</v>
      </c>
      <c r="C28" s="25">
        <v>1</v>
      </c>
      <c r="D28" s="25">
        <v>1</v>
      </c>
      <c r="E28" s="25">
        <v>1</v>
      </c>
      <c r="F28" s="25">
        <v>0</v>
      </c>
      <c r="G28" s="25">
        <v>1</v>
      </c>
      <c r="H28" s="25">
        <v>0</v>
      </c>
      <c r="I28" s="25">
        <v>0</v>
      </c>
      <c r="J28" s="25">
        <v>0</v>
      </c>
      <c r="K28" s="25">
        <v>1</v>
      </c>
      <c r="L28" s="3">
        <f t="shared" si="0"/>
        <v>0.6</v>
      </c>
      <c r="M28" s="26" t="str">
        <f t="shared" si="1"/>
        <v>sedang</v>
      </c>
      <c r="N28" s="3">
        <f t="shared" si="2"/>
        <v>1</v>
      </c>
      <c r="O28" s="26" t="str">
        <f t="shared" si="3"/>
        <v>soal diterima baik</v>
      </c>
      <c r="P28" s="33"/>
      <c r="Q28" s="26">
        <v>23</v>
      </c>
      <c r="R28" s="25">
        <f t="shared" si="5"/>
        <v>1</v>
      </c>
      <c r="S28" s="25">
        <f t="shared" si="5"/>
        <v>1</v>
      </c>
      <c r="T28" s="25">
        <f t="shared" si="5"/>
        <v>1</v>
      </c>
      <c r="U28" s="25">
        <f t="shared" si="5"/>
        <v>1</v>
      </c>
      <c r="V28" s="25">
        <f t="shared" si="5"/>
        <v>0</v>
      </c>
      <c r="W28" s="25">
        <f t="shared" si="5"/>
        <v>1</v>
      </c>
      <c r="X28" s="25">
        <f t="shared" si="5"/>
        <v>0</v>
      </c>
      <c r="Y28" s="25">
        <f t="shared" si="5"/>
        <v>1</v>
      </c>
      <c r="Z28" s="25">
        <f t="shared" si="5"/>
        <v>1</v>
      </c>
      <c r="AA28" s="25">
        <f t="shared" si="5"/>
        <v>1</v>
      </c>
      <c r="AB28" s="3">
        <f t="shared" si="6"/>
        <v>0.8</v>
      </c>
      <c r="AC28" s="3">
        <f t="shared" si="7"/>
        <v>0.19999999999999996</v>
      </c>
      <c r="AD28" s="3">
        <f t="shared" si="8"/>
        <v>0.15999999999999998</v>
      </c>
      <c r="AE28" s="33"/>
    </row>
    <row r="29" spans="1:31" ht="56" x14ac:dyDescent="0.3">
      <c r="A29" s="60" t="s">
        <v>144</v>
      </c>
      <c r="B29" s="25">
        <v>1</v>
      </c>
      <c r="C29" s="25">
        <v>1</v>
      </c>
      <c r="D29" s="25">
        <v>0</v>
      </c>
      <c r="E29" s="25">
        <v>0</v>
      </c>
      <c r="F29" s="25">
        <v>0</v>
      </c>
      <c r="G29" s="25">
        <v>0</v>
      </c>
      <c r="H29" s="25">
        <v>0</v>
      </c>
      <c r="I29" s="25">
        <v>0</v>
      </c>
      <c r="J29" s="25">
        <v>0</v>
      </c>
      <c r="K29" s="25">
        <v>0</v>
      </c>
      <c r="L29" s="3">
        <f t="shared" si="0"/>
        <v>0.2</v>
      </c>
      <c r="M29" s="26" t="str">
        <f t="shared" si="1"/>
        <v>sukar</v>
      </c>
      <c r="N29" s="3">
        <f t="shared" si="2"/>
        <v>0.5</v>
      </c>
      <c r="O29" s="26" t="str">
        <f t="shared" si="3"/>
        <v>soal diterima baik</v>
      </c>
      <c r="P29" s="33"/>
      <c r="Q29" s="26">
        <v>24</v>
      </c>
      <c r="R29" s="25">
        <f t="shared" si="5"/>
        <v>1</v>
      </c>
      <c r="S29" s="25">
        <f t="shared" si="5"/>
        <v>1</v>
      </c>
      <c r="T29" s="25">
        <f t="shared" si="5"/>
        <v>1</v>
      </c>
      <c r="U29" s="25">
        <f t="shared" si="5"/>
        <v>1</v>
      </c>
      <c r="V29" s="25">
        <f t="shared" si="5"/>
        <v>0</v>
      </c>
      <c r="W29" s="25">
        <f t="shared" si="5"/>
        <v>1</v>
      </c>
      <c r="X29" s="25">
        <f t="shared" si="5"/>
        <v>0</v>
      </c>
      <c r="Y29" s="25">
        <f t="shared" si="5"/>
        <v>0</v>
      </c>
      <c r="Z29" s="25">
        <f t="shared" si="5"/>
        <v>0</v>
      </c>
      <c r="AA29" s="25">
        <f t="shared" si="5"/>
        <v>1</v>
      </c>
      <c r="AB29" s="3">
        <f t="shared" si="6"/>
        <v>0.6</v>
      </c>
      <c r="AC29" s="3">
        <f t="shared" si="7"/>
        <v>0.4</v>
      </c>
      <c r="AD29" s="3">
        <f t="shared" si="8"/>
        <v>0.24</v>
      </c>
      <c r="AE29" s="33"/>
    </row>
    <row r="30" spans="1:31" ht="56" x14ac:dyDescent="0.3">
      <c r="A30" s="61" t="s">
        <v>145</v>
      </c>
      <c r="B30" s="25">
        <v>1</v>
      </c>
      <c r="C30" s="25">
        <v>1</v>
      </c>
      <c r="D30" s="25">
        <v>1</v>
      </c>
      <c r="E30" s="25">
        <v>1</v>
      </c>
      <c r="F30" s="25">
        <v>0</v>
      </c>
      <c r="G30" s="25">
        <v>0</v>
      </c>
      <c r="H30" s="25">
        <v>0</v>
      </c>
      <c r="I30" s="25">
        <v>0</v>
      </c>
      <c r="J30" s="25">
        <v>0</v>
      </c>
      <c r="K30" s="25">
        <v>0</v>
      </c>
      <c r="L30" s="3">
        <f t="shared" si="0"/>
        <v>0.4</v>
      </c>
      <c r="M30" s="26" t="str">
        <f t="shared" si="1"/>
        <v>sedang</v>
      </c>
      <c r="N30" s="3">
        <f t="shared" si="2"/>
        <v>1</v>
      </c>
      <c r="O30" s="26" t="str">
        <f t="shared" si="3"/>
        <v>soal diterima baik</v>
      </c>
      <c r="P30" s="33"/>
      <c r="Q30" s="26">
        <v>25</v>
      </c>
      <c r="R30" s="25">
        <f t="shared" si="5"/>
        <v>1</v>
      </c>
      <c r="S30" s="25">
        <f t="shared" si="5"/>
        <v>1</v>
      </c>
      <c r="T30" s="25">
        <f t="shared" si="5"/>
        <v>0</v>
      </c>
      <c r="U30" s="25">
        <f t="shared" si="5"/>
        <v>0</v>
      </c>
      <c r="V30" s="25">
        <f t="shared" si="5"/>
        <v>0</v>
      </c>
      <c r="W30" s="25">
        <f t="shared" si="5"/>
        <v>0</v>
      </c>
      <c r="X30" s="25">
        <f t="shared" si="5"/>
        <v>0</v>
      </c>
      <c r="Y30" s="25">
        <f t="shared" si="5"/>
        <v>0</v>
      </c>
      <c r="Z30" s="25">
        <f t="shared" si="5"/>
        <v>0</v>
      </c>
      <c r="AA30" s="25">
        <f t="shared" si="5"/>
        <v>0</v>
      </c>
      <c r="AB30" s="3">
        <f t="shared" si="6"/>
        <v>0.2</v>
      </c>
      <c r="AC30" s="3">
        <f t="shared" si="7"/>
        <v>0.8</v>
      </c>
      <c r="AD30" s="3">
        <f t="shared" si="8"/>
        <v>0.16000000000000003</v>
      </c>
      <c r="AE30" s="33"/>
    </row>
    <row r="31" spans="1:31" ht="98" x14ac:dyDescent="0.3">
      <c r="A31" s="59" t="s">
        <v>146</v>
      </c>
      <c r="B31" s="25">
        <v>1</v>
      </c>
      <c r="C31" s="25">
        <v>1</v>
      </c>
      <c r="D31" s="25">
        <v>1</v>
      </c>
      <c r="E31" s="25">
        <v>1</v>
      </c>
      <c r="F31" s="25">
        <v>0</v>
      </c>
      <c r="G31" s="25">
        <v>0</v>
      </c>
      <c r="H31" s="25">
        <v>0</v>
      </c>
      <c r="I31" s="25">
        <v>0</v>
      </c>
      <c r="J31" s="25">
        <v>0</v>
      </c>
      <c r="K31" s="25">
        <v>0</v>
      </c>
      <c r="L31" s="3">
        <f t="shared" si="0"/>
        <v>0.4</v>
      </c>
      <c r="M31" s="26" t="str">
        <f t="shared" si="1"/>
        <v>sedang</v>
      </c>
      <c r="N31" s="3">
        <f t="shared" si="2"/>
        <v>1</v>
      </c>
      <c r="O31" s="26" t="str">
        <f t="shared" si="3"/>
        <v>soal diterima baik</v>
      </c>
      <c r="P31" s="33"/>
      <c r="Q31" s="26">
        <v>26</v>
      </c>
      <c r="R31" s="25">
        <f t="shared" si="5"/>
        <v>1</v>
      </c>
      <c r="S31" s="25">
        <f t="shared" si="5"/>
        <v>1</v>
      </c>
      <c r="T31" s="25">
        <f t="shared" si="5"/>
        <v>1</v>
      </c>
      <c r="U31" s="25">
        <f t="shared" si="5"/>
        <v>1</v>
      </c>
      <c r="V31" s="25">
        <f t="shared" si="5"/>
        <v>0</v>
      </c>
      <c r="W31" s="25">
        <f t="shared" si="5"/>
        <v>0</v>
      </c>
      <c r="X31" s="25">
        <f t="shared" si="5"/>
        <v>0</v>
      </c>
      <c r="Y31" s="25">
        <f t="shared" si="5"/>
        <v>0</v>
      </c>
      <c r="Z31" s="25">
        <f t="shared" si="5"/>
        <v>0</v>
      </c>
      <c r="AA31" s="25">
        <f t="shared" si="5"/>
        <v>0</v>
      </c>
      <c r="AB31" s="3">
        <f t="shared" si="6"/>
        <v>0.4</v>
      </c>
      <c r="AC31" s="3">
        <f t="shared" si="7"/>
        <v>0.6</v>
      </c>
      <c r="AD31" s="3">
        <f t="shared" si="8"/>
        <v>0.24</v>
      </c>
      <c r="AE31" s="33"/>
    </row>
    <row r="32" spans="1:31" ht="84" x14ac:dyDescent="0.3">
      <c r="A32" s="61" t="s">
        <v>147</v>
      </c>
      <c r="B32" s="25">
        <v>1</v>
      </c>
      <c r="C32" s="25">
        <v>1</v>
      </c>
      <c r="D32" s="25">
        <v>1</v>
      </c>
      <c r="E32" s="25">
        <v>1</v>
      </c>
      <c r="F32" s="25">
        <v>0</v>
      </c>
      <c r="G32" s="25">
        <v>1</v>
      </c>
      <c r="H32" s="25">
        <v>0</v>
      </c>
      <c r="I32" s="25">
        <v>1</v>
      </c>
      <c r="J32" s="25">
        <v>1</v>
      </c>
      <c r="K32" s="25">
        <v>1</v>
      </c>
      <c r="L32" s="3">
        <f t="shared" si="0"/>
        <v>0.8</v>
      </c>
      <c r="M32" s="26" t="str">
        <f t="shared" si="1"/>
        <v>mudah</v>
      </c>
      <c r="N32" s="3">
        <f t="shared" si="2"/>
        <v>0.5</v>
      </c>
      <c r="O32" s="26" t="str">
        <f t="shared" si="3"/>
        <v>soal diterima baik</v>
      </c>
      <c r="P32" s="33"/>
      <c r="Q32" s="26">
        <v>27</v>
      </c>
      <c r="R32" s="25">
        <f t="shared" si="5"/>
        <v>1</v>
      </c>
      <c r="S32" s="25">
        <f t="shared" si="5"/>
        <v>1</v>
      </c>
      <c r="T32" s="25">
        <f t="shared" si="5"/>
        <v>1</v>
      </c>
      <c r="U32" s="25">
        <f t="shared" si="5"/>
        <v>1</v>
      </c>
      <c r="V32" s="25">
        <f t="shared" si="5"/>
        <v>0</v>
      </c>
      <c r="W32" s="25">
        <f t="shared" si="5"/>
        <v>0</v>
      </c>
      <c r="X32" s="25">
        <f t="shared" si="5"/>
        <v>0</v>
      </c>
      <c r="Y32" s="25">
        <f t="shared" si="5"/>
        <v>0</v>
      </c>
      <c r="Z32" s="25">
        <f t="shared" si="5"/>
        <v>0</v>
      </c>
      <c r="AA32" s="25">
        <f t="shared" si="5"/>
        <v>0</v>
      </c>
      <c r="AB32" s="3">
        <f t="shared" si="6"/>
        <v>0.4</v>
      </c>
      <c r="AC32" s="3">
        <f t="shared" si="7"/>
        <v>0.6</v>
      </c>
      <c r="AD32" s="3">
        <f t="shared" si="8"/>
        <v>0.24</v>
      </c>
      <c r="AE32" s="33"/>
    </row>
    <row r="33" spans="1:31" ht="112" x14ac:dyDescent="0.3">
      <c r="A33" s="59" t="s">
        <v>148</v>
      </c>
      <c r="B33" s="25">
        <v>1</v>
      </c>
      <c r="C33" s="25">
        <v>1</v>
      </c>
      <c r="D33" s="25">
        <v>1</v>
      </c>
      <c r="E33" s="25">
        <v>1</v>
      </c>
      <c r="F33" s="25">
        <v>0</v>
      </c>
      <c r="G33" s="25">
        <v>1</v>
      </c>
      <c r="H33" s="25">
        <v>0</v>
      </c>
      <c r="I33" s="25">
        <v>1</v>
      </c>
      <c r="J33" s="25">
        <v>1</v>
      </c>
      <c r="K33" s="25">
        <v>1</v>
      </c>
      <c r="L33" s="3">
        <f t="shared" si="0"/>
        <v>0.8</v>
      </c>
      <c r="M33" s="26" t="str">
        <f t="shared" si="1"/>
        <v>mudah</v>
      </c>
      <c r="N33" s="3">
        <f t="shared" si="2"/>
        <v>0.5</v>
      </c>
      <c r="O33" s="26" t="str">
        <f t="shared" si="3"/>
        <v>soal diterima baik</v>
      </c>
      <c r="P33" s="33"/>
      <c r="Q33" s="26">
        <v>28</v>
      </c>
      <c r="R33" s="25">
        <f t="shared" si="5"/>
        <v>1</v>
      </c>
      <c r="S33" s="25">
        <f t="shared" si="5"/>
        <v>1</v>
      </c>
      <c r="T33" s="25">
        <f t="shared" si="5"/>
        <v>1</v>
      </c>
      <c r="U33" s="25">
        <f t="shared" si="5"/>
        <v>1</v>
      </c>
      <c r="V33" s="25">
        <f t="shared" si="5"/>
        <v>0</v>
      </c>
      <c r="W33" s="25">
        <f t="shared" si="5"/>
        <v>1</v>
      </c>
      <c r="X33" s="25">
        <f t="shared" si="5"/>
        <v>0</v>
      </c>
      <c r="Y33" s="25">
        <f t="shared" si="5"/>
        <v>1</v>
      </c>
      <c r="Z33" s="25">
        <f t="shared" si="5"/>
        <v>1</v>
      </c>
      <c r="AA33" s="25">
        <f t="shared" si="5"/>
        <v>1</v>
      </c>
      <c r="AB33" s="3">
        <f t="shared" si="6"/>
        <v>0.8</v>
      </c>
      <c r="AC33" s="3">
        <f t="shared" si="7"/>
        <v>0.19999999999999996</v>
      </c>
      <c r="AD33" s="3">
        <f t="shared" si="8"/>
        <v>0.15999999999999998</v>
      </c>
      <c r="AE33" s="33"/>
    </row>
    <row r="34" spans="1:31" x14ac:dyDescent="0.3">
      <c r="A34" s="59" t="s">
        <v>149</v>
      </c>
      <c r="B34" s="25">
        <v>1</v>
      </c>
      <c r="C34" s="25">
        <v>1</v>
      </c>
      <c r="D34" s="25">
        <v>1</v>
      </c>
      <c r="E34" s="25">
        <v>1</v>
      </c>
      <c r="F34" s="25">
        <v>0</v>
      </c>
      <c r="G34" s="25">
        <v>0</v>
      </c>
      <c r="H34" s="25">
        <v>0</v>
      </c>
      <c r="I34" s="25">
        <v>0</v>
      </c>
      <c r="J34" s="25">
        <v>0</v>
      </c>
      <c r="K34" s="25">
        <v>0</v>
      </c>
      <c r="L34" s="3">
        <f t="shared" si="0"/>
        <v>0.4</v>
      </c>
      <c r="M34" s="26" t="str">
        <f t="shared" si="1"/>
        <v>sedang</v>
      </c>
      <c r="N34" s="3">
        <f t="shared" si="2"/>
        <v>1</v>
      </c>
      <c r="O34" s="26" t="str">
        <f t="shared" si="3"/>
        <v>soal diterima baik</v>
      </c>
      <c r="P34" s="33"/>
      <c r="Q34" s="26">
        <v>29</v>
      </c>
      <c r="R34" s="25">
        <f t="shared" si="5"/>
        <v>1</v>
      </c>
      <c r="S34" s="25">
        <f t="shared" si="5"/>
        <v>1</v>
      </c>
      <c r="T34" s="25">
        <f t="shared" si="5"/>
        <v>1</v>
      </c>
      <c r="U34" s="25">
        <f t="shared" si="5"/>
        <v>1</v>
      </c>
      <c r="V34" s="25">
        <f t="shared" si="5"/>
        <v>0</v>
      </c>
      <c r="W34" s="25">
        <f t="shared" si="5"/>
        <v>1</v>
      </c>
      <c r="X34" s="25">
        <f t="shared" si="5"/>
        <v>0</v>
      </c>
      <c r="Y34" s="25">
        <f t="shared" si="5"/>
        <v>1</v>
      </c>
      <c r="Z34" s="25">
        <f t="shared" si="5"/>
        <v>1</v>
      </c>
      <c r="AA34" s="25">
        <f t="shared" si="5"/>
        <v>1</v>
      </c>
      <c r="AB34" s="3">
        <f t="shared" si="6"/>
        <v>0.8</v>
      </c>
      <c r="AC34" s="3">
        <f t="shared" si="7"/>
        <v>0.19999999999999996</v>
      </c>
      <c r="AD34" s="3">
        <f t="shared" si="8"/>
        <v>0.15999999999999998</v>
      </c>
      <c r="AE34" s="33"/>
    </row>
    <row r="35" spans="1:31" ht="42" x14ac:dyDescent="0.3">
      <c r="A35" s="60" t="s">
        <v>150</v>
      </c>
      <c r="B35" s="25">
        <v>1</v>
      </c>
      <c r="C35" s="25">
        <v>1</v>
      </c>
      <c r="D35" s="25">
        <v>1</v>
      </c>
      <c r="E35" s="25">
        <v>1</v>
      </c>
      <c r="F35" s="25">
        <v>0</v>
      </c>
      <c r="G35" s="25">
        <v>0</v>
      </c>
      <c r="H35" s="25">
        <v>0</v>
      </c>
      <c r="I35" s="25">
        <v>1</v>
      </c>
      <c r="J35" s="25">
        <v>1</v>
      </c>
      <c r="K35" s="25">
        <v>0</v>
      </c>
      <c r="L35" s="3">
        <f t="shared" si="0"/>
        <v>0.6</v>
      </c>
      <c r="M35" s="26" t="str">
        <f t="shared" si="1"/>
        <v>sedang</v>
      </c>
      <c r="N35" s="3">
        <f t="shared" si="2"/>
        <v>0.5</v>
      </c>
      <c r="O35" s="26" t="str">
        <f t="shared" si="3"/>
        <v>soal diterima baik</v>
      </c>
      <c r="P35" s="33"/>
      <c r="Q35" s="26">
        <v>30</v>
      </c>
      <c r="R35" s="25">
        <f t="shared" si="5"/>
        <v>1</v>
      </c>
      <c r="S35" s="25">
        <f t="shared" si="5"/>
        <v>1</v>
      </c>
      <c r="T35" s="25">
        <f t="shared" si="5"/>
        <v>1</v>
      </c>
      <c r="U35" s="25">
        <f t="shared" si="5"/>
        <v>1</v>
      </c>
      <c r="V35" s="25">
        <f t="shared" si="5"/>
        <v>0</v>
      </c>
      <c r="W35" s="25">
        <f t="shared" si="5"/>
        <v>0</v>
      </c>
      <c r="X35" s="25">
        <f t="shared" si="5"/>
        <v>0</v>
      </c>
      <c r="Y35" s="25">
        <f t="shared" si="5"/>
        <v>0</v>
      </c>
      <c r="Z35" s="25">
        <f t="shared" si="5"/>
        <v>0</v>
      </c>
      <c r="AA35" s="25">
        <f t="shared" si="5"/>
        <v>0</v>
      </c>
      <c r="AB35" s="3">
        <f t="shared" si="6"/>
        <v>0.4</v>
      </c>
      <c r="AC35" s="3">
        <f t="shared" si="7"/>
        <v>0.6</v>
      </c>
      <c r="AD35" s="3">
        <f t="shared" si="8"/>
        <v>0.24</v>
      </c>
      <c r="AE35" s="33"/>
    </row>
    <row r="36" spans="1:31" ht="42" x14ac:dyDescent="0.3">
      <c r="A36" s="59" t="s">
        <v>151</v>
      </c>
      <c r="B36" s="25">
        <v>1</v>
      </c>
      <c r="C36" s="25">
        <v>1</v>
      </c>
      <c r="D36" s="25">
        <v>1</v>
      </c>
      <c r="E36" s="25">
        <v>1</v>
      </c>
      <c r="F36" s="25">
        <v>0</v>
      </c>
      <c r="G36" s="25">
        <v>0</v>
      </c>
      <c r="H36" s="25">
        <v>0</v>
      </c>
      <c r="I36" s="25">
        <v>0</v>
      </c>
      <c r="J36" s="25">
        <v>0</v>
      </c>
      <c r="K36" s="25">
        <v>0</v>
      </c>
      <c r="L36" s="3">
        <f t="shared" si="0"/>
        <v>0.4</v>
      </c>
      <c r="M36" s="26" t="str">
        <f t="shared" si="1"/>
        <v>sedang</v>
      </c>
      <c r="N36" s="3">
        <f t="shared" si="2"/>
        <v>1</v>
      </c>
      <c r="O36" s="26" t="str">
        <f t="shared" si="3"/>
        <v>soal diterima baik</v>
      </c>
      <c r="P36" s="33"/>
      <c r="Q36" s="26">
        <v>31</v>
      </c>
      <c r="R36" s="25">
        <f t="shared" si="5"/>
        <v>1</v>
      </c>
      <c r="S36" s="25">
        <f t="shared" si="5"/>
        <v>1</v>
      </c>
      <c r="T36" s="25">
        <f t="shared" si="5"/>
        <v>1</v>
      </c>
      <c r="U36" s="25">
        <f t="shared" si="5"/>
        <v>1</v>
      </c>
      <c r="V36" s="25">
        <f t="shared" si="5"/>
        <v>0</v>
      </c>
      <c r="W36" s="25">
        <f t="shared" si="5"/>
        <v>0</v>
      </c>
      <c r="X36" s="25">
        <f t="shared" si="5"/>
        <v>0</v>
      </c>
      <c r="Y36" s="25">
        <f t="shared" si="5"/>
        <v>1</v>
      </c>
      <c r="Z36" s="25">
        <f t="shared" si="5"/>
        <v>1</v>
      </c>
      <c r="AA36" s="25">
        <f t="shared" si="5"/>
        <v>0</v>
      </c>
      <c r="AB36" s="3">
        <f t="shared" si="6"/>
        <v>0.6</v>
      </c>
      <c r="AC36" s="3">
        <f t="shared" si="7"/>
        <v>0.4</v>
      </c>
      <c r="AD36" s="3">
        <f t="shared" si="8"/>
        <v>0.24</v>
      </c>
      <c r="AE36" s="33"/>
    </row>
    <row r="37" spans="1:31" ht="28" x14ac:dyDescent="0.3">
      <c r="A37" s="61" t="s">
        <v>152</v>
      </c>
      <c r="B37" s="25">
        <v>1</v>
      </c>
      <c r="C37" s="25">
        <v>1</v>
      </c>
      <c r="D37" s="25">
        <v>1</v>
      </c>
      <c r="E37" s="25">
        <v>1</v>
      </c>
      <c r="F37" s="25">
        <v>1</v>
      </c>
      <c r="G37" s="25">
        <v>0</v>
      </c>
      <c r="H37" s="25">
        <v>1</v>
      </c>
      <c r="I37" s="25">
        <v>0</v>
      </c>
      <c r="J37" s="25">
        <v>0</v>
      </c>
      <c r="K37" s="25">
        <v>0</v>
      </c>
      <c r="L37" s="3">
        <f t="shared" si="0"/>
        <v>0.6</v>
      </c>
      <c r="M37" s="26" t="str">
        <f t="shared" si="1"/>
        <v>sedang</v>
      </c>
      <c r="N37" s="3">
        <f t="shared" si="2"/>
        <v>0.5</v>
      </c>
      <c r="O37" s="26" t="str">
        <f t="shared" si="3"/>
        <v>soal diterima baik</v>
      </c>
      <c r="P37" s="33"/>
      <c r="Q37" s="26">
        <v>32</v>
      </c>
      <c r="R37" s="25">
        <f t="shared" si="5"/>
        <v>1</v>
      </c>
      <c r="S37" s="25">
        <f t="shared" si="5"/>
        <v>1</v>
      </c>
      <c r="T37" s="25">
        <f t="shared" si="5"/>
        <v>1</v>
      </c>
      <c r="U37" s="25">
        <f t="shared" si="5"/>
        <v>1</v>
      </c>
      <c r="V37" s="25">
        <f t="shared" si="5"/>
        <v>0</v>
      </c>
      <c r="W37" s="25">
        <f t="shared" si="5"/>
        <v>0</v>
      </c>
      <c r="X37" s="25">
        <f t="shared" si="5"/>
        <v>0</v>
      </c>
      <c r="Y37" s="25">
        <f t="shared" si="5"/>
        <v>0</v>
      </c>
      <c r="Z37" s="25">
        <f t="shared" si="5"/>
        <v>0</v>
      </c>
      <c r="AA37" s="25">
        <f t="shared" si="5"/>
        <v>0</v>
      </c>
      <c r="AB37" s="3">
        <f t="shared" si="6"/>
        <v>0.4</v>
      </c>
      <c r="AC37" s="3">
        <f t="shared" si="7"/>
        <v>0.6</v>
      </c>
      <c r="AD37" s="3">
        <f t="shared" si="8"/>
        <v>0.24</v>
      </c>
      <c r="AE37" s="33"/>
    </row>
    <row r="38" spans="1:31" ht="28" x14ac:dyDescent="0.3">
      <c r="A38" s="61" t="s">
        <v>153</v>
      </c>
      <c r="B38" s="25">
        <v>1</v>
      </c>
      <c r="C38" s="25">
        <v>1</v>
      </c>
      <c r="D38" s="25">
        <v>1</v>
      </c>
      <c r="E38" s="25">
        <v>1</v>
      </c>
      <c r="F38" s="25">
        <v>0</v>
      </c>
      <c r="G38" s="25">
        <v>0</v>
      </c>
      <c r="H38" s="25">
        <v>0</v>
      </c>
      <c r="I38" s="25">
        <v>0</v>
      </c>
      <c r="J38" s="25">
        <v>0</v>
      </c>
      <c r="K38" s="25">
        <v>0</v>
      </c>
      <c r="L38" s="3">
        <f t="shared" si="0"/>
        <v>0.4</v>
      </c>
      <c r="M38" s="26" t="str">
        <f t="shared" si="1"/>
        <v>sedang</v>
      </c>
      <c r="N38" s="3">
        <f t="shared" si="2"/>
        <v>1</v>
      </c>
      <c r="O38" s="26" t="str">
        <f t="shared" si="3"/>
        <v>soal diterima baik</v>
      </c>
      <c r="P38" s="33"/>
      <c r="Q38" s="26">
        <v>33</v>
      </c>
      <c r="R38" s="25">
        <f t="shared" si="5"/>
        <v>1</v>
      </c>
      <c r="S38" s="25">
        <f t="shared" si="5"/>
        <v>1</v>
      </c>
      <c r="T38" s="25">
        <f t="shared" si="5"/>
        <v>1</v>
      </c>
      <c r="U38" s="25">
        <f t="shared" si="5"/>
        <v>1</v>
      </c>
      <c r="V38" s="25">
        <f t="shared" si="5"/>
        <v>1</v>
      </c>
      <c r="W38" s="25">
        <f t="shared" si="5"/>
        <v>0</v>
      </c>
      <c r="X38" s="25">
        <f t="shared" si="5"/>
        <v>1</v>
      </c>
      <c r="Y38" s="25">
        <f t="shared" si="5"/>
        <v>0</v>
      </c>
      <c r="Z38" s="25">
        <f t="shared" si="5"/>
        <v>0</v>
      </c>
      <c r="AA38" s="25">
        <f t="shared" si="5"/>
        <v>0</v>
      </c>
      <c r="AB38" s="3">
        <f t="shared" si="6"/>
        <v>0.6</v>
      </c>
      <c r="AC38" s="3">
        <f t="shared" si="7"/>
        <v>0.4</v>
      </c>
      <c r="AD38" s="3">
        <f t="shared" si="8"/>
        <v>0.24</v>
      </c>
      <c r="AE38" s="33"/>
    </row>
    <row r="39" spans="1:31" ht="56" x14ac:dyDescent="0.3">
      <c r="A39" s="61" t="s">
        <v>154</v>
      </c>
      <c r="B39" s="25">
        <v>1</v>
      </c>
      <c r="C39" s="25">
        <v>1</v>
      </c>
      <c r="D39" s="25">
        <v>1</v>
      </c>
      <c r="E39" s="25">
        <v>1</v>
      </c>
      <c r="F39" s="25">
        <v>0</v>
      </c>
      <c r="G39" s="25">
        <v>0</v>
      </c>
      <c r="H39" s="25">
        <v>0</v>
      </c>
      <c r="I39" s="25">
        <v>1</v>
      </c>
      <c r="J39" s="25">
        <v>1</v>
      </c>
      <c r="K39" s="25">
        <v>0</v>
      </c>
      <c r="L39" s="3">
        <f t="shared" si="0"/>
        <v>0.6</v>
      </c>
      <c r="M39" s="26" t="str">
        <f t="shared" si="1"/>
        <v>sedang</v>
      </c>
      <c r="N39" s="3">
        <f t="shared" si="2"/>
        <v>0.5</v>
      </c>
      <c r="O39" s="26" t="str">
        <f t="shared" si="3"/>
        <v>soal diterima baik</v>
      </c>
      <c r="P39" s="33"/>
      <c r="Q39" s="26">
        <v>34</v>
      </c>
      <c r="R39" s="25">
        <f t="shared" si="5"/>
        <v>1</v>
      </c>
      <c r="S39" s="25">
        <f t="shared" si="5"/>
        <v>1</v>
      </c>
      <c r="T39" s="25">
        <f t="shared" si="5"/>
        <v>1</v>
      </c>
      <c r="U39" s="25">
        <f t="shared" si="5"/>
        <v>1</v>
      </c>
      <c r="V39" s="25">
        <f t="shared" si="5"/>
        <v>0</v>
      </c>
      <c r="W39" s="25">
        <f t="shared" si="5"/>
        <v>0</v>
      </c>
      <c r="X39" s="25">
        <f t="shared" si="5"/>
        <v>0</v>
      </c>
      <c r="Y39" s="25">
        <f t="shared" si="5"/>
        <v>0</v>
      </c>
      <c r="Z39" s="25">
        <f t="shared" si="5"/>
        <v>0</v>
      </c>
      <c r="AA39" s="25">
        <f t="shared" si="5"/>
        <v>0</v>
      </c>
      <c r="AB39" s="3">
        <f t="shared" si="6"/>
        <v>0.4</v>
      </c>
      <c r="AC39" s="3">
        <f t="shared" si="7"/>
        <v>0.6</v>
      </c>
      <c r="AD39" s="3">
        <f t="shared" si="8"/>
        <v>0.24</v>
      </c>
      <c r="AE39" s="33"/>
    </row>
    <row r="40" spans="1:31" ht="42" x14ac:dyDescent="0.3">
      <c r="A40" s="60" t="s">
        <v>155</v>
      </c>
      <c r="B40" s="25">
        <v>0</v>
      </c>
      <c r="C40" s="25">
        <v>0</v>
      </c>
      <c r="D40" s="25">
        <v>1</v>
      </c>
      <c r="E40" s="25">
        <v>1</v>
      </c>
      <c r="F40" s="25">
        <v>0</v>
      </c>
      <c r="G40" s="25">
        <v>1</v>
      </c>
      <c r="H40" s="25">
        <v>0</v>
      </c>
      <c r="I40" s="25">
        <v>0</v>
      </c>
      <c r="J40" s="25">
        <v>0</v>
      </c>
      <c r="K40" s="25">
        <v>1</v>
      </c>
      <c r="L40" s="3">
        <f t="shared" si="0"/>
        <v>0.4</v>
      </c>
      <c r="M40" s="26" t="str">
        <f t="shared" si="1"/>
        <v>sedang</v>
      </c>
      <c r="N40" s="3">
        <f t="shared" si="2"/>
        <v>0.5</v>
      </c>
      <c r="O40" s="26" t="str">
        <f t="shared" si="3"/>
        <v>soal diterima baik</v>
      </c>
      <c r="P40" s="33"/>
      <c r="Q40" s="26">
        <v>35</v>
      </c>
      <c r="R40" s="25">
        <f t="shared" si="5"/>
        <v>1</v>
      </c>
      <c r="S40" s="25">
        <f t="shared" si="5"/>
        <v>1</v>
      </c>
      <c r="T40" s="25">
        <f t="shared" si="5"/>
        <v>1</v>
      </c>
      <c r="U40" s="25">
        <f t="shared" si="5"/>
        <v>1</v>
      </c>
      <c r="V40" s="25">
        <f t="shared" si="5"/>
        <v>0</v>
      </c>
      <c r="W40" s="25">
        <f t="shared" si="5"/>
        <v>0</v>
      </c>
      <c r="X40" s="25">
        <f t="shared" si="5"/>
        <v>0</v>
      </c>
      <c r="Y40" s="25">
        <f t="shared" si="5"/>
        <v>1</v>
      </c>
      <c r="Z40" s="25">
        <f t="shared" si="5"/>
        <v>1</v>
      </c>
      <c r="AA40" s="25">
        <f t="shared" si="5"/>
        <v>0</v>
      </c>
      <c r="AB40" s="3">
        <f t="shared" si="6"/>
        <v>0.6</v>
      </c>
      <c r="AC40" s="3">
        <f t="shared" si="7"/>
        <v>0.4</v>
      </c>
      <c r="AD40" s="3">
        <f t="shared" si="8"/>
        <v>0.24</v>
      </c>
      <c r="AE40" s="33"/>
    </row>
    <row r="41" spans="1:31" ht="140" x14ac:dyDescent="0.3">
      <c r="A41" s="60" t="s">
        <v>156</v>
      </c>
      <c r="B41" s="25">
        <v>1</v>
      </c>
      <c r="C41" s="25">
        <v>1</v>
      </c>
      <c r="D41" s="25">
        <v>1</v>
      </c>
      <c r="E41" s="25">
        <v>1</v>
      </c>
      <c r="F41" s="25">
        <v>1</v>
      </c>
      <c r="G41" s="25">
        <v>1</v>
      </c>
      <c r="H41" s="25">
        <v>1</v>
      </c>
      <c r="I41" s="25">
        <v>0</v>
      </c>
      <c r="J41" s="25">
        <v>0</v>
      </c>
      <c r="K41" s="25">
        <v>1</v>
      </c>
      <c r="L41" s="3">
        <f t="shared" si="0"/>
        <v>0.8</v>
      </c>
      <c r="M41" s="26" t="str">
        <f t="shared" si="1"/>
        <v>mudah</v>
      </c>
      <c r="N41" s="3">
        <f t="shared" si="2"/>
        <v>0.5</v>
      </c>
      <c r="O41" s="26" t="str">
        <f t="shared" si="3"/>
        <v>soal diterima baik</v>
      </c>
      <c r="P41" s="33"/>
      <c r="Q41" s="26">
        <v>36</v>
      </c>
      <c r="R41" s="25">
        <f t="shared" si="5"/>
        <v>0</v>
      </c>
      <c r="S41" s="25">
        <f t="shared" si="5"/>
        <v>0</v>
      </c>
      <c r="T41" s="25">
        <f t="shared" si="5"/>
        <v>1</v>
      </c>
      <c r="U41" s="25">
        <f t="shared" si="5"/>
        <v>1</v>
      </c>
      <c r="V41" s="25">
        <f t="shared" si="5"/>
        <v>0</v>
      </c>
      <c r="W41" s="25">
        <f t="shared" si="5"/>
        <v>1</v>
      </c>
      <c r="X41" s="25">
        <f t="shared" si="5"/>
        <v>0</v>
      </c>
      <c r="Y41" s="25">
        <f t="shared" si="5"/>
        <v>0</v>
      </c>
      <c r="Z41" s="25">
        <f t="shared" si="5"/>
        <v>0</v>
      </c>
      <c r="AA41" s="25">
        <f t="shared" si="5"/>
        <v>1</v>
      </c>
      <c r="AB41" s="3">
        <f t="shared" si="6"/>
        <v>0.4</v>
      </c>
      <c r="AC41" s="3">
        <f t="shared" si="7"/>
        <v>0.6</v>
      </c>
      <c r="AD41" s="3">
        <f t="shared" si="8"/>
        <v>0.24</v>
      </c>
      <c r="AE41" s="33"/>
    </row>
    <row r="42" spans="1:31" ht="42" x14ac:dyDescent="0.3">
      <c r="A42" s="59" t="s">
        <v>157</v>
      </c>
      <c r="B42" s="25">
        <v>1</v>
      </c>
      <c r="C42" s="25">
        <v>1</v>
      </c>
      <c r="D42" s="25">
        <v>0</v>
      </c>
      <c r="E42" s="25">
        <v>0</v>
      </c>
      <c r="F42" s="25">
        <v>0</v>
      </c>
      <c r="G42" s="25">
        <v>1</v>
      </c>
      <c r="H42" s="25">
        <v>0</v>
      </c>
      <c r="I42" s="25">
        <v>0</v>
      </c>
      <c r="J42" s="25">
        <v>0</v>
      </c>
      <c r="K42" s="25">
        <v>1</v>
      </c>
      <c r="L42" s="3">
        <f t="shared" si="0"/>
        <v>0.4</v>
      </c>
      <c r="M42" s="26" t="str">
        <f t="shared" si="1"/>
        <v>sedang</v>
      </c>
      <c r="N42" s="3">
        <f t="shared" si="2"/>
        <v>0.5</v>
      </c>
      <c r="O42" s="26" t="str">
        <f t="shared" si="3"/>
        <v>soal diterima baik</v>
      </c>
      <c r="P42" s="33"/>
      <c r="Q42" s="26">
        <v>37</v>
      </c>
      <c r="R42" s="25">
        <f t="shared" si="5"/>
        <v>1</v>
      </c>
      <c r="S42" s="25">
        <f t="shared" si="5"/>
        <v>1</v>
      </c>
      <c r="T42" s="25">
        <f t="shared" si="5"/>
        <v>1</v>
      </c>
      <c r="U42" s="25">
        <f t="shared" si="5"/>
        <v>1</v>
      </c>
      <c r="V42" s="25">
        <f t="shared" si="5"/>
        <v>1</v>
      </c>
      <c r="W42" s="25">
        <f t="shared" si="5"/>
        <v>1</v>
      </c>
      <c r="X42" s="25">
        <f t="shared" si="5"/>
        <v>1</v>
      </c>
      <c r="Y42" s="25">
        <f t="shared" si="5"/>
        <v>0</v>
      </c>
      <c r="Z42" s="25">
        <f t="shared" si="5"/>
        <v>0</v>
      </c>
      <c r="AA42" s="25">
        <f t="shared" si="5"/>
        <v>1</v>
      </c>
      <c r="AB42" s="3">
        <f t="shared" si="6"/>
        <v>0.8</v>
      </c>
      <c r="AC42" s="3">
        <f t="shared" si="7"/>
        <v>0.19999999999999996</v>
      </c>
      <c r="AD42" s="3">
        <f t="shared" si="8"/>
        <v>0.15999999999999998</v>
      </c>
      <c r="AE42" s="33"/>
    </row>
    <row r="43" spans="1:31" ht="28" x14ac:dyDescent="0.3">
      <c r="A43" s="59" t="s">
        <v>158</v>
      </c>
      <c r="B43" s="25">
        <v>1</v>
      </c>
      <c r="C43" s="25">
        <v>1</v>
      </c>
      <c r="D43" s="25">
        <v>1</v>
      </c>
      <c r="E43" s="25">
        <v>1</v>
      </c>
      <c r="F43" s="25">
        <v>1</v>
      </c>
      <c r="G43" s="25">
        <v>1</v>
      </c>
      <c r="H43" s="25">
        <v>1</v>
      </c>
      <c r="I43" s="25">
        <v>0</v>
      </c>
      <c r="J43" s="25">
        <v>0</v>
      </c>
      <c r="K43" s="25">
        <v>1</v>
      </c>
      <c r="L43" s="3">
        <f t="shared" si="0"/>
        <v>0.8</v>
      </c>
      <c r="M43" s="26" t="str">
        <f t="shared" si="1"/>
        <v>mudah</v>
      </c>
      <c r="N43" s="3">
        <f t="shared" si="2"/>
        <v>0.5</v>
      </c>
      <c r="O43" s="26" t="str">
        <f t="shared" si="3"/>
        <v>soal diterima baik</v>
      </c>
      <c r="P43" s="33"/>
      <c r="Q43" s="26">
        <v>38</v>
      </c>
      <c r="R43" s="25">
        <f t="shared" si="5"/>
        <v>1</v>
      </c>
      <c r="S43" s="25">
        <f t="shared" si="5"/>
        <v>1</v>
      </c>
      <c r="T43" s="25">
        <f t="shared" si="5"/>
        <v>0</v>
      </c>
      <c r="U43" s="25">
        <f t="shared" si="5"/>
        <v>0</v>
      </c>
      <c r="V43" s="25">
        <f t="shared" si="5"/>
        <v>0</v>
      </c>
      <c r="W43" s="25">
        <f t="shared" si="5"/>
        <v>1</v>
      </c>
      <c r="X43" s="25">
        <f t="shared" si="5"/>
        <v>0</v>
      </c>
      <c r="Y43" s="25">
        <f t="shared" si="5"/>
        <v>0</v>
      </c>
      <c r="Z43" s="25">
        <f t="shared" si="5"/>
        <v>0</v>
      </c>
      <c r="AA43" s="25">
        <f t="shared" si="5"/>
        <v>1</v>
      </c>
      <c r="AB43" s="3">
        <f t="shared" si="6"/>
        <v>0.4</v>
      </c>
      <c r="AC43" s="3">
        <f t="shared" si="7"/>
        <v>0.6</v>
      </c>
      <c r="AD43" s="3">
        <f t="shared" si="8"/>
        <v>0.24</v>
      </c>
      <c r="AE43" s="33"/>
    </row>
    <row r="44" spans="1:31" ht="56" x14ac:dyDescent="0.3">
      <c r="A44" s="60" t="s">
        <v>159</v>
      </c>
      <c r="B44" s="25">
        <v>1</v>
      </c>
      <c r="C44" s="25">
        <v>1</v>
      </c>
      <c r="D44" s="25">
        <v>1</v>
      </c>
      <c r="E44" s="25">
        <v>1</v>
      </c>
      <c r="F44" s="25">
        <v>1</v>
      </c>
      <c r="G44" s="25">
        <v>0</v>
      </c>
      <c r="H44" s="25">
        <v>1</v>
      </c>
      <c r="I44" s="25">
        <v>0</v>
      </c>
      <c r="J44" s="25">
        <v>0</v>
      </c>
      <c r="K44" s="25">
        <v>0</v>
      </c>
      <c r="L44" s="3">
        <f t="shared" si="0"/>
        <v>0.6</v>
      </c>
      <c r="M44" s="26" t="str">
        <f t="shared" si="1"/>
        <v>sedang</v>
      </c>
      <c r="N44" s="3">
        <f t="shared" si="2"/>
        <v>0.5</v>
      </c>
      <c r="O44" s="26" t="str">
        <f t="shared" si="3"/>
        <v>soal diterima baik</v>
      </c>
      <c r="P44" s="33"/>
      <c r="Q44" s="26">
        <v>39</v>
      </c>
      <c r="R44" s="25">
        <f t="shared" si="5"/>
        <v>1</v>
      </c>
      <c r="S44" s="25">
        <f t="shared" si="5"/>
        <v>1</v>
      </c>
      <c r="T44" s="25">
        <f t="shared" si="5"/>
        <v>1</v>
      </c>
      <c r="U44" s="25">
        <f t="shared" si="5"/>
        <v>1</v>
      </c>
      <c r="V44" s="25">
        <f t="shared" si="5"/>
        <v>1</v>
      </c>
      <c r="W44" s="25">
        <f t="shared" si="5"/>
        <v>1</v>
      </c>
      <c r="X44" s="25">
        <f t="shared" si="5"/>
        <v>1</v>
      </c>
      <c r="Y44" s="25">
        <f t="shared" si="5"/>
        <v>0</v>
      </c>
      <c r="Z44" s="25">
        <f t="shared" si="5"/>
        <v>0</v>
      </c>
      <c r="AA44" s="25">
        <f t="shared" si="5"/>
        <v>1</v>
      </c>
      <c r="AB44" s="3">
        <f t="shared" si="6"/>
        <v>0.8</v>
      </c>
      <c r="AC44" s="3">
        <f t="shared" si="7"/>
        <v>0.19999999999999996</v>
      </c>
      <c r="AD44" s="3">
        <f t="shared" si="8"/>
        <v>0.15999999999999998</v>
      </c>
      <c r="AE44" s="33"/>
    </row>
    <row r="45" spans="1:31" ht="42" x14ac:dyDescent="0.3">
      <c r="A45" s="60" t="s">
        <v>160</v>
      </c>
      <c r="B45" s="25">
        <v>1</v>
      </c>
      <c r="C45" s="25">
        <v>1</v>
      </c>
      <c r="D45" s="25">
        <v>0</v>
      </c>
      <c r="E45" s="25">
        <v>0</v>
      </c>
      <c r="F45" s="25">
        <v>0</v>
      </c>
      <c r="G45" s="25">
        <v>1</v>
      </c>
      <c r="H45" s="25">
        <v>0</v>
      </c>
      <c r="I45" s="25">
        <v>0</v>
      </c>
      <c r="J45" s="25">
        <v>0</v>
      </c>
      <c r="K45" s="25">
        <v>1</v>
      </c>
      <c r="L45" s="3">
        <f t="shared" si="0"/>
        <v>0.4</v>
      </c>
      <c r="M45" s="26" t="str">
        <f t="shared" si="1"/>
        <v>sedang</v>
      </c>
      <c r="N45" s="3">
        <f t="shared" si="2"/>
        <v>0.5</v>
      </c>
      <c r="O45" s="26" t="str">
        <f t="shared" si="3"/>
        <v>soal diterima baik</v>
      </c>
      <c r="P45" s="33"/>
      <c r="Q45" s="26">
        <v>40</v>
      </c>
      <c r="R45" s="25">
        <f t="shared" si="5"/>
        <v>1</v>
      </c>
      <c r="S45" s="25">
        <f t="shared" si="5"/>
        <v>1</v>
      </c>
      <c r="T45" s="25">
        <f t="shared" si="5"/>
        <v>1</v>
      </c>
      <c r="U45" s="25">
        <f t="shared" si="5"/>
        <v>1</v>
      </c>
      <c r="V45" s="25">
        <f t="shared" si="5"/>
        <v>1</v>
      </c>
      <c r="W45" s="25">
        <f t="shared" si="5"/>
        <v>0</v>
      </c>
      <c r="X45" s="25">
        <f t="shared" si="5"/>
        <v>1</v>
      </c>
      <c r="Y45" s="25">
        <f t="shared" si="5"/>
        <v>0</v>
      </c>
      <c r="Z45" s="25">
        <f t="shared" si="5"/>
        <v>0</v>
      </c>
      <c r="AA45" s="25">
        <f t="shared" si="5"/>
        <v>0</v>
      </c>
      <c r="AB45" s="3">
        <f t="shared" si="6"/>
        <v>0.6</v>
      </c>
      <c r="AC45" s="3">
        <f t="shared" si="7"/>
        <v>0.4</v>
      </c>
      <c r="AD45" s="3">
        <f t="shared" si="8"/>
        <v>0.24</v>
      </c>
      <c r="AE45" s="33"/>
    </row>
    <row r="46" spans="1:31" ht="42" x14ac:dyDescent="0.3">
      <c r="A46" s="59" t="s">
        <v>161</v>
      </c>
      <c r="B46" s="25">
        <v>1</v>
      </c>
      <c r="C46" s="25">
        <v>1</v>
      </c>
      <c r="D46" s="25">
        <v>0</v>
      </c>
      <c r="E46" s="25">
        <v>0</v>
      </c>
      <c r="F46" s="25">
        <v>0</v>
      </c>
      <c r="G46" s="25">
        <v>0</v>
      </c>
      <c r="H46" s="25">
        <v>0</v>
      </c>
      <c r="I46" s="25">
        <v>0</v>
      </c>
      <c r="J46" s="25">
        <v>0</v>
      </c>
      <c r="K46" s="25">
        <v>0</v>
      </c>
      <c r="L46" s="3">
        <f t="shared" si="0"/>
        <v>0.2</v>
      </c>
      <c r="M46" s="26" t="str">
        <f t="shared" si="1"/>
        <v>sukar</v>
      </c>
      <c r="N46" s="3">
        <f t="shared" si="2"/>
        <v>0.5</v>
      </c>
      <c r="O46" s="26" t="str">
        <f t="shared" si="3"/>
        <v>soal diterima baik</v>
      </c>
      <c r="P46" s="33"/>
      <c r="Q46" s="26">
        <v>41</v>
      </c>
      <c r="R46" s="25">
        <f t="shared" ref="R46:AA71" si="9">B45</f>
        <v>1</v>
      </c>
      <c r="S46" s="25">
        <f t="shared" si="9"/>
        <v>1</v>
      </c>
      <c r="T46" s="25">
        <f t="shared" si="9"/>
        <v>0</v>
      </c>
      <c r="U46" s="25">
        <f t="shared" si="9"/>
        <v>0</v>
      </c>
      <c r="V46" s="25">
        <f t="shared" si="9"/>
        <v>0</v>
      </c>
      <c r="W46" s="25">
        <f t="shared" si="9"/>
        <v>1</v>
      </c>
      <c r="X46" s="25">
        <f t="shared" si="9"/>
        <v>0</v>
      </c>
      <c r="Y46" s="25">
        <f t="shared" si="9"/>
        <v>0</v>
      </c>
      <c r="Z46" s="25">
        <f t="shared" si="9"/>
        <v>0</v>
      </c>
      <c r="AA46" s="25">
        <f t="shared" si="9"/>
        <v>1</v>
      </c>
      <c r="AB46" s="3">
        <f t="shared" si="6"/>
        <v>0.4</v>
      </c>
      <c r="AC46" s="3">
        <f t="shared" si="7"/>
        <v>0.6</v>
      </c>
      <c r="AD46" s="3">
        <f t="shared" si="8"/>
        <v>0.24</v>
      </c>
      <c r="AE46" s="33"/>
    </row>
    <row r="47" spans="1:31" ht="42" x14ac:dyDescent="0.3">
      <c r="A47" s="60" t="s">
        <v>162</v>
      </c>
      <c r="B47" s="25">
        <v>1</v>
      </c>
      <c r="C47" s="25">
        <v>1</v>
      </c>
      <c r="D47" s="25">
        <v>1</v>
      </c>
      <c r="E47" s="25">
        <v>1</v>
      </c>
      <c r="F47" s="25">
        <v>0</v>
      </c>
      <c r="G47" s="25">
        <v>1</v>
      </c>
      <c r="H47" s="25">
        <v>0</v>
      </c>
      <c r="I47" s="25">
        <v>0</v>
      </c>
      <c r="J47" s="25">
        <v>0</v>
      </c>
      <c r="K47" s="25">
        <v>1</v>
      </c>
      <c r="L47" s="3">
        <f t="shared" si="0"/>
        <v>0.6</v>
      </c>
      <c r="M47" s="26" t="str">
        <f t="shared" si="1"/>
        <v>sedang</v>
      </c>
      <c r="N47" s="3">
        <f t="shared" si="2"/>
        <v>1</v>
      </c>
      <c r="O47" s="26" t="str">
        <f t="shared" si="3"/>
        <v>soal diterima baik</v>
      </c>
      <c r="P47" s="33"/>
      <c r="Q47" s="26">
        <v>42</v>
      </c>
      <c r="R47" s="25">
        <f t="shared" si="9"/>
        <v>1</v>
      </c>
      <c r="S47" s="25">
        <f t="shared" si="9"/>
        <v>1</v>
      </c>
      <c r="T47" s="25">
        <f t="shared" si="9"/>
        <v>0</v>
      </c>
      <c r="U47" s="25">
        <f t="shared" si="9"/>
        <v>0</v>
      </c>
      <c r="V47" s="25">
        <f t="shared" si="9"/>
        <v>0</v>
      </c>
      <c r="W47" s="25">
        <f t="shared" si="9"/>
        <v>0</v>
      </c>
      <c r="X47" s="25">
        <f t="shared" si="9"/>
        <v>0</v>
      </c>
      <c r="Y47" s="25">
        <f t="shared" si="9"/>
        <v>0</v>
      </c>
      <c r="Z47" s="25">
        <f t="shared" si="9"/>
        <v>0</v>
      </c>
      <c r="AA47" s="25">
        <f t="shared" si="9"/>
        <v>0</v>
      </c>
      <c r="AB47" s="3">
        <f t="shared" si="6"/>
        <v>0.2</v>
      </c>
      <c r="AC47" s="3">
        <f t="shared" si="7"/>
        <v>0.8</v>
      </c>
      <c r="AD47" s="3">
        <f t="shared" si="8"/>
        <v>0.16000000000000003</v>
      </c>
      <c r="AE47" s="33"/>
    </row>
    <row r="48" spans="1:31" ht="28" x14ac:dyDescent="0.3">
      <c r="A48" s="60" t="s">
        <v>163</v>
      </c>
      <c r="B48" s="25">
        <v>0</v>
      </c>
      <c r="C48" s="25">
        <v>0</v>
      </c>
      <c r="D48" s="25">
        <v>1</v>
      </c>
      <c r="E48" s="25">
        <v>1</v>
      </c>
      <c r="F48" s="25">
        <v>0</v>
      </c>
      <c r="G48" s="25">
        <v>1</v>
      </c>
      <c r="H48" s="25">
        <v>0</v>
      </c>
      <c r="I48" s="25">
        <v>0</v>
      </c>
      <c r="J48" s="25">
        <v>0</v>
      </c>
      <c r="K48" s="25">
        <v>1</v>
      </c>
      <c r="L48" s="3">
        <f t="shared" si="0"/>
        <v>0.4</v>
      </c>
      <c r="M48" s="26" t="str">
        <f t="shared" si="1"/>
        <v>sedang</v>
      </c>
      <c r="N48" s="3">
        <f t="shared" si="2"/>
        <v>0.5</v>
      </c>
      <c r="O48" s="26" t="str">
        <f t="shared" si="3"/>
        <v>soal diterima baik</v>
      </c>
      <c r="P48" s="33"/>
      <c r="Q48" s="26">
        <v>43</v>
      </c>
      <c r="R48" s="25">
        <f t="shared" si="9"/>
        <v>1</v>
      </c>
      <c r="S48" s="25">
        <f t="shared" si="9"/>
        <v>1</v>
      </c>
      <c r="T48" s="25">
        <f t="shared" si="9"/>
        <v>1</v>
      </c>
      <c r="U48" s="25">
        <f t="shared" si="9"/>
        <v>1</v>
      </c>
      <c r="V48" s="25">
        <f t="shared" si="9"/>
        <v>0</v>
      </c>
      <c r="W48" s="25">
        <f t="shared" si="9"/>
        <v>1</v>
      </c>
      <c r="X48" s="25">
        <f t="shared" si="9"/>
        <v>0</v>
      </c>
      <c r="Y48" s="25">
        <f t="shared" si="9"/>
        <v>0</v>
      </c>
      <c r="Z48" s="25">
        <f t="shared" si="9"/>
        <v>0</v>
      </c>
      <c r="AA48" s="25">
        <f t="shared" si="9"/>
        <v>1</v>
      </c>
      <c r="AB48" s="3">
        <f t="shared" si="6"/>
        <v>0.6</v>
      </c>
      <c r="AC48" s="3">
        <f t="shared" si="7"/>
        <v>0.4</v>
      </c>
      <c r="AD48" s="3">
        <f t="shared" si="8"/>
        <v>0.24</v>
      </c>
      <c r="AE48" s="33"/>
    </row>
    <row r="49" spans="1:31" ht="56" x14ac:dyDescent="0.3">
      <c r="A49" s="61" t="s">
        <v>164</v>
      </c>
      <c r="B49" s="25">
        <v>1</v>
      </c>
      <c r="C49" s="25">
        <v>1</v>
      </c>
      <c r="D49" s="25">
        <v>1</v>
      </c>
      <c r="E49" s="25">
        <v>1</v>
      </c>
      <c r="F49" s="25">
        <v>0</v>
      </c>
      <c r="G49" s="25">
        <v>1</v>
      </c>
      <c r="H49" s="25">
        <v>0</v>
      </c>
      <c r="I49" s="25">
        <v>1</v>
      </c>
      <c r="J49" s="25">
        <v>1</v>
      </c>
      <c r="K49" s="25">
        <v>1</v>
      </c>
      <c r="L49" s="3">
        <f t="shared" si="0"/>
        <v>0.8</v>
      </c>
      <c r="M49" s="26" t="str">
        <f t="shared" si="1"/>
        <v>mudah</v>
      </c>
      <c r="N49" s="3">
        <f t="shared" si="2"/>
        <v>0.5</v>
      </c>
      <c r="O49" s="26" t="str">
        <f t="shared" si="3"/>
        <v>soal diterima baik</v>
      </c>
      <c r="P49" s="33"/>
      <c r="Q49" s="26">
        <v>44</v>
      </c>
      <c r="R49" s="25">
        <f t="shared" si="9"/>
        <v>0</v>
      </c>
      <c r="S49" s="25">
        <f t="shared" si="9"/>
        <v>0</v>
      </c>
      <c r="T49" s="25">
        <f t="shared" si="9"/>
        <v>1</v>
      </c>
      <c r="U49" s="25">
        <f t="shared" si="9"/>
        <v>1</v>
      </c>
      <c r="V49" s="25">
        <f t="shared" si="9"/>
        <v>0</v>
      </c>
      <c r="W49" s="25">
        <f t="shared" si="9"/>
        <v>1</v>
      </c>
      <c r="X49" s="25">
        <f t="shared" si="9"/>
        <v>0</v>
      </c>
      <c r="Y49" s="25">
        <f t="shared" si="9"/>
        <v>0</v>
      </c>
      <c r="Z49" s="25">
        <f t="shared" si="9"/>
        <v>0</v>
      </c>
      <c r="AA49" s="25">
        <f t="shared" si="9"/>
        <v>1</v>
      </c>
      <c r="AB49" s="3">
        <f t="shared" si="6"/>
        <v>0.4</v>
      </c>
      <c r="AC49" s="3">
        <f t="shared" si="7"/>
        <v>0.6</v>
      </c>
      <c r="AD49" s="3">
        <f t="shared" si="8"/>
        <v>0.24</v>
      </c>
      <c r="AE49" s="33"/>
    </row>
    <row r="50" spans="1:31" ht="42" x14ac:dyDescent="0.3">
      <c r="A50" s="61" t="s">
        <v>165</v>
      </c>
      <c r="B50" s="25">
        <v>1</v>
      </c>
      <c r="C50" s="25">
        <v>1</v>
      </c>
      <c r="D50" s="25">
        <v>1</v>
      </c>
      <c r="E50" s="25">
        <v>1</v>
      </c>
      <c r="F50" s="25">
        <v>0</v>
      </c>
      <c r="G50" s="25">
        <v>1</v>
      </c>
      <c r="H50" s="25">
        <v>0</v>
      </c>
      <c r="I50" s="25">
        <v>0</v>
      </c>
      <c r="J50" s="25">
        <v>0</v>
      </c>
      <c r="K50" s="25">
        <v>1</v>
      </c>
      <c r="L50" s="3">
        <f t="shared" si="0"/>
        <v>0.6</v>
      </c>
      <c r="M50" s="26" t="str">
        <f t="shared" si="1"/>
        <v>sedang</v>
      </c>
      <c r="N50" s="3">
        <f t="shared" si="2"/>
        <v>1</v>
      </c>
      <c r="O50" s="26" t="str">
        <f t="shared" si="3"/>
        <v>soal diterima baik</v>
      </c>
      <c r="P50" s="33"/>
      <c r="Q50" s="26">
        <v>45</v>
      </c>
      <c r="R50" s="25">
        <f t="shared" si="9"/>
        <v>1</v>
      </c>
      <c r="S50" s="25">
        <f t="shared" si="9"/>
        <v>1</v>
      </c>
      <c r="T50" s="25">
        <f t="shared" si="9"/>
        <v>1</v>
      </c>
      <c r="U50" s="25">
        <f t="shared" si="9"/>
        <v>1</v>
      </c>
      <c r="V50" s="25">
        <f t="shared" si="9"/>
        <v>0</v>
      </c>
      <c r="W50" s="25">
        <f t="shared" si="9"/>
        <v>1</v>
      </c>
      <c r="X50" s="25">
        <f t="shared" si="9"/>
        <v>0</v>
      </c>
      <c r="Y50" s="25">
        <f t="shared" si="9"/>
        <v>1</v>
      </c>
      <c r="Z50" s="25">
        <f t="shared" si="9"/>
        <v>1</v>
      </c>
      <c r="AA50" s="25">
        <f t="shared" si="9"/>
        <v>1</v>
      </c>
      <c r="AB50" s="3">
        <f t="shared" si="6"/>
        <v>0.8</v>
      </c>
      <c r="AC50" s="3">
        <f t="shared" si="7"/>
        <v>0.19999999999999996</v>
      </c>
      <c r="AD50" s="3">
        <f t="shared" si="8"/>
        <v>0.15999999999999998</v>
      </c>
      <c r="AE50" s="33"/>
    </row>
    <row r="51" spans="1:31" ht="70" x14ac:dyDescent="0.3">
      <c r="A51" s="61" t="s">
        <v>166</v>
      </c>
      <c r="B51" s="25">
        <v>1</v>
      </c>
      <c r="C51" s="25">
        <v>1</v>
      </c>
      <c r="D51" s="25">
        <v>1</v>
      </c>
      <c r="E51" s="25">
        <v>1</v>
      </c>
      <c r="F51" s="25">
        <v>0</v>
      </c>
      <c r="G51" s="25">
        <v>0</v>
      </c>
      <c r="H51" s="25">
        <v>0</v>
      </c>
      <c r="I51" s="25">
        <v>1</v>
      </c>
      <c r="J51" s="25">
        <v>1</v>
      </c>
      <c r="K51" s="25">
        <v>0</v>
      </c>
      <c r="L51" s="3">
        <f t="shared" si="0"/>
        <v>0.6</v>
      </c>
      <c r="M51" s="26" t="str">
        <f t="shared" si="1"/>
        <v>sedang</v>
      </c>
      <c r="N51" s="3">
        <f t="shared" si="2"/>
        <v>0.5</v>
      </c>
      <c r="O51" s="26" t="str">
        <f t="shared" si="3"/>
        <v>soal diterima baik</v>
      </c>
      <c r="P51" s="33"/>
      <c r="Q51" s="26">
        <v>46</v>
      </c>
      <c r="R51" s="25">
        <f t="shared" si="9"/>
        <v>1</v>
      </c>
      <c r="S51" s="25">
        <f t="shared" si="9"/>
        <v>1</v>
      </c>
      <c r="T51" s="25">
        <f t="shared" si="9"/>
        <v>1</v>
      </c>
      <c r="U51" s="25">
        <f t="shared" si="9"/>
        <v>1</v>
      </c>
      <c r="V51" s="25">
        <f t="shared" si="9"/>
        <v>0</v>
      </c>
      <c r="W51" s="25">
        <f t="shared" si="9"/>
        <v>1</v>
      </c>
      <c r="X51" s="25">
        <f t="shared" si="9"/>
        <v>0</v>
      </c>
      <c r="Y51" s="25">
        <f t="shared" si="9"/>
        <v>0</v>
      </c>
      <c r="Z51" s="25">
        <f t="shared" si="9"/>
        <v>0</v>
      </c>
      <c r="AA51" s="25">
        <f t="shared" si="9"/>
        <v>1</v>
      </c>
      <c r="AB51" s="3">
        <f t="shared" si="6"/>
        <v>0.6</v>
      </c>
      <c r="AC51" s="3">
        <f t="shared" si="7"/>
        <v>0.4</v>
      </c>
      <c r="AD51" s="3">
        <f t="shared" si="8"/>
        <v>0.24</v>
      </c>
      <c r="AE51" s="33"/>
    </row>
    <row r="52" spans="1:31" ht="70" x14ac:dyDescent="0.3">
      <c r="A52" s="59" t="s">
        <v>167</v>
      </c>
      <c r="B52" s="25">
        <v>1</v>
      </c>
      <c r="C52" s="25">
        <v>1</v>
      </c>
      <c r="D52" s="25">
        <v>1</v>
      </c>
      <c r="E52" s="25">
        <v>1</v>
      </c>
      <c r="F52" s="25">
        <v>0</v>
      </c>
      <c r="G52" s="25">
        <v>0</v>
      </c>
      <c r="H52" s="25">
        <v>0</v>
      </c>
      <c r="I52" s="25">
        <v>0</v>
      </c>
      <c r="J52" s="25">
        <v>0</v>
      </c>
      <c r="K52" s="25">
        <v>0</v>
      </c>
      <c r="L52" s="3">
        <f t="shared" si="0"/>
        <v>0.4</v>
      </c>
      <c r="M52" s="26" t="str">
        <f t="shared" si="1"/>
        <v>sedang</v>
      </c>
      <c r="N52" s="3">
        <f t="shared" si="2"/>
        <v>1</v>
      </c>
      <c r="O52" s="26" t="str">
        <f t="shared" si="3"/>
        <v>soal diterima baik</v>
      </c>
      <c r="P52" s="33"/>
      <c r="Q52" s="26">
        <v>47</v>
      </c>
      <c r="R52" s="25">
        <f t="shared" si="9"/>
        <v>1</v>
      </c>
      <c r="S52" s="25">
        <f t="shared" si="9"/>
        <v>1</v>
      </c>
      <c r="T52" s="25">
        <f t="shared" si="9"/>
        <v>1</v>
      </c>
      <c r="U52" s="25">
        <f t="shared" si="9"/>
        <v>1</v>
      </c>
      <c r="V52" s="25">
        <f t="shared" si="9"/>
        <v>0</v>
      </c>
      <c r="W52" s="25">
        <f t="shared" si="9"/>
        <v>0</v>
      </c>
      <c r="X52" s="25">
        <f t="shared" si="9"/>
        <v>0</v>
      </c>
      <c r="Y52" s="25">
        <f t="shared" si="9"/>
        <v>1</v>
      </c>
      <c r="Z52" s="25">
        <f t="shared" si="9"/>
        <v>1</v>
      </c>
      <c r="AA52" s="25">
        <f t="shared" si="9"/>
        <v>0</v>
      </c>
      <c r="AB52" s="3">
        <f t="shared" si="6"/>
        <v>0.6</v>
      </c>
      <c r="AC52" s="3">
        <f t="shared" si="7"/>
        <v>0.4</v>
      </c>
      <c r="AD52" s="3">
        <f t="shared" si="8"/>
        <v>0.24</v>
      </c>
      <c r="AE52" s="33"/>
    </row>
    <row r="53" spans="1:31" ht="28" x14ac:dyDescent="0.3">
      <c r="A53" s="61" t="s">
        <v>168</v>
      </c>
      <c r="B53" s="25">
        <v>0</v>
      </c>
      <c r="C53" s="25">
        <v>0</v>
      </c>
      <c r="D53" s="25">
        <v>1</v>
      </c>
      <c r="E53" s="25">
        <v>1</v>
      </c>
      <c r="F53" s="25">
        <v>1</v>
      </c>
      <c r="G53" s="25">
        <v>0</v>
      </c>
      <c r="H53" s="25">
        <v>1</v>
      </c>
      <c r="I53" s="25">
        <v>1</v>
      </c>
      <c r="J53" s="25">
        <v>1</v>
      </c>
      <c r="K53" s="25">
        <v>0</v>
      </c>
      <c r="L53" s="3">
        <f t="shared" si="0"/>
        <v>0.6</v>
      </c>
      <c r="M53" s="26" t="str">
        <f t="shared" si="1"/>
        <v>sedang</v>
      </c>
      <c r="N53" s="3">
        <f t="shared" si="2"/>
        <v>0.5</v>
      </c>
      <c r="O53" s="26" t="str">
        <f t="shared" si="3"/>
        <v>soal diterima baik</v>
      </c>
      <c r="P53" s="33"/>
      <c r="Q53" s="26">
        <v>48</v>
      </c>
      <c r="R53" s="25">
        <f t="shared" si="9"/>
        <v>1</v>
      </c>
      <c r="S53" s="25">
        <f t="shared" si="9"/>
        <v>1</v>
      </c>
      <c r="T53" s="25">
        <f t="shared" si="9"/>
        <v>1</v>
      </c>
      <c r="U53" s="25">
        <f t="shared" si="9"/>
        <v>1</v>
      </c>
      <c r="V53" s="25">
        <f t="shared" si="9"/>
        <v>0</v>
      </c>
      <c r="W53" s="25">
        <f t="shared" si="9"/>
        <v>0</v>
      </c>
      <c r="X53" s="25">
        <f t="shared" si="9"/>
        <v>0</v>
      </c>
      <c r="Y53" s="25">
        <f t="shared" si="9"/>
        <v>0</v>
      </c>
      <c r="Z53" s="25">
        <f t="shared" si="9"/>
        <v>0</v>
      </c>
      <c r="AA53" s="25">
        <f t="shared" si="9"/>
        <v>0</v>
      </c>
      <c r="AB53" s="3">
        <f t="shared" si="6"/>
        <v>0.4</v>
      </c>
      <c r="AC53" s="3">
        <f t="shared" si="7"/>
        <v>0.6</v>
      </c>
      <c r="AD53" s="3">
        <f t="shared" si="8"/>
        <v>0.24</v>
      </c>
      <c r="AE53" s="33"/>
    </row>
    <row r="54" spans="1:31" ht="56" x14ac:dyDescent="0.3">
      <c r="A54" s="61" t="s">
        <v>169</v>
      </c>
      <c r="B54" s="25">
        <v>0</v>
      </c>
      <c r="C54" s="25">
        <v>0</v>
      </c>
      <c r="D54" s="25">
        <v>1</v>
      </c>
      <c r="E54" s="25">
        <v>1</v>
      </c>
      <c r="F54" s="25">
        <v>0</v>
      </c>
      <c r="G54" s="25">
        <v>1</v>
      </c>
      <c r="H54" s="25">
        <v>0</v>
      </c>
      <c r="I54" s="25">
        <v>0</v>
      </c>
      <c r="J54" s="25">
        <v>0</v>
      </c>
      <c r="K54" s="25">
        <v>1</v>
      </c>
      <c r="L54" s="3">
        <f t="shared" si="0"/>
        <v>0.4</v>
      </c>
      <c r="M54" s="26" t="str">
        <f t="shared" si="1"/>
        <v>sedang</v>
      </c>
      <c r="N54" s="3">
        <f t="shared" si="2"/>
        <v>0.5</v>
      </c>
      <c r="O54" s="26" t="str">
        <f t="shared" si="3"/>
        <v>soal diterima baik</v>
      </c>
      <c r="P54" s="33"/>
      <c r="Q54" s="26">
        <v>49</v>
      </c>
      <c r="R54" s="25">
        <f t="shared" si="9"/>
        <v>0</v>
      </c>
      <c r="S54" s="25">
        <f t="shared" si="9"/>
        <v>0</v>
      </c>
      <c r="T54" s="25">
        <f t="shared" si="9"/>
        <v>1</v>
      </c>
      <c r="U54" s="25">
        <f t="shared" si="9"/>
        <v>1</v>
      </c>
      <c r="V54" s="25">
        <f t="shared" si="9"/>
        <v>1</v>
      </c>
      <c r="W54" s="25">
        <f t="shared" si="9"/>
        <v>0</v>
      </c>
      <c r="X54" s="25">
        <f t="shared" si="9"/>
        <v>1</v>
      </c>
      <c r="Y54" s="25">
        <f t="shared" si="9"/>
        <v>1</v>
      </c>
      <c r="Z54" s="25">
        <f t="shared" si="9"/>
        <v>1</v>
      </c>
      <c r="AA54" s="25">
        <f t="shared" si="9"/>
        <v>0</v>
      </c>
      <c r="AB54" s="3">
        <f t="shared" si="6"/>
        <v>0.6</v>
      </c>
      <c r="AC54" s="3">
        <f t="shared" si="7"/>
        <v>0.4</v>
      </c>
      <c r="AD54" s="3">
        <f t="shared" si="8"/>
        <v>0.24</v>
      </c>
      <c r="AE54" s="33"/>
    </row>
    <row r="55" spans="1:31" ht="28" x14ac:dyDescent="0.3">
      <c r="A55" s="59" t="s">
        <v>170</v>
      </c>
      <c r="B55" s="25">
        <v>1</v>
      </c>
      <c r="C55" s="25">
        <v>1</v>
      </c>
      <c r="D55" s="25">
        <v>1</v>
      </c>
      <c r="E55" s="25">
        <v>1</v>
      </c>
      <c r="F55" s="25">
        <v>0</v>
      </c>
      <c r="G55" s="25">
        <v>1</v>
      </c>
      <c r="H55" s="25">
        <v>0</v>
      </c>
      <c r="I55" s="25">
        <v>0</v>
      </c>
      <c r="J55" s="25">
        <v>0</v>
      </c>
      <c r="K55" s="25">
        <v>1</v>
      </c>
      <c r="L55" s="3">
        <f t="shared" si="0"/>
        <v>0.6</v>
      </c>
      <c r="M55" s="26" t="str">
        <f t="shared" si="1"/>
        <v>sedang</v>
      </c>
      <c r="N55" s="3">
        <f t="shared" si="2"/>
        <v>1</v>
      </c>
      <c r="O55" s="26" t="str">
        <f t="shared" si="3"/>
        <v>soal diterima baik</v>
      </c>
      <c r="P55" s="33"/>
      <c r="Q55" s="26">
        <v>50</v>
      </c>
      <c r="R55" s="25">
        <f t="shared" si="9"/>
        <v>0</v>
      </c>
      <c r="S55" s="25">
        <f t="shared" si="9"/>
        <v>0</v>
      </c>
      <c r="T55" s="25">
        <f t="shared" si="9"/>
        <v>1</v>
      </c>
      <c r="U55" s="25">
        <f t="shared" si="9"/>
        <v>1</v>
      </c>
      <c r="V55" s="25">
        <f t="shared" si="9"/>
        <v>0</v>
      </c>
      <c r="W55" s="25">
        <f t="shared" si="9"/>
        <v>1</v>
      </c>
      <c r="X55" s="25">
        <f t="shared" si="9"/>
        <v>0</v>
      </c>
      <c r="Y55" s="25">
        <f t="shared" si="9"/>
        <v>0</v>
      </c>
      <c r="Z55" s="25">
        <f t="shared" si="9"/>
        <v>0</v>
      </c>
      <c r="AA55" s="25">
        <f t="shared" si="9"/>
        <v>1</v>
      </c>
      <c r="AB55" s="3">
        <f t="shared" si="6"/>
        <v>0.4</v>
      </c>
      <c r="AC55" s="3">
        <f t="shared" si="7"/>
        <v>0.6</v>
      </c>
      <c r="AD55" s="3">
        <f t="shared" si="8"/>
        <v>0.24</v>
      </c>
      <c r="AE55" s="33"/>
    </row>
    <row r="56" spans="1:31" ht="56" x14ac:dyDescent="0.3">
      <c r="A56" s="59" t="s">
        <v>171</v>
      </c>
      <c r="B56" s="25">
        <v>1</v>
      </c>
      <c r="C56" s="25">
        <v>1</v>
      </c>
      <c r="D56" s="25">
        <v>0</v>
      </c>
      <c r="E56" s="25">
        <v>0</v>
      </c>
      <c r="F56" s="25">
        <v>0</v>
      </c>
      <c r="G56" s="25">
        <v>1</v>
      </c>
      <c r="H56" s="25">
        <v>0</v>
      </c>
      <c r="I56" s="25">
        <v>0</v>
      </c>
      <c r="J56" s="25">
        <v>0</v>
      </c>
      <c r="K56" s="25">
        <v>1</v>
      </c>
      <c r="L56" s="3">
        <f t="shared" si="0"/>
        <v>0.4</v>
      </c>
      <c r="M56" s="26" t="str">
        <f t="shared" si="1"/>
        <v>sedang</v>
      </c>
      <c r="N56" s="3">
        <f t="shared" si="2"/>
        <v>0.5</v>
      </c>
      <c r="O56" s="26" t="str">
        <f t="shared" si="3"/>
        <v>soal diterima baik</v>
      </c>
      <c r="P56" s="33"/>
      <c r="Q56" s="26">
        <v>51</v>
      </c>
      <c r="R56" s="25">
        <f t="shared" si="9"/>
        <v>1</v>
      </c>
      <c r="S56" s="25">
        <f t="shared" si="9"/>
        <v>1</v>
      </c>
      <c r="T56" s="25">
        <f t="shared" si="9"/>
        <v>1</v>
      </c>
      <c r="U56" s="25">
        <f t="shared" si="9"/>
        <v>1</v>
      </c>
      <c r="V56" s="25">
        <f t="shared" si="9"/>
        <v>0</v>
      </c>
      <c r="W56" s="25">
        <f t="shared" si="9"/>
        <v>1</v>
      </c>
      <c r="X56" s="25">
        <f t="shared" si="9"/>
        <v>0</v>
      </c>
      <c r="Y56" s="25">
        <f t="shared" si="9"/>
        <v>0</v>
      </c>
      <c r="Z56" s="25">
        <f t="shared" si="9"/>
        <v>0</v>
      </c>
      <c r="AA56" s="25">
        <f t="shared" si="9"/>
        <v>1</v>
      </c>
      <c r="AB56" s="3">
        <f t="shared" si="6"/>
        <v>0.6</v>
      </c>
      <c r="AC56" s="3">
        <f t="shared" si="7"/>
        <v>0.4</v>
      </c>
      <c r="AD56" s="3">
        <f t="shared" si="8"/>
        <v>0.24</v>
      </c>
      <c r="AE56" s="33"/>
    </row>
    <row r="57" spans="1:31" ht="42" x14ac:dyDescent="0.3">
      <c r="A57" s="59" t="s">
        <v>172</v>
      </c>
      <c r="B57" s="25">
        <v>1</v>
      </c>
      <c r="C57" s="25">
        <v>1</v>
      </c>
      <c r="D57" s="25">
        <v>0</v>
      </c>
      <c r="E57" s="25">
        <v>0</v>
      </c>
      <c r="F57" s="25">
        <v>0</v>
      </c>
      <c r="G57" s="25">
        <v>1</v>
      </c>
      <c r="H57" s="25">
        <v>0</v>
      </c>
      <c r="I57" s="25">
        <v>0</v>
      </c>
      <c r="J57" s="25">
        <v>0</v>
      </c>
      <c r="K57" s="25">
        <v>1</v>
      </c>
      <c r="L57" s="3">
        <f t="shared" si="0"/>
        <v>0.4</v>
      </c>
      <c r="M57" s="26" t="str">
        <f t="shared" si="1"/>
        <v>sedang</v>
      </c>
      <c r="N57" s="3">
        <f t="shared" si="2"/>
        <v>0.5</v>
      </c>
      <c r="O57" s="26" t="str">
        <f t="shared" si="3"/>
        <v>soal diterima baik</v>
      </c>
      <c r="P57" s="33"/>
      <c r="Q57" s="26">
        <v>52</v>
      </c>
      <c r="R57" s="25">
        <f t="shared" si="9"/>
        <v>1</v>
      </c>
      <c r="S57" s="25">
        <f t="shared" si="9"/>
        <v>1</v>
      </c>
      <c r="T57" s="25">
        <f t="shared" si="9"/>
        <v>0</v>
      </c>
      <c r="U57" s="25">
        <f t="shared" si="9"/>
        <v>0</v>
      </c>
      <c r="V57" s="25">
        <f t="shared" si="9"/>
        <v>0</v>
      </c>
      <c r="W57" s="25">
        <f t="shared" si="9"/>
        <v>1</v>
      </c>
      <c r="X57" s="25">
        <f t="shared" si="9"/>
        <v>0</v>
      </c>
      <c r="Y57" s="25">
        <f t="shared" si="9"/>
        <v>0</v>
      </c>
      <c r="Z57" s="25">
        <f t="shared" si="9"/>
        <v>0</v>
      </c>
      <c r="AA57" s="25">
        <f t="shared" si="9"/>
        <v>1</v>
      </c>
      <c r="AB57" s="3">
        <f t="shared" si="6"/>
        <v>0.4</v>
      </c>
      <c r="AC57" s="3">
        <f t="shared" si="7"/>
        <v>0.6</v>
      </c>
      <c r="AD57" s="3">
        <f t="shared" si="8"/>
        <v>0.24</v>
      </c>
      <c r="AE57" s="33"/>
    </row>
    <row r="58" spans="1:31" ht="56" x14ac:dyDescent="0.3">
      <c r="A58" s="61" t="s">
        <v>173</v>
      </c>
      <c r="B58" s="25">
        <v>1</v>
      </c>
      <c r="C58" s="25">
        <v>1</v>
      </c>
      <c r="D58" s="25">
        <v>1</v>
      </c>
      <c r="E58" s="25">
        <v>1</v>
      </c>
      <c r="F58" s="25">
        <v>0</v>
      </c>
      <c r="G58" s="25">
        <v>1</v>
      </c>
      <c r="H58" s="25">
        <v>0</v>
      </c>
      <c r="I58" s="25">
        <v>1</v>
      </c>
      <c r="J58" s="25">
        <v>1</v>
      </c>
      <c r="K58" s="25">
        <v>1</v>
      </c>
      <c r="L58" s="3">
        <f t="shared" si="0"/>
        <v>0.8</v>
      </c>
      <c r="M58" s="26" t="str">
        <f t="shared" si="1"/>
        <v>mudah</v>
      </c>
      <c r="N58" s="3">
        <f t="shared" si="2"/>
        <v>0.5</v>
      </c>
      <c r="O58" s="26" t="str">
        <f t="shared" si="3"/>
        <v>soal diterima baik</v>
      </c>
      <c r="P58" s="33"/>
      <c r="Q58" s="26">
        <v>53</v>
      </c>
      <c r="R58" s="25">
        <f t="shared" si="9"/>
        <v>1</v>
      </c>
      <c r="S58" s="25">
        <f t="shared" si="9"/>
        <v>1</v>
      </c>
      <c r="T58" s="25">
        <f t="shared" si="9"/>
        <v>0</v>
      </c>
      <c r="U58" s="25">
        <f t="shared" si="9"/>
        <v>0</v>
      </c>
      <c r="V58" s="25">
        <f t="shared" si="9"/>
        <v>0</v>
      </c>
      <c r="W58" s="25">
        <f t="shared" si="9"/>
        <v>1</v>
      </c>
      <c r="X58" s="25">
        <f t="shared" si="9"/>
        <v>0</v>
      </c>
      <c r="Y58" s="25">
        <f t="shared" si="9"/>
        <v>0</v>
      </c>
      <c r="Z58" s="25">
        <f t="shared" si="9"/>
        <v>0</v>
      </c>
      <c r="AA58" s="25">
        <f t="shared" si="9"/>
        <v>1</v>
      </c>
      <c r="AB58" s="3">
        <f t="shared" si="6"/>
        <v>0.4</v>
      </c>
      <c r="AC58" s="3">
        <f t="shared" si="7"/>
        <v>0.6</v>
      </c>
      <c r="AD58" s="3">
        <f t="shared" si="8"/>
        <v>0.24</v>
      </c>
      <c r="AE58" s="33"/>
    </row>
    <row r="59" spans="1:31" ht="28" x14ac:dyDescent="0.3">
      <c r="A59" s="60" t="s">
        <v>174</v>
      </c>
      <c r="B59" s="25">
        <v>1</v>
      </c>
      <c r="C59" s="25">
        <v>1</v>
      </c>
      <c r="D59" s="25">
        <v>1</v>
      </c>
      <c r="E59" s="25">
        <v>1</v>
      </c>
      <c r="F59" s="25">
        <v>0</v>
      </c>
      <c r="G59" s="25">
        <v>0</v>
      </c>
      <c r="H59" s="25">
        <v>0</v>
      </c>
      <c r="I59" s="25">
        <v>0</v>
      </c>
      <c r="J59" s="25">
        <v>0</v>
      </c>
      <c r="K59" s="25">
        <v>0</v>
      </c>
      <c r="L59" s="3">
        <f t="shared" si="0"/>
        <v>0.4</v>
      </c>
      <c r="M59" s="26" t="str">
        <f t="shared" si="1"/>
        <v>sedang</v>
      </c>
      <c r="N59" s="3">
        <f t="shared" si="2"/>
        <v>1</v>
      </c>
      <c r="O59" s="26" t="str">
        <f t="shared" si="3"/>
        <v>soal diterima baik</v>
      </c>
      <c r="P59" s="33"/>
      <c r="Q59" s="26">
        <v>54</v>
      </c>
      <c r="R59" s="25">
        <f t="shared" si="9"/>
        <v>1</v>
      </c>
      <c r="S59" s="25">
        <f t="shared" si="9"/>
        <v>1</v>
      </c>
      <c r="T59" s="25">
        <f t="shared" si="9"/>
        <v>1</v>
      </c>
      <c r="U59" s="25">
        <f t="shared" si="9"/>
        <v>1</v>
      </c>
      <c r="V59" s="25">
        <f t="shared" si="9"/>
        <v>0</v>
      </c>
      <c r="W59" s="25">
        <f t="shared" si="9"/>
        <v>1</v>
      </c>
      <c r="X59" s="25">
        <f t="shared" si="9"/>
        <v>0</v>
      </c>
      <c r="Y59" s="25">
        <f t="shared" si="9"/>
        <v>1</v>
      </c>
      <c r="Z59" s="25">
        <f t="shared" si="9"/>
        <v>1</v>
      </c>
      <c r="AA59" s="25">
        <f t="shared" si="9"/>
        <v>1</v>
      </c>
      <c r="AB59" s="3">
        <f t="shared" si="6"/>
        <v>0.8</v>
      </c>
      <c r="AC59" s="3">
        <f t="shared" si="7"/>
        <v>0.19999999999999996</v>
      </c>
      <c r="AD59" s="3">
        <f t="shared" si="8"/>
        <v>0.15999999999999998</v>
      </c>
      <c r="AE59" s="33"/>
    </row>
    <row r="60" spans="1:31" ht="56" x14ac:dyDescent="0.3">
      <c r="A60" s="61" t="s">
        <v>175</v>
      </c>
      <c r="B60" s="25">
        <v>1</v>
      </c>
      <c r="C60" s="25">
        <v>1</v>
      </c>
      <c r="D60" s="25">
        <v>1</v>
      </c>
      <c r="E60" s="25">
        <v>1</v>
      </c>
      <c r="F60" s="25">
        <v>0</v>
      </c>
      <c r="G60" s="25">
        <v>1</v>
      </c>
      <c r="H60" s="25">
        <v>0</v>
      </c>
      <c r="I60" s="25">
        <v>0</v>
      </c>
      <c r="J60" s="25">
        <v>0</v>
      </c>
      <c r="K60" s="25">
        <v>1</v>
      </c>
      <c r="L60" s="3">
        <f t="shared" si="0"/>
        <v>0.6</v>
      </c>
      <c r="M60" s="26" t="str">
        <f t="shared" si="1"/>
        <v>sedang</v>
      </c>
      <c r="N60" s="3">
        <f t="shared" si="2"/>
        <v>1</v>
      </c>
      <c r="O60" s="26" t="str">
        <f t="shared" si="3"/>
        <v>soal diterima baik</v>
      </c>
      <c r="P60" s="33"/>
      <c r="Q60" s="26">
        <v>55</v>
      </c>
      <c r="R60" s="25">
        <f t="shared" si="9"/>
        <v>1</v>
      </c>
      <c r="S60" s="25">
        <f t="shared" si="9"/>
        <v>1</v>
      </c>
      <c r="T60" s="25">
        <f t="shared" si="9"/>
        <v>1</v>
      </c>
      <c r="U60" s="25">
        <f t="shared" si="9"/>
        <v>1</v>
      </c>
      <c r="V60" s="25">
        <f t="shared" si="9"/>
        <v>0</v>
      </c>
      <c r="W60" s="25">
        <f t="shared" si="9"/>
        <v>0</v>
      </c>
      <c r="X60" s="25">
        <f t="shared" si="9"/>
        <v>0</v>
      </c>
      <c r="Y60" s="25">
        <f t="shared" si="9"/>
        <v>0</v>
      </c>
      <c r="Z60" s="25">
        <f t="shared" si="9"/>
        <v>0</v>
      </c>
      <c r="AA60" s="25">
        <f t="shared" si="9"/>
        <v>0</v>
      </c>
      <c r="AB60" s="3">
        <f t="shared" si="6"/>
        <v>0.4</v>
      </c>
      <c r="AC60" s="3">
        <f t="shared" si="7"/>
        <v>0.6</v>
      </c>
      <c r="AD60" s="3">
        <f t="shared" si="8"/>
        <v>0.24</v>
      </c>
      <c r="AE60" s="33"/>
    </row>
    <row r="61" spans="1:31" ht="84" x14ac:dyDescent="0.3">
      <c r="A61" s="61" t="s">
        <v>176</v>
      </c>
      <c r="B61" s="25">
        <v>1</v>
      </c>
      <c r="C61" s="25">
        <v>1</v>
      </c>
      <c r="D61" s="25">
        <v>1</v>
      </c>
      <c r="E61" s="25">
        <v>1</v>
      </c>
      <c r="F61" s="25">
        <v>1</v>
      </c>
      <c r="G61" s="25">
        <v>0</v>
      </c>
      <c r="H61" s="25">
        <v>1</v>
      </c>
      <c r="I61" s="25">
        <v>0</v>
      </c>
      <c r="J61" s="25">
        <v>0</v>
      </c>
      <c r="K61" s="25">
        <v>0</v>
      </c>
      <c r="L61" s="3">
        <f t="shared" si="0"/>
        <v>0.6</v>
      </c>
      <c r="M61" s="26" t="str">
        <f t="shared" si="1"/>
        <v>sedang</v>
      </c>
      <c r="N61" s="3">
        <f t="shared" si="2"/>
        <v>0.5</v>
      </c>
      <c r="O61" s="26" t="str">
        <f t="shared" si="3"/>
        <v>soal diterima baik</v>
      </c>
      <c r="P61" s="33"/>
      <c r="Q61" s="26">
        <v>56</v>
      </c>
      <c r="R61" s="25">
        <f t="shared" si="9"/>
        <v>1</v>
      </c>
      <c r="S61" s="25">
        <f t="shared" si="9"/>
        <v>1</v>
      </c>
      <c r="T61" s="25">
        <f t="shared" si="9"/>
        <v>1</v>
      </c>
      <c r="U61" s="25">
        <f t="shared" si="9"/>
        <v>1</v>
      </c>
      <c r="V61" s="25">
        <f t="shared" si="9"/>
        <v>0</v>
      </c>
      <c r="W61" s="25">
        <f t="shared" si="9"/>
        <v>1</v>
      </c>
      <c r="X61" s="25">
        <f t="shared" si="9"/>
        <v>0</v>
      </c>
      <c r="Y61" s="25">
        <f t="shared" si="9"/>
        <v>0</v>
      </c>
      <c r="Z61" s="25">
        <f t="shared" si="9"/>
        <v>0</v>
      </c>
      <c r="AA61" s="25">
        <f t="shared" si="9"/>
        <v>1</v>
      </c>
      <c r="AB61" s="3">
        <f t="shared" si="6"/>
        <v>0.6</v>
      </c>
      <c r="AC61" s="3">
        <f t="shared" si="7"/>
        <v>0.4</v>
      </c>
      <c r="AD61" s="3">
        <f t="shared" si="8"/>
        <v>0.24</v>
      </c>
      <c r="AE61" s="33"/>
    </row>
    <row r="62" spans="1:31" ht="70" x14ac:dyDescent="0.3">
      <c r="A62" s="60" t="s">
        <v>177</v>
      </c>
      <c r="B62" s="25">
        <v>1</v>
      </c>
      <c r="C62" s="25">
        <v>1</v>
      </c>
      <c r="D62" s="25">
        <v>0</v>
      </c>
      <c r="E62" s="25">
        <v>0</v>
      </c>
      <c r="F62" s="25">
        <v>0</v>
      </c>
      <c r="G62" s="25">
        <v>0</v>
      </c>
      <c r="H62" s="25">
        <v>0</v>
      </c>
      <c r="I62" s="25">
        <v>0</v>
      </c>
      <c r="J62" s="25">
        <v>0</v>
      </c>
      <c r="K62" s="25">
        <v>0</v>
      </c>
      <c r="L62" s="3">
        <f t="shared" si="0"/>
        <v>0.2</v>
      </c>
      <c r="M62" s="26" t="str">
        <f t="shared" si="1"/>
        <v>sukar</v>
      </c>
      <c r="N62" s="3">
        <f t="shared" si="2"/>
        <v>0.5</v>
      </c>
      <c r="O62" s="26" t="str">
        <f t="shared" si="3"/>
        <v>soal diterima baik</v>
      </c>
      <c r="P62" s="33"/>
      <c r="Q62" s="26">
        <v>57</v>
      </c>
      <c r="R62" s="25">
        <f t="shared" si="9"/>
        <v>1</v>
      </c>
      <c r="S62" s="25">
        <f t="shared" si="9"/>
        <v>1</v>
      </c>
      <c r="T62" s="25">
        <f t="shared" si="9"/>
        <v>1</v>
      </c>
      <c r="U62" s="25">
        <f t="shared" si="9"/>
        <v>1</v>
      </c>
      <c r="V62" s="25">
        <f t="shared" si="9"/>
        <v>1</v>
      </c>
      <c r="W62" s="25">
        <f t="shared" si="9"/>
        <v>0</v>
      </c>
      <c r="X62" s="25">
        <f t="shared" si="9"/>
        <v>1</v>
      </c>
      <c r="Y62" s="25">
        <f t="shared" si="9"/>
        <v>0</v>
      </c>
      <c r="Z62" s="25">
        <f t="shared" si="9"/>
        <v>0</v>
      </c>
      <c r="AA62" s="25">
        <f t="shared" si="9"/>
        <v>0</v>
      </c>
      <c r="AB62" s="3">
        <f t="shared" si="6"/>
        <v>0.6</v>
      </c>
      <c r="AC62" s="3">
        <f t="shared" si="7"/>
        <v>0.4</v>
      </c>
      <c r="AD62" s="3">
        <f t="shared" si="8"/>
        <v>0.24</v>
      </c>
      <c r="AE62" s="33"/>
    </row>
    <row r="63" spans="1:31" ht="98" x14ac:dyDescent="0.3">
      <c r="A63" s="59" t="s">
        <v>178</v>
      </c>
      <c r="B63" s="25">
        <v>1</v>
      </c>
      <c r="C63" s="25">
        <v>1</v>
      </c>
      <c r="D63" s="25">
        <v>1</v>
      </c>
      <c r="E63" s="25">
        <v>1</v>
      </c>
      <c r="F63" s="25">
        <v>0</v>
      </c>
      <c r="G63" s="25">
        <v>0</v>
      </c>
      <c r="H63" s="25">
        <v>0</v>
      </c>
      <c r="I63" s="25">
        <v>0</v>
      </c>
      <c r="J63" s="25">
        <v>0</v>
      </c>
      <c r="K63" s="25">
        <v>0</v>
      </c>
      <c r="L63" s="3">
        <f t="shared" si="0"/>
        <v>0.4</v>
      </c>
      <c r="M63" s="26" t="str">
        <f t="shared" si="1"/>
        <v>sedang</v>
      </c>
      <c r="N63" s="3">
        <f t="shared" si="2"/>
        <v>1</v>
      </c>
      <c r="O63" s="26" t="str">
        <f t="shared" si="3"/>
        <v>soal diterima baik</v>
      </c>
      <c r="P63" s="33"/>
      <c r="Q63" s="26">
        <v>58</v>
      </c>
      <c r="R63" s="25">
        <f t="shared" si="9"/>
        <v>1</v>
      </c>
      <c r="S63" s="25">
        <f t="shared" si="9"/>
        <v>1</v>
      </c>
      <c r="T63" s="25">
        <f t="shared" si="9"/>
        <v>0</v>
      </c>
      <c r="U63" s="25">
        <f t="shared" si="9"/>
        <v>0</v>
      </c>
      <c r="V63" s="25">
        <f t="shared" si="9"/>
        <v>0</v>
      </c>
      <c r="W63" s="25">
        <f t="shared" si="9"/>
        <v>0</v>
      </c>
      <c r="X63" s="25">
        <f t="shared" si="9"/>
        <v>0</v>
      </c>
      <c r="Y63" s="25">
        <f t="shared" si="9"/>
        <v>0</v>
      </c>
      <c r="Z63" s="25">
        <f t="shared" si="9"/>
        <v>0</v>
      </c>
      <c r="AA63" s="25">
        <f t="shared" si="9"/>
        <v>0</v>
      </c>
      <c r="AB63" s="3">
        <f t="shared" si="6"/>
        <v>0.2</v>
      </c>
      <c r="AC63" s="3">
        <f t="shared" si="7"/>
        <v>0.8</v>
      </c>
      <c r="AD63" s="3">
        <f t="shared" si="8"/>
        <v>0.16000000000000003</v>
      </c>
      <c r="AE63" s="33"/>
    </row>
    <row r="64" spans="1:31" ht="84" x14ac:dyDescent="0.3">
      <c r="A64" s="60" t="s">
        <v>179</v>
      </c>
      <c r="B64" s="25">
        <v>1</v>
      </c>
      <c r="C64" s="25">
        <v>1</v>
      </c>
      <c r="D64" s="25">
        <v>1</v>
      </c>
      <c r="E64" s="25">
        <v>1</v>
      </c>
      <c r="F64" s="25">
        <v>0</v>
      </c>
      <c r="G64" s="25">
        <v>1</v>
      </c>
      <c r="H64" s="25">
        <v>0</v>
      </c>
      <c r="I64" s="25">
        <v>0</v>
      </c>
      <c r="J64" s="25">
        <v>0</v>
      </c>
      <c r="K64" s="25">
        <v>1</v>
      </c>
      <c r="L64" s="3">
        <f t="shared" si="0"/>
        <v>0.6</v>
      </c>
      <c r="M64" s="26" t="str">
        <f t="shared" si="1"/>
        <v>sedang</v>
      </c>
      <c r="N64" s="3">
        <f t="shared" si="2"/>
        <v>1</v>
      </c>
      <c r="O64" s="26" t="str">
        <f t="shared" si="3"/>
        <v>soal diterima baik</v>
      </c>
      <c r="P64" s="33"/>
      <c r="Q64" s="26">
        <v>59</v>
      </c>
      <c r="R64" s="25">
        <f t="shared" si="9"/>
        <v>1</v>
      </c>
      <c r="S64" s="25">
        <f t="shared" si="9"/>
        <v>1</v>
      </c>
      <c r="T64" s="25">
        <f t="shared" si="9"/>
        <v>1</v>
      </c>
      <c r="U64" s="25">
        <f t="shared" si="9"/>
        <v>1</v>
      </c>
      <c r="V64" s="25">
        <f t="shared" si="9"/>
        <v>0</v>
      </c>
      <c r="W64" s="25">
        <f t="shared" si="9"/>
        <v>0</v>
      </c>
      <c r="X64" s="25">
        <f t="shared" si="9"/>
        <v>0</v>
      </c>
      <c r="Y64" s="25">
        <f t="shared" si="9"/>
        <v>0</v>
      </c>
      <c r="Z64" s="25">
        <f t="shared" si="9"/>
        <v>0</v>
      </c>
      <c r="AA64" s="25">
        <f t="shared" si="9"/>
        <v>0</v>
      </c>
      <c r="AB64" s="3">
        <f t="shared" si="6"/>
        <v>0.4</v>
      </c>
      <c r="AC64" s="3">
        <f t="shared" si="7"/>
        <v>0.6</v>
      </c>
      <c r="AD64" s="3">
        <f t="shared" si="8"/>
        <v>0.24</v>
      </c>
      <c r="AE64" s="33"/>
    </row>
    <row r="65" spans="1:31" ht="42" x14ac:dyDescent="0.3">
      <c r="A65" s="60" t="s">
        <v>180</v>
      </c>
      <c r="B65" s="25">
        <v>1</v>
      </c>
      <c r="C65" s="25">
        <v>1</v>
      </c>
      <c r="D65" s="25">
        <v>1</v>
      </c>
      <c r="E65" s="25">
        <v>1</v>
      </c>
      <c r="F65" s="25">
        <v>1</v>
      </c>
      <c r="G65" s="25">
        <v>1</v>
      </c>
      <c r="H65" s="25">
        <v>1</v>
      </c>
      <c r="I65" s="25">
        <v>0</v>
      </c>
      <c r="J65" s="25">
        <v>0</v>
      </c>
      <c r="K65" s="25">
        <v>1</v>
      </c>
      <c r="L65" s="3">
        <f t="shared" si="0"/>
        <v>0.8</v>
      </c>
      <c r="M65" s="26" t="str">
        <f t="shared" si="1"/>
        <v>mudah</v>
      </c>
      <c r="N65" s="3">
        <f t="shared" si="2"/>
        <v>0.5</v>
      </c>
      <c r="O65" s="26" t="str">
        <f t="shared" si="3"/>
        <v>soal diterima baik</v>
      </c>
      <c r="P65" s="33"/>
      <c r="Q65" s="26">
        <v>60</v>
      </c>
      <c r="R65" s="25">
        <f t="shared" si="9"/>
        <v>1</v>
      </c>
      <c r="S65" s="25">
        <f t="shared" si="9"/>
        <v>1</v>
      </c>
      <c r="T65" s="25">
        <f t="shared" si="9"/>
        <v>1</v>
      </c>
      <c r="U65" s="25">
        <f t="shared" si="9"/>
        <v>1</v>
      </c>
      <c r="V65" s="25">
        <f t="shared" si="9"/>
        <v>0</v>
      </c>
      <c r="W65" s="25">
        <f t="shared" si="9"/>
        <v>1</v>
      </c>
      <c r="X65" s="25">
        <f t="shared" si="9"/>
        <v>0</v>
      </c>
      <c r="Y65" s="25">
        <f t="shared" si="9"/>
        <v>0</v>
      </c>
      <c r="Z65" s="25">
        <f t="shared" si="9"/>
        <v>0</v>
      </c>
      <c r="AA65" s="25">
        <f t="shared" si="9"/>
        <v>1</v>
      </c>
      <c r="AB65" s="3">
        <f t="shared" si="6"/>
        <v>0.6</v>
      </c>
      <c r="AC65" s="3">
        <f t="shared" si="7"/>
        <v>0.4</v>
      </c>
      <c r="AD65" s="3">
        <f t="shared" si="8"/>
        <v>0.24</v>
      </c>
      <c r="AE65" s="33"/>
    </row>
    <row r="66" spans="1:31" ht="84" x14ac:dyDescent="0.3">
      <c r="A66" s="60" t="s">
        <v>181</v>
      </c>
      <c r="B66" s="25">
        <v>1</v>
      </c>
      <c r="C66" s="25">
        <v>1</v>
      </c>
      <c r="D66" s="25">
        <v>1</v>
      </c>
      <c r="E66" s="25">
        <v>1</v>
      </c>
      <c r="F66" s="25">
        <v>1</v>
      </c>
      <c r="G66" s="25">
        <v>0</v>
      </c>
      <c r="H66" s="25">
        <v>1</v>
      </c>
      <c r="I66" s="25">
        <v>0</v>
      </c>
      <c r="J66" s="25">
        <v>0</v>
      </c>
      <c r="K66" s="25">
        <v>0</v>
      </c>
      <c r="L66" s="3">
        <f t="shared" si="0"/>
        <v>0.6</v>
      </c>
      <c r="M66" s="26" t="str">
        <f t="shared" si="1"/>
        <v>sedang</v>
      </c>
      <c r="N66" s="3">
        <f t="shared" si="2"/>
        <v>0.5</v>
      </c>
      <c r="O66" s="26" t="str">
        <f t="shared" si="3"/>
        <v>soal diterima baik</v>
      </c>
      <c r="P66" s="33"/>
      <c r="Q66" s="26">
        <v>61</v>
      </c>
      <c r="R66" s="25">
        <f t="shared" si="9"/>
        <v>1</v>
      </c>
      <c r="S66" s="25">
        <f t="shared" si="9"/>
        <v>1</v>
      </c>
      <c r="T66" s="25">
        <f t="shared" si="9"/>
        <v>1</v>
      </c>
      <c r="U66" s="25">
        <f t="shared" si="9"/>
        <v>1</v>
      </c>
      <c r="V66" s="25">
        <f t="shared" si="9"/>
        <v>1</v>
      </c>
      <c r="W66" s="25">
        <f t="shared" si="9"/>
        <v>1</v>
      </c>
      <c r="X66" s="25">
        <f t="shared" si="9"/>
        <v>1</v>
      </c>
      <c r="Y66" s="25">
        <f t="shared" si="9"/>
        <v>0</v>
      </c>
      <c r="Z66" s="25">
        <f t="shared" si="9"/>
        <v>0</v>
      </c>
      <c r="AA66" s="25">
        <f t="shared" si="9"/>
        <v>1</v>
      </c>
      <c r="AB66" s="3">
        <f t="shared" si="6"/>
        <v>0.8</v>
      </c>
      <c r="AC66" s="3">
        <f t="shared" si="7"/>
        <v>0.19999999999999996</v>
      </c>
      <c r="AD66" s="3">
        <f t="shared" si="8"/>
        <v>0.15999999999999998</v>
      </c>
      <c r="AE66" s="33"/>
    </row>
    <row r="67" spans="1:31" ht="84" x14ac:dyDescent="0.3">
      <c r="A67" s="59" t="s">
        <v>182</v>
      </c>
      <c r="B67" s="25">
        <v>1</v>
      </c>
      <c r="C67" s="25">
        <v>1</v>
      </c>
      <c r="D67" s="25">
        <v>1</v>
      </c>
      <c r="E67" s="25">
        <v>1</v>
      </c>
      <c r="F67" s="25">
        <v>1</v>
      </c>
      <c r="G67" s="25">
        <v>0</v>
      </c>
      <c r="H67" s="25">
        <v>1</v>
      </c>
      <c r="I67" s="25">
        <v>0</v>
      </c>
      <c r="J67" s="25">
        <v>0</v>
      </c>
      <c r="K67" s="25">
        <v>0</v>
      </c>
      <c r="L67" s="3">
        <f t="shared" si="0"/>
        <v>0.6</v>
      </c>
      <c r="M67" s="26" t="str">
        <f t="shared" si="1"/>
        <v>sedang</v>
      </c>
      <c r="N67" s="3">
        <f t="shared" si="2"/>
        <v>0.5</v>
      </c>
      <c r="O67" s="26" t="str">
        <f t="shared" si="3"/>
        <v>soal diterima baik</v>
      </c>
      <c r="P67" s="33"/>
      <c r="Q67" s="26">
        <v>62</v>
      </c>
      <c r="R67" s="25">
        <f t="shared" si="9"/>
        <v>1</v>
      </c>
      <c r="S67" s="25">
        <f t="shared" si="9"/>
        <v>1</v>
      </c>
      <c r="T67" s="25">
        <f t="shared" si="9"/>
        <v>1</v>
      </c>
      <c r="U67" s="25">
        <f t="shared" si="9"/>
        <v>1</v>
      </c>
      <c r="V67" s="25">
        <f t="shared" si="9"/>
        <v>1</v>
      </c>
      <c r="W67" s="25">
        <f t="shared" si="9"/>
        <v>0</v>
      </c>
      <c r="X67" s="25">
        <f t="shared" si="9"/>
        <v>1</v>
      </c>
      <c r="Y67" s="25">
        <f t="shared" si="9"/>
        <v>0</v>
      </c>
      <c r="Z67" s="25">
        <f t="shared" si="9"/>
        <v>0</v>
      </c>
      <c r="AA67" s="25">
        <f t="shared" si="9"/>
        <v>0</v>
      </c>
      <c r="AB67" s="3">
        <f t="shared" si="6"/>
        <v>0.6</v>
      </c>
      <c r="AC67" s="3">
        <f t="shared" si="7"/>
        <v>0.4</v>
      </c>
      <c r="AD67" s="3">
        <f t="shared" si="8"/>
        <v>0.24</v>
      </c>
      <c r="AE67" s="33"/>
    </row>
    <row r="68" spans="1:31" ht="84" x14ac:dyDescent="0.3">
      <c r="A68" s="61" t="s">
        <v>183</v>
      </c>
      <c r="B68" s="25">
        <v>1</v>
      </c>
      <c r="C68" s="25">
        <v>1</v>
      </c>
      <c r="D68" s="25">
        <v>1</v>
      </c>
      <c r="E68" s="25">
        <v>1</v>
      </c>
      <c r="F68" s="25">
        <v>0</v>
      </c>
      <c r="G68" s="25">
        <v>0</v>
      </c>
      <c r="H68" s="25">
        <v>0</v>
      </c>
      <c r="I68" s="25">
        <v>0</v>
      </c>
      <c r="J68" s="25">
        <v>0</v>
      </c>
      <c r="K68" s="25">
        <v>0</v>
      </c>
      <c r="L68" s="3">
        <f t="shared" si="0"/>
        <v>0.4</v>
      </c>
      <c r="M68" s="26" t="str">
        <f t="shared" si="1"/>
        <v>sedang</v>
      </c>
      <c r="N68" s="3">
        <f t="shared" si="2"/>
        <v>1</v>
      </c>
      <c r="O68" s="26" t="str">
        <f t="shared" si="3"/>
        <v>soal diterima baik</v>
      </c>
      <c r="P68" s="33"/>
      <c r="Q68" s="26">
        <v>63</v>
      </c>
      <c r="R68" s="25">
        <f t="shared" si="9"/>
        <v>1</v>
      </c>
      <c r="S68" s="25">
        <f t="shared" si="9"/>
        <v>1</v>
      </c>
      <c r="T68" s="25">
        <f t="shared" si="9"/>
        <v>1</v>
      </c>
      <c r="U68" s="25">
        <f t="shared" si="9"/>
        <v>1</v>
      </c>
      <c r="V68" s="25">
        <f t="shared" si="9"/>
        <v>1</v>
      </c>
      <c r="W68" s="25">
        <f t="shared" si="9"/>
        <v>0</v>
      </c>
      <c r="X68" s="25">
        <f t="shared" si="9"/>
        <v>1</v>
      </c>
      <c r="Y68" s="25">
        <f t="shared" si="9"/>
        <v>0</v>
      </c>
      <c r="Z68" s="25">
        <f t="shared" si="9"/>
        <v>0</v>
      </c>
      <c r="AA68" s="25">
        <f t="shared" si="9"/>
        <v>0</v>
      </c>
      <c r="AB68" s="3">
        <f t="shared" si="6"/>
        <v>0.6</v>
      </c>
      <c r="AC68" s="3">
        <f t="shared" si="7"/>
        <v>0.4</v>
      </c>
      <c r="AD68" s="3">
        <f t="shared" si="8"/>
        <v>0.24</v>
      </c>
      <c r="AE68" s="33"/>
    </row>
    <row r="69" spans="1:31" ht="98" x14ac:dyDescent="0.3">
      <c r="A69" s="61" t="s">
        <v>184</v>
      </c>
      <c r="B69" s="25">
        <v>1</v>
      </c>
      <c r="C69" s="25">
        <v>1</v>
      </c>
      <c r="D69" s="25">
        <v>1</v>
      </c>
      <c r="E69" s="25">
        <v>1</v>
      </c>
      <c r="F69" s="25">
        <v>0</v>
      </c>
      <c r="G69" s="25">
        <v>1</v>
      </c>
      <c r="H69" s="25">
        <v>0</v>
      </c>
      <c r="I69" s="25">
        <v>0</v>
      </c>
      <c r="J69" s="25">
        <v>0</v>
      </c>
      <c r="K69" s="25">
        <v>1</v>
      </c>
      <c r="L69" s="3">
        <f t="shared" si="0"/>
        <v>0.6</v>
      </c>
      <c r="M69" s="26" t="str">
        <f t="shared" si="1"/>
        <v>sedang</v>
      </c>
      <c r="N69" s="3">
        <f t="shared" si="2"/>
        <v>1</v>
      </c>
      <c r="O69" s="26" t="str">
        <f t="shared" si="3"/>
        <v>soal diterima baik</v>
      </c>
      <c r="P69" s="33"/>
      <c r="Q69" s="26">
        <v>64</v>
      </c>
      <c r="R69" s="25">
        <f t="shared" si="9"/>
        <v>1</v>
      </c>
      <c r="S69" s="25">
        <f t="shared" si="9"/>
        <v>1</v>
      </c>
      <c r="T69" s="25">
        <f t="shared" si="9"/>
        <v>1</v>
      </c>
      <c r="U69" s="25">
        <f t="shared" si="9"/>
        <v>1</v>
      </c>
      <c r="V69" s="25">
        <f t="shared" si="9"/>
        <v>0</v>
      </c>
      <c r="W69" s="25">
        <f t="shared" si="9"/>
        <v>0</v>
      </c>
      <c r="X69" s="25">
        <f t="shared" si="9"/>
        <v>0</v>
      </c>
      <c r="Y69" s="25">
        <f t="shared" si="9"/>
        <v>0</v>
      </c>
      <c r="Z69" s="25">
        <f t="shared" si="9"/>
        <v>0</v>
      </c>
      <c r="AA69" s="25">
        <f t="shared" si="9"/>
        <v>0</v>
      </c>
      <c r="AB69" s="3">
        <f t="shared" si="6"/>
        <v>0.4</v>
      </c>
      <c r="AC69" s="3">
        <f t="shared" si="7"/>
        <v>0.6</v>
      </c>
      <c r="AD69" s="3">
        <f t="shared" si="8"/>
        <v>0.24</v>
      </c>
      <c r="AE69" s="33"/>
    </row>
    <row r="70" spans="1:31" ht="42" x14ac:dyDescent="0.3">
      <c r="A70" s="61" t="s">
        <v>185</v>
      </c>
      <c r="B70" s="25">
        <v>1</v>
      </c>
      <c r="C70" s="25">
        <v>1</v>
      </c>
      <c r="D70" s="25">
        <v>1</v>
      </c>
      <c r="E70" s="25">
        <v>1</v>
      </c>
      <c r="F70" s="25">
        <v>1</v>
      </c>
      <c r="G70" s="25">
        <v>0</v>
      </c>
      <c r="H70" s="25">
        <v>1</v>
      </c>
      <c r="I70" s="25">
        <v>0</v>
      </c>
      <c r="J70" s="25">
        <v>0</v>
      </c>
      <c r="K70" s="25">
        <v>0</v>
      </c>
      <c r="L70" s="3">
        <f t="shared" ref="L70:L104" si="10">SUM(B70:K70)/10</f>
        <v>0.6</v>
      </c>
      <c r="M70" s="26" t="str">
        <f t="shared" ref="M70:M104" si="11">IF(L70&lt;0.31,"sukar",IF(L70&lt;0.71,"sedang","mudah"))</f>
        <v>sedang</v>
      </c>
      <c r="N70" s="3">
        <f t="shared" ref="N70:N104" si="12">ABS((SUM(B70:E70)-SUM(F70,H70:J70))*2/8)</f>
        <v>0.5</v>
      </c>
      <c r="O70" s="26" t="str">
        <f t="shared" ref="O70:O104" si="13">IF(N70&lt;0.2,"soal dibuang",IF(N70&lt;0.3,"soal diperbaiki",IF(N70&lt;0.4,"soal diterima tapi perlu diperbaiki","soal diterima baik")))</f>
        <v>soal diterima baik</v>
      </c>
      <c r="P70" s="33"/>
      <c r="Q70" s="26">
        <v>65</v>
      </c>
      <c r="R70" s="25">
        <f t="shared" si="9"/>
        <v>1</v>
      </c>
      <c r="S70" s="25">
        <f t="shared" si="9"/>
        <v>1</v>
      </c>
      <c r="T70" s="25">
        <f t="shared" si="9"/>
        <v>1</v>
      </c>
      <c r="U70" s="25">
        <f t="shared" si="9"/>
        <v>1</v>
      </c>
      <c r="V70" s="25">
        <f t="shared" si="9"/>
        <v>0</v>
      </c>
      <c r="W70" s="25">
        <f t="shared" si="9"/>
        <v>1</v>
      </c>
      <c r="X70" s="25">
        <f t="shared" si="9"/>
        <v>0</v>
      </c>
      <c r="Y70" s="25">
        <f t="shared" si="9"/>
        <v>0</v>
      </c>
      <c r="Z70" s="25">
        <f t="shared" si="9"/>
        <v>0</v>
      </c>
      <c r="AA70" s="25">
        <f t="shared" si="9"/>
        <v>1</v>
      </c>
      <c r="AB70" s="3">
        <f t="shared" si="6"/>
        <v>0.6</v>
      </c>
      <c r="AC70" s="3">
        <f t="shared" si="7"/>
        <v>0.4</v>
      </c>
      <c r="AD70" s="3">
        <f t="shared" si="8"/>
        <v>0.24</v>
      </c>
      <c r="AE70" s="33"/>
    </row>
    <row r="71" spans="1:31" ht="84" x14ac:dyDescent="0.3">
      <c r="A71" s="60" t="s">
        <v>186</v>
      </c>
      <c r="B71" s="25">
        <v>1</v>
      </c>
      <c r="C71" s="25">
        <v>1</v>
      </c>
      <c r="D71" s="25">
        <v>0</v>
      </c>
      <c r="E71" s="25">
        <v>0</v>
      </c>
      <c r="F71" s="25">
        <v>0</v>
      </c>
      <c r="G71" s="25">
        <v>1</v>
      </c>
      <c r="H71" s="25">
        <v>0</v>
      </c>
      <c r="I71" s="25">
        <v>0</v>
      </c>
      <c r="J71" s="25">
        <v>0</v>
      </c>
      <c r="K71" s="25">
        <v>1</v>
      </c>
      <c r="L71" s="3">
        <f t="shared" si="10"/>
        <v>0.4</v>
      </c>
      <c r="M71" s="26" t="str">
        <f t="shared" si="11"/>
        <v>sedang</v>
      </c>
      <c r="N71" s="3">
        <f t="shared" si="12"/>
        <v>0.5</v>
      </c>
      <c r="O71" s="26" t="str">
        <f t="shared" si="13"/>
        <v>soal diterima baik</v>
      </c>
      <c r="P71" s="33"/>
      <c r="Q71" s="26">
        <v>66</v>
      </c>
      <c r="R71" s="25">
        <f t="shared" si="9"/>
        <v>1</v>
      </c>
      <c r="S71" s="25">
        <f t="shared" si="9"/>
        <v>1</v>
      </c>
      <c r="T71" s="25">
        <f t="shared" si="9"/>
        <v>1</v>
      </c>
      <c r="U71" s="25">
        <f t="shared" si="9"/>
        <v>1</v>
      </c>
      <c r="V71" s="25">
        <f t="shared" si="9"/>
        <v>1</v>
      </c>
      <c r="W71" s="25">
        <f t="shared" ref="W71:AA105" si="14">G70</f>
        <v>0</v>
      </c>
      <c r="X71" s="25">
        <f t="shared" si="14"/>
        <v>1</v>
      </c>
      <c r="Y71" s="25">
        <f t="shared" si="14"/>
        <v>0</v>
      </c>
      <c r="Z71" s="25">
        <f t="shared" si="14"/>
        <v>0</v>
      </c>
      <c r="AA71" s="25">
        <f t="shared" si="14"/>
        <v>0</v>
      </c>
      <c r="AB71" s="3">
        <f t="shared" ref="AB71:AB104" si="15">SUM(R71:AA71)/COUNT(R71:AA71)</f>
        <v>0.6</v>
      </c>
      <c r="AC71" s="3">
        <f t="shared" ref="AC71:AC105" si="16">1-AB71</f>
        <v>0.4</v>
      </c>
      <c r="AD71" s="3">
        <f t="shared" ref="AD71:AD105" si="17">AB71*AC71</f>
        <v>0.24</v>
      </c>
      <c r="AE71" s="33"/>
    </row>
    <row r="72" spans="1:31" ht="42" x14ac:dyDescent="0.3">
      <c r="A72" s="60" t="s">
        <v>187</v>
      </c>
      <c r="B72" s="25">
        <v>1</v>
      </c>
      <c r="C72" s="25">
        <v>1</v>
      </c>
      <c r="D72" s="25">
        <v>1</v>
      </c>
      <c r="E72" s="25">
        <v>1</v>
      </c>
      <c r="F72" s="25">
        <v>0</v>
      </c>
      <c r="G72" s="25">
        <v>1</v>
      </c>
      <c r="H72" s="25">
        <v>0</v>
      </c>
      <c r="I72" s="25">
        <v>1</v>
      </c>
      <c r="J72" s="25">
        <v>1</v>
      </c>
      <c r="K72" s="25">
        <v>1</v>
      </c>
      <c r="L72" s="3">
        <f t="shared" si="10"/>
        <v>0.8</v>
      </c>
      <c r="M72" s="26" t="str">
        <f t="shared" si="11"/>
        <v>mudah</v>
      </c>
      <c r="N72" s="3">
        <f t="shared" si="12"/>
        <v>0.5</v>
      </c>
      <c r="O72" s="26" t="str">
        <f t="shared" si="13"/>
        <v>soal diterima baik</v>
      </c>
      <c r="P72" s="33"/>
      <c r="Q72" s="26">
        <v>67</v>
      </c>
      <c r="R72" s="25">
        <f t="shared" ref="R72:V105" si="18">B71</f>
        <v>1</v>
      </c>
      <c r="S72" s="25">
        <f t="shared" si="18"/>
        <v>1</v>
      </c>
      <c r="T72" s="25">
        <f t="shared" si="18"/>
        <v>0</v>
      </c>
      <c r="U72" s="25">
        <f t="shared" si="18"/>
        <v>0</v>
      </c>
      <c r="V72" s="25">
        <f t="shared" si="18"/>
        <v>0</v>
      </c>
      <c r="W72" s="25">
        <f t="shared" si="14"/>
        <v>1</v>
      </c>
      <c r="X72" s="25">
        <f t="shared" si="14"/>
        <v>0</v>
      </c>
      <c r="Y72" s="25">
        <f t="shared" si="14"/>
        <v>0</v>
      </c>
      <c r="Z72" s="25">
        <f t="shared" si="14"/>
        <v>0</v>
      </c>
      <c r="AA72" s="25">
        <f t="shared" si="14"/>
        <v>1</v>
      </c>
      <c r="AB72" s="3">
        <f t="shared" si="15"/>
        <v>0.4</v>
      </c>
      <c r="AC72" s="3">
        <f t="shared" si="16"/>
        <v>0.6</v>
      </c>
      <c r="AD72" s="3">
        <f t="shared" si="17"/>
        <v>0.24</v>
      </c>
      <c r="AE72" s="33"/>
    </row>
    <row r="73" spans="1:31" ht="56" x14ac:dyDescent="0.3">
      <c r="A73" s="59" t="s">
        <v>188</v>
      </c>
      <c r="B73" s="25">
        <v>0</v>
      </c>
      <c r="C73" s="25">
        <v>0</v>
      </c>
      <c r="D73" s="25">
        <v>0</v>
      </c>
      <c r="E73" s="25">
        <v>0</v>
      </c>
      <c r="F73" s="25">
        <v>1</v>
      </c>
      <c r="G73" s="25">
        <v>1</v>
      </c>
      <c r="H73" s="25">
        <v>1</v>
      </c>
      <c r="I73" s="25">
        <v>1</v>
      </c>
      <c r="J73" s="25">
        <v>1</v>
      </c>
      <c r="K73" s="25">
        <v>1</v>
      </c>
      <c r="L73" s="3">
        <f t="shared" si="10"/>
        <v>0.6</v>
      </c>
      <c r="M73" s="26" t="str">
        <f t="shared" si="11"/>
        <v>sedang</v>
      </c>
      <c r="N73" s="3">
        <f t="shared" si="12"/>
        <v>1</v>
      </c>
      <c r="O73" s="26" t="str">
        <f t="shared" si="13"/>
        <v>soal diterima baik</v>
      </c>
      <c r="P73" s="33"/>
      <c r="Q73" s="26">
        <v>68</v>
      </c>
      <c r="R73" s="25">
        <f t="shared" si="18"/>
        <v>1</v>
      </c>
      <c r="S73" s="25">
        <f t="shared" si="18"/>
        <v>1</v>
      </c>
      <c r="T73" s="25">
        <f t="shared" si="18"/>
        <v>1</v>
      </c>
      <c r="U73" s="25">
        <f t="shared" si="18"/>
        <v>1</v>
      </c>
      <c r="V73" s="25">
        <f t="shared" si="18"/>
        <v>0</v>
      </c>
      <c r="W73" s="25">
        <f t="shared" si="14"/>
        <v>1</v>
      </c>
      <c r="X73" s="25">
        <f t="shared" si="14"/>
        <v>0</v>
      </c>
      <c r="Y73" s="25">
        <f t="shared" si="14"/>
        <v>1</v>
      </c>
      <c r="Z73" s="25">
        <f t="shared" si="14"/>
        <v>1</v>
      </c>
      <c r="AA73" s="25">
        <f t="shared" si="14"/>
        <v>1</v>
      </c>
      <c r="AB73" s="3">
        <f t="shared" si="15"/>
        <v>0.8</v>
      </c>
      <c r="AC73" s="3">
        <f t="shared" si="16"/>
        <v>0.19999999999999996</v>
      </c>
      <c r="AD73" s="3">
        <f t="shared" si="17"/>
        <v>0.15999999999999998</v>
      </c>
      <c r="AE73" s="33"/>
    </row>
    <row r="74" spans="1:31" ht="42" x14ac:dyDescent="0.3">
      <c r="A74" s="59" t="s">
        <v>189</v>
      </c>
      <c r="B74" s="25">
        <v>0</v>
      </c>
      <c r="C74" s="25">
        <v>0</v>
      </c>
      <c r="D74" s="25">
        <v>1</v>
      </c>
      <c r="E74" s="25">
        <v>1</v>
      </c>
      <c r="F74" s="25">
        <v>1</v>
      </c>
      <c r="G74" s="25">
        <v>0</v>
      </c>
      <c r="H74" s="25">
        <v>1</v>
      </c>
      <c r="I74" s="25">
        <v>1</v>
      </c>
      <c r="J74" s="25">
        <v>1</v>
      </c>
      <c r="K74" s="25">
        <v>0</v>
      </c>
      <c r="L74" s="3">
        <f t="shared" si="10"/>
        <v>0.6</v>
      </c>
      <c r="M74" s="26" t="str">
        <f t="shared" si="11"/>
        <v>sedang</v>
      </c>
      <c r="N74" s="3">
        <f t="shared" si="12"/>
        <v>0.5</v>
      </c>
      <c r="O74" s="26" t="str">
        <f t="shared" si="13"/>
        <v>soal diterima baik</v>
      </c>
      <c r="P74" s="33"/>
      <c r="Q74" s="26">
        <v>69</v>
      </c>
      <c r="R74" s="25">
        <f t="shared" si="18"/>
        <v>0</v>
      </c>
      <c r="S74" s="25">
        <f t="shared" si="18"/>
        <v>0</v>
      </c>
      <c r="T74" s="25">
        <f t="shared" si="18"/>
        <v>0</v>
      </c>
      <c r="U74" s="25">
        <f t="shared" si="18"/>
        <v>0</v>
      </c>
      <c r="V74" s="25">
        <f t="shared" si="18"/>
        <v>1</v>
      </c>
      <c r="W74" s="25">
        <f t="shared" si="14"/>
        <v>1</v>
      </c>
      <c r="X74" s="25">
        <f t="shared" si="14"/>
        <v>1</v>
      </c>
      <c r="Y74" s="25">
        <f t="shared" si="14"/>
        <v>1</v>
      </c>
      <c r="Z74" s="25">
        <f t="shared" si="14"/>
        <v>1</v>
      </c>
      <c r="AA74" s="25">
        <f t="shared" si="14"/>
        <v>1</v>
      </c>
      <c r="AB74" s="3">
        <f t="shared" si="15"/>
        <v>0.6</v>
      </c>
      <c r="AC74" s="3">
        <f t="shared" si="16"/>
        <v>0.4</v>
      </c>
      <c r="AD74" s="3">
        <f t="shared" si="17"/>
        <v>0.24</v>
      </c>
      <c r="AE74" s="33"/>
    </row>
    <row r="75" spans="1:31" ht="56" x14ac:dyDescent="0.3">
      <c r="A75" s="59" t="s">
        <v>190</v>
      </c>
      <c r="B75" s="25">
        <v>0</v>
      </c>
      <c r="C75" s="25">
        <v>0</v>
      </c>
      <c r="D75" s="25">
        <v>1</v>
      </c>
      <c r="E75" s="25">
        <v>1</v>
      </c>
      <c r="F75" s="25">
        <v>0</v>
      </c>
      <c r="G75" s="25">
        <v>1</v>
      </c>
      <c r="H75" s="25">
        <v>0</v>
      </c>
      <c r="I75" s="25">
        <v>0</v>
      </c>
      <c r="J75" s="25">
        <v>0</v>
      </c>
      <c r="K75" s="25">
        <v>1</v>
      </c>
      <c r="L75" s="3">
        <f t="shared" si="10"/>
        <v>0.4</v>
      </c>
      <c r="M75" s="26" t="str">
        <f t="shared" si="11"/>
        <v>sedang</v>
      </c>
      <c r="N75" s="3">
        <f t="shared" si="12"/>
        <v>0.5</v>
      </c>
      <c r="O75" s="26" t="str">
        <f t="shared" si="13"/>
        <v>soal diterima baik</v>
      </c>
      <c r="P75" s="33"/>
      <c r="Q75" s="26">
        <v>70</v>
      </c>
      <c r="R75" s="25">
        <f t="shared" si="18"/>
        <v>0</v>
      </c>
      <c r="S75" s="25">
        <f t="shared" si="18"/>
        <v>0</v>
      </c>
      <c r="T75" s="25">
        <f t="shared" si="18"/>
        <v>1</v>
      </c>
      <c r="U75" s="25">
        <f t="shared" si="18"/>
        <v>1</v>
      </c>
      <c r="V75" s="25">
        <f t="shared" si="18"/>
        <v>1</v>
      </c>
      <c r="W75" s="25">
        <f t="shared" si="14"/>
        <v>0</v>
      </c>
      <c r="X75" s="25">
        <f t="shared" si="14"/>
        <v>1</v>
      </c>
      <c r="Y75" s="25">
        <f t="shared" si="14"/>
        <v>1</v>
      </c>
      <c r="Z75" s="25">
        <f t="shared" si="14"/>
        <v>1</v>
      </c>
      <c r="AA75" s="25">
        <f t="shared" si="14"/>
        <v>0</v>
      </c>
      <c r="AB75" s="3">
        <f t="shared" si="15"/>
        <v>0.6</v>
      </c>
      <c r="AC75" s="3">
        <f t="shared" si="16"/>
        <v>0.4</v>
      </c>
      <c r="AD75" s="3">
        <f t="shared" si="17"/>
        <v>0.24</v>
      </c>
      <c r="AE75" s="33"/>
    </row>
    <row r="76" spans="1:31" ht="56" x14ac:dyDescent="0.3">
      <c r="A76" s="59" t="s">
        <v>191</v>
      </c>
      <c r="B76" s="25">
        <v>1</v>
      </c>
      <c r="C76" s="25">
        <v>1</v>
      </c>
      <c r="D76" s="25">
        <v>1</v>
      </c>
      <c r="E76" s="25">
        <v>1</v>
      </c>
      <c r="F76" s="25">
        <v>1</v>
      </c>
      <c r="G76" s="25">
        <v>0</v>
      </c>
      <c r="H76" s="25">
        <v>1</v>
      </c>
      <c r="I76" s="25">
        <v>0</v>
      </c>
      <c r="J76" s="25">
        <v>0</v>
      </c>
      <c r="K76" s="25">
        <v>0</v>
      </c>
      <c r="L76" s="3">
        <f t="shared" si="10"/>
        <v>0.6</v>
      </c>
      <c r="M76" s="26" t="str">
        <f t="shared" si="11"/>
        <v>sedang</v>
      </c>
      <c r="N76" s="3">
        <f t="shared" si="12"/>
        <v>0.5</v>
      </c>
      <c r="O76" s="26" t="str">
        <f t="shared" si="13"/>
        <v>soal diterima baik</v>
      </c>
      <c r="P76" s="33"/>
      <c r="Q76" s="26">
        <v>71</v>
      </c>
      <c r="R76" s="25">
        <f t="shared" si="18"/>
        <v>0</v>
      </c>
      <c r="S76" s="25">
        <f t="shared" si="18"/>
        <v>0</v>
      </c>
      <c r="T76" s="25">
        <f t="shared" si="18"/>
        <v>1</v>
      </c>
      <c r="U76" s="25">
        <f t="shared" si="18"/>
        <v>1</v>
      </c>
      <c r="V76" s="25">
        <f t="shared" si="18"/>
        <v>0</v>
      </c>
      <c r="W76" s="25">
        <f t="shared" si="14"/>
        <v>1</v>
      </c>
      <c r="X76" s="25">
        <f t="shared" si="14"/>
        <v>0</v>
      </c>
      <c r="Y76" s="25">
        <f t="shared" si="14"/>
        <v>0</v>
      </c>
      <c r="Z76" s="25">
        <f t="shared" si="14"/>
        <v>0</v>
      </c>
      <c r="AA76" s="25">
        <f t="shared" si="14"/>
        <v>1</v>
      </c>
      <c r="AB76" s="3">
        <f t="shared" si="15"/>
        <v>0.4</v>
      </c>
      <c r="AC76" s="3">
        <f t="shared" si="16"/>
        <v>0.6</v>
      </c>
      <c r="AD76" s="3">
        <f t="shared" si="17"/>
        <v>0.24</v>
      </c>
      <c r="AE76" s="33"/>
    </row>
    <row r="77" spans="1:31" ht="28" x14ac:dyDescent="0.3">
      <c r="A77" s="60" t="s">
        <v>192</v>
      </c>
      <c r="B77" s="25">
        <v>0</v>
      </c>
      <c r="C77" s="25">
        <v>0</v>
      </c>
      <c r="D77" s="25">
        <v>1</v>
      </c>
      <c r="E77" s="25">
        <v>1</v>
      </c>
      <c r="F77" s="25">
        <v>0</v>
      </c>
      <c r="G77" s="25">
        <v>1</v>
      </c>
      <c r="H77" s="25">
        <v>0</v>
      </c>
      <c r="I77" s="25">
        <v>0</v>
      </c>
      <c r="J77" s="25">
        <v>0</v>
      </c>
      <c r="K77" s="25">
        <v>1</v>
      </c>
      <c r="L77" s="3">
        <f t="shared" si="10"/>
        <v>0.4</v>
      </c>
      <c r="M77" s="26" t="str">
        <f t="shared" si="11"/>
        <v>sedang</v>
      </c>
      <c r="N77" s="3">
        <f t="shared" si="12"/>
        <v>0.5</v>
      </c>
      <c r="O77" s="26" t="str">
        <f t="shared" si="13"/>
        <v>soal diterima baik</v>
      </c>
      <c r="P77" s="33"/>
      <c r="Q77" s="26">
        <v>72</v>
      </c>
      <c r="R77" s="25">
        <f t="shared" si="18"/>
        <v>1</v>
      </c>
      <c r="S77" s="25">
        <f t="shared" si="18"/>
        <v>1</v>
      </c>
      <c r="T77" s="25">
        <f t="shared" si="18"/>
        <v>1</v>
      </c>
      <c r="U77" s="25">
        <f t="shared" si="18"/>
        <v>1</v>
      </c>
      <c r="V77" s="25">
        <f t="shared" si="18"/>
        <v>1</v>
      </c>
      <c r="W77" s="25">
        <f t="shared" si="14"/>
        <v>0</v>
      </c>
      <c r="X77" s="25">
        <f t="shared" si="14"/>
        <v>1</v>
      </c>
      <c r="Y77" s="25">
        <f t="shared" si="14"/>
        <v>0</v>
      </c>
      <c r="Z77" s="25">
        <f t="shared" si="14"/>
        <v>0</v>
      </c>
      <c r="AA77" s="25">
        <f t="shared" si="14"/>
        <v>0</v>
      </c>
      <c r="AB77" s="3">
        <f t="shared" si="15"/>
        <v>0.6</v>
      </c>
      <c r="AC77" s="3">
        <f t="shared" si="16"/>
        <v>0.4</v>
      </c>
      <c r="AD77" s="3">
        <f t="shared" si="17"/>
        <v>0.24</v>
      </c>
      <c r="AE77" s="33"/>
    </row>
    <row r="78" spans="1:31" ht="28" x14ac:dyDescent="0.3">
      <c r="A78" s="59" t="s">
        <v>193</v>
      </c>
      <c r="B78" s="25">
        <v>1</v>
      </c>
      <c r="C78" s="25">
        <v>1</v>
      </c>
      <c r="D78" s="25">
        <v>0</v>
      </c>
      <c r="E78" s="25">
        <v>0</v>
      </c>
      <c r="F78" s="25">
        <v>0</v>
      </c>
      <c r="G78" s="25">
        <v>0</v>
      </c>
      <c r="H78" s="25">
        <v>0</v>
      </c>
      <c r="I78" s="25">
        <v>0</v>
      </c>
      <c r="J78" s="25">
        <v>0</v>
      </c>
      <c r="K78" s="25">
        <v>0</v>
      </c>
      <c r="L78" s="3">
        <f t="shared" si="10"/>
        <v>0.2</v>
      </c>
      <c r="M78" s="26" t="str">
        <f t="shared" si="11"/>
        <v>sukar</v>
      </c>
      <c r="N78" s="3">
        <f t="shared" si="12"/>
        <v>0.5</v>
      </c>
      <c r="O78" s="26" t="str">
        <f t="shared" si="13"/>
        <v>soal diterima baik</v>
      </c>
      <c r="P78" s="33"/>
      <c r="Q78" s="26">
        <v>73</v>
      </c>
      <c r="R78" s="25">
        <f t="shared" si="18"/>
        <v>0</v>
      </c>
      <c r="S78" s="25">
        <f t="shared" si="18"/>
        <v>0</v>
      </c>
      <c r="T78" s="25">
        <f t="shared" si="18"/>
        <v>1</v>
      </c>
      <c r="U78" s="25">
        <f t="shared" si="18"/>
        <v>1</v>
      </c>
      <c r="V78" s="25">
        <f t="shared" si="18"/>
        <v>0</v>
      </c>
      <c r="W78" s="25">
        <f t="shared" si="14"/>
        <v>1</v>
      </c>
      <c r="X78" s="25">
        <f t="shared" si="14"/>
        <v>0</v>
      </c>
      <c r="Y78" s="25">
        <f t="shared" si="14"/>
        <v>0</v>
      </c>
      <c r="Z78" s="25">
        <f t="shared" si="14"/>
        <v>0</v>
      </c>
      <c r="AA78" s="25">
        <f t="shared" si="14"/>
        <v>1</v>
      </c>
      <c r="AB78" s="3">
        <f t="shared" si="15"/>
        <v>0.4</v>
      </c>
      <c r="AC78" s="3">
        <f t="shared" si="16"/>
        <v>0.6</v>
      </c>
      <c r="AD78" s="3">
        <f t="shared" si="17"/>
        <v>0.24</v>
      </c>
      <c r="AE78" s="33"/>
    </row>
    <row r="79" spans="1:31" ht="70" x14ac:dyDescent="0.3">
      <c r="A79" s="59" t="s">
        <v>194</v>
      </c>
      <c r="B79" s="25">
        <v>1</v>
      </c>
      <c r="C79" s="25">
        <v>1</v>
      </c>
      <c r="D79" s="25">
        <v>1</v>
      </c>
      <c r="E79" s="25">
        <v>1</v>
      </c>
      <c r="F79" s="25">
        <v>0</v>
      </c>
      <c r="G79" s="25">
        <v>0</v>
      </c>
      <c r="H79" s="25">
        <v>0</v>
      </c>
      <c r="I79" s="25">
        <v>0</v>
      </c>
      <c r="J79" s="25">
        <v>0</v>
      </c>
      <c r="K79" s="25">
        <v>0</v>
      </c>
      <c r="L79" s="3">
        <f t="shared" si="10"/>
        <v>0.4</v>
      </c>
      <c r="M79" s="26" t="str">
        <f t="shared" si="11"/>
        <v>sedang</v>
      </c>
      <c r="N79" s="3">
        <f t="shared" si="12"/>
        <v>1</v>
      </c>
      <c r="O79" s="26" t="str">
        <f t="shared" si="13"/>
        <v>soal diterima baik</v>
      </c>
      <c r="P79" s="33"/>
      <c r="Q79" s="26">
        <v>74</v>
      </c>
      <c r="R79" s="25">
        <f t="shared" si="18"/>
        <v>1</v>
      </c>
      <c r="S79" s="25">
        <f t="shared" si="18"/>
        <v>1</v>
      </c>
      <c r="T79" s="25">
        <f t="shared" si="18"/>
        <v>0</v>
      </c>
      <c r="U79" s="25">
        <f t="shared" si="18"/>
        <v>0</v>
      </c>
      <c r="V79" s="25">
        <f t="shared" si="18"/>
        <v>0</v>
      </c>
      <c r="W79" s="25">
        <f t="shared" si="14"/>
        <v>0</v>
      </c>
      <c r="X79" s="25">
        <f t="shared" si="14"/>
        <v>0</v>
      </c>
      <c r="Y79" s="25">
        <f t="shared" si="14"/>
        <v>0</v>
      </c>
      <c r="Z79" s="25">
        <f t="shared" si="14"/>
        <v>0</v>
      </c>
      <c r="AA79" s="25">
        <f t="shared" si="14"/>
        <v>0</v>
      </c>
      <c r="AB79" s="3">
        <f t="shared" si="15"/>
        <v>0.2</v>
      </c>
      <c r="AC79" s="3">
        <f t="shared" si="16"/>
        <v>0.8</v>
      </c>
      <c r="AD79" s="3">
        <f t="shared" si="17"/>
        <v>0.16000000000000003</v>
      </c>
      <c r="AE79" s="33"/>
    </row>
    <row r="80" spans="1:31" ht="84" x14ac:dyDescent="0.3">
      <c r="A80" s="60" t="s">
        <v>195</v>
      </c>
      <c r="B80" s="25">
        <v>1</v>
      </c>
      <c r="C80" s="25">
        <v>1</v>
      </c>
      <c r="D80" s="25">
        <v>1</v>
      </c>
      <c r="E80" s="25">
        <v>1</v>
      </c>
      <c r="F80" s="25">
        <v>0</v>
      </c>
      <c r="G80" s="25">
        <v>0</v>
      </c>
      <c r="H80" s="25">
        <v>0</v>
      </c>
      <c r="I80" s="25">
        <v>1</v>
      </c>
      <c r="J80" s="25">
        <v>1</v>
      </c>
      <c r="K80" s="25">
        <v>0</v>
      </c>
      <c r="L80" s="3">
        <f t="shared" si="10"/>
        <v>0.6</v>
      </c>
      <c r="M80" s="26" t="str">
        <f t="shared" si="11"/>
        <v>sedang</v>
      </c>
      <c r="N80" s="3">
        <f t="shared" si="12"/>
        <v>0.5</v>
      </c>
      <c r="O80" s="26" t="str">
        <f t="shared" si="13"/>
        <v>soal diterima baik</v>
      </c>
      <c r="P80" s="33"/>
      <c r="Q80" s="26">
        <v>75</v>
      </c>
      <c r="R80" s="25">
        <f t="shared" si="18"/>
        <v>1</v>
      </c>
      <c r="S80" s="25">
        <f t="shared" si="18"/>
        <v>1</v>
      </c>
      <c r="T80" s="25">
        <f t="shared" si="18"/>
        <v>1</v>
      </c>
      <c r="U80" s="25">
        <f t="shared" si="18"/>
        <v>1</v>
      </c>
      <c r="V80" s="25">
        <f t="shared" si="18"/>
        <v>0</v>
      </c>
      <c r="W80" s="25">
        <f t="shared" si="14"/>
        <v>0</v>
      </c>
      <c r="X80" s="25">
        <f t="shared" si="14"/>
        <v>0</v>
      </c>
      <c r="Y80" s="25">
        <f t="shared" si="14"/>
        <v>0</v>
      </c>
      <c r="Z80" s="25">
        <f t="shared" si="14"/>
        <v>0</v>
      </c>
      <c r="AA80" s="25">
        <f t="shared" si="14"/>
        <v>0</v>
      </c>
      <c r="AB80" s="3">
        <f t="shared" si="15"/>
        <v>0.4</v>
      </c>
      <c r="AC80" s="3">
        <f t="shared" si="16"/>
        <v>0.6</v>
      </c>
      <c r="AD80" s="3">
        <f t="shared" si="17"/>
        <v>0.24</v>
      </c>
      <c r="AE80" s="33"/>
    </row>
    <row r="81" spans="1:31" ht="42" x14ac:dyDescent="0.3">
      <c r="A81" s="61" t="s">
        <v>196</v>
      </c>
      <c r="B81" s="25">
        <v>1</v>
      </c>
      <c r="C81" s="25">
        <v>1</v>
      </c>
      <c r="D81" s="25">
        <v>0</v>
      </c>
      <c r="E81" s="25">
        <v>0</v>
      </c>
      <c r="F81" s="25">
        <v>0</v>
      </c>
      <c r="G81" s="25">
        <v>0</v>
      </c>
      <c r="H81" s="25">
        <v>0</v>
      </c>
      <c r="I81" s="25">
        <v>0</v>
      </c>
      <c r="J81" s="25">
        <v>0</v>
      </c>
      <c r="K81" s="25">
        <v>0</v>
      </c>
      <c r="L81" s="3">
        <f t="shared" si="10"/>
        <v>0.2</v>
      </c>
      <c r="M81" s="26" t="str">
        <f t="shared" si="11"/>
        <v>sukar</v>
      </c>
      <c r="N81" s="3">
        <f t="shared" si="12"/>
        <v>0.5</v>
      </c>
      <c r="O81" s="26" t="str">
        <f t="shared" si="13"/>
        <v>soal diterima baik</v>
      </c>
      <c r="P81" s="33"/>
      <c r="Q81" s="26">
        <v>76</v>
      </c>
      <c r="R81" s="25">
        <f t="shared" si="18"/>
        <v>1</v>
      </c>
      <c r="S81" s="25">
        <f t="shared" si="18"/>
        <v>1</v>
      </c>
      <c r="T81" s="25">
        <f t="shared" si="18"/>
        <v>1</v>
      </c>
      <c r="U81" s="25">
        <f t="shared" si="18"/>
        <v>1</v>
      </c>
      <c r="V81" s="25">
        <f t="shared" si="18"/>
        <v>0</v>
      </c>
      <c r="W81" s="25">
        <f t="shared" si="14"/>
        <v>0</v>
      </c>
      <c r="X81" s="25">
        <f t="shared" si="14"/>
        <v>0</v>
      </c>
      <c r="Y81" s="25">
        <f t="shared" si="14"/>
        <v>1</v>
      </c>
      <c r="Z81" s="25">
        <f t="shared" si="14"/>
        <v>1</v>
      </c>
      <c r="AA81" s="25">
        <f t="shared" si="14"/>
        <v>0</v>
      </c>
      <c r="AB81" s="3">
        <f t="shared" si="15"/>
        <v>0.6</v>
      </c>
      <c r="AC81" s="3">
        <f t="shared" si="16"/>
        <v>0.4</v>
      </c>
      <c r="AD81" s="3">
        <f t="shared" si="17"/>
        <v>0.24</v>
      </c>
      <c r="AE81" s="33"/>
    </row>
    <row r="82" spans="1:31" ht="70" x14ac:dyDescent="0.3">
      <c r="A82" s="59" t="s">
        <v>197</v>
      </c>
      <c r="B82" s="25">
        <v>0</v>
      </c>
      <c r="C82" s="25">
        <v>0</v>
      </c>
      <c r="D82" s="25">
        <v>1</v>
      </c>
      <c r="E82" s="25">
        <v>1</v>
      </c>
      <c r="F82" s="25">
        <v>1</v>
      </c>
      <c r="G82" s="25">
        <v>1</v>
      </c>
      <c r="H82" s="25">
        <v>1</v>
      </c>
      <c r="I82" s="25">
        <v>1</v>
      </c>
      <c r="J82" s="25">
        <v>1</v>
      </c>
      <c r="K82" s="25">
        <v>1</v>
      </c>
      <c r="L82" s="3">
        <f t="shared" si="10"/>
        <v>0.8</v>
      </c>
      <c r="M82" s="26" t="str">
        <f t="shared" si="11"/>
        <v>mudah</v>
      </c>
      <c r="N82" s="3">
        <f t="shared" si="12"/>
        <v>0.5</v>
      </c>
      <c r="O82" s="26" t="str">
        <f t="shared" si="13"/>
        <v>soal diterima baik</v>
      </c>
      <c r="P82" s="33"/>
      <c r="Q82" s="26">
        <v>77</v>
      </c>
      <c r="R82" s="25">
        <f t="shared" si="18"/>
        <v>1</v>
      </c>
      <c r="S82" s="25">
        <f t="shared" si="18"/>
        <v>1</v>
      </c>
      <c r="T82" s="25">
        <f t="shared" si="18"/>
        <v>0</v>
      </c>
      <c r="U82" s="25">
        <f t="shared" si="18"/>
        <v>0</v>
      </c>
      <c r="V82" s="25">
        <f t="shared" si="18"/>
        <v>0</v>
      </c>
      <c r="W82" s="25">
        <f t="shared" si="14"/>
        <v>0</v>
      </c>
      <c r="X82" s="25">
        <f t="shared" si="14"/>
        <v>0</v>
      </c>
      <c r="Y82" s="25">
        <f t="shared" si="14"/>
        <v>0</v>
      </c>
      <c r="Z82" s="25">
        <f t="shared" si="14"/>
        <v>0</v>
      </c>
      <c r="AA82" s="25">
        <f t="shared" si="14"/>
        <v>0</v>
      </c>
      <c r="AB82" s="3">
        <f t="shared" si="15"/>
        <v>0.2</v>
      </c>
      <c r="AC82" s="3">
        <f t="shared" si="16"/>
        <v>0.8</v>
      </c>
      <c r="AD82" s="3">
        <f t="shared" si="17"/>
        <v>0.16000000000000003</v>
      </c>
      <c r="AE82" s="33"/>
    </row>
    <row r="83" spans="1:31" ht="28" x14ac:dyDescent="0.3">
      <c r="A83" s="59" t="s">
        <v>198</v>
      </c>
      <c r="B83" s="25">
        <v>1</v>
      </c>
      <c r="C83" s="25">
        <v>1</v>
      </c>
      <c r="D83" s="25">
        <v>1</v>
      </c>
      <c r="E83" s="25">
        <v>1</v>
      </c>
      <c r="F83" s="25">
        <v>0</v>
      </c>
      <c r="G83" s="25">
        <v>1</v>
      </c>
      <c r="H83" s="25">
        <v>0</v>
      </c>
      <c r="I83" s="25">
        <v>1</v>
      </c>
      <c r="J83" s="25">
        <v>1</v>
      </c>
      <c r="K83" s="25">
        <v>1</v>
      </c>
      <c r="L83" s="3">
        <f t="shared" si="10"/>
        <v>0.8</v>
      </c>
      <c r="M83" s="26" t="str">
        <f t="shared" si="11"/>
        <v>mudah</v>
      </c>
      <c r="N83" s="3">
        <f t="shared" si="12"/>
        <v>0.5</v>
      </c>
      <c r="O83" s="26" t="str">
        <f t="shared" si="13"/>
        <v>soal diterima baik</v>
      </c>
      <c r="P83" s="33"/>
      <c r="Q83" s="26">
        <v>78</v>
      </c>
      <c r="R83" s="25">
        <f t="shared" si="18"/>
        <v>0</v>
      </c>
      <c r="S83" s="25">
        <f t="shared" si="18"/>
        <v>0</v>
      </c>
      <c r="T83" s="25">
        <f t="shared" si="18"/>
        <v>1</v>
      </c>
      <c r="U83" s="25">
        <f t="shared" si="18"/>
        <v>1</v>
      </c>
      <c r="V83" s="25">
        <f t="shared" si="18"/>
        <v>1</v>
      </c>
      <c r="W83" s="25">
        <f t="shared" si="14"/>
        <v>1</v>
      </c>
      <c r="X83" s="25">
        <f t="shared" si="14"/>
        <v>1</v>
      </c>
      <c r="Y83" s="25">
        <f t="shared" si="14"/>
        <v>1</v>
      </c>
      <c r="Z83" s="25">
        <f t="shared" si="14"/>
        <v>1</v>
      </c>
      <c r="AA83" s="25">
        <f t="shared" si="14"/>
        <v>1</v>
      </c>
      <c r="AB83" s="3">
        <f t="shared" si="15"/>
        <v>0.8</v>
      </c>
      <c r="AC83" s="3">
        <f t="shared" si="16"/>
        <v>0.19999999999999996</v>
      </c>
      <c r="AD83" s="3">
        <f t="shared" si="17"/>
        <v>0.15999999999999998</v>
      </c>
      <c r="AE83" s="33"/>
    </row>
    <row r="84" spans="1:31" ht="42" x14ac:dyDescent="0.3">
      <c r="A84" s="61" t="s">
        <v>199</v>
      </c>
      <c r="B84" s="25">
        <v>0</v>
      </c>
      <c r="C84" s="25">
        <v>0</v>
      </c>
      <c r="D84" s="25">
        <v>1</v>
      </c>
      <c r="E84" s="25">
        <v>1</v>
      </c>
      <c r="F84" s="25">
        <v>0</v>
      </c>
      <c r="G84" s="25">
        <v>0</v>
      </c>
      <c r="H84" s="25">
        <v>0</v>
      </c>
      <c r="I84" s="25">
        <v>0</v>
      </c>
      <c r="J84" s="25">
        <v>0</v>
      </c>
      <c r="K84" s="25">
        <v>0</v>
      </c>
      <c r="L84" s="3">
        <f t="shared" si="10"/>
        <v>0.2</v>
      </c>
      <c r="M84" s="26" t="str">
        <f t="shared" si="11"/>
        <v>sukar</v>
      </c>
      <c r="N84" s="3">
        <f t="shared" si="12"/>
        <v>0.5</v>
      </c>
      <c r="O84" s="26" t="str">
        <f t="shared" si="13"/>
        <v>soal diterima baik</v>
      </c>
      <c r="P84" s="33"/>
      <c r="Q84" s="26">
        <v>79</v>
      </c>
      <c r="R84" s="25">
        <f t="shared" si="18"/>
        <v>1</v>
      </c>
      <c r="S84" s="25">
        <f t="shared" si="18"/>
        <v>1</v>
      </c>
      <c r="T84" s="25">
        <f t="shared" si="18"/>
        <v>1</v>
      </c>
      <c r="U84" s="25">
        <f t="shared" si="18"/>
        <v>1</v>
      </c>
      <c r="V84" s="25">
        <f t="shared" si="18"/>
        <v>0</v>
      </c>
      <c r="W84" s="25">
        <f t="shared" si="14"/>
        <v>1</v>
      </c>
      <c r="X84" s="25">
        <f t="shared" si="14"/>
        <v>0</v>
      </c>
      <c r="Y84" s="25">
        <f t="shared" si="14"/>
        <v>1</v>
      </c>
      <c r="Z84" s="25">
        <f t="shared" si="14"/>
        <v>1</v>
      </c>
      <c r="AA84" s="25">
        <f t="shared" si="14"/>
        <v>1</v>
      </c>
      <c r="AB84" s="3">
        <f t="shared" si="15"/>
        <v>0.8</v>
      </c>
      <c r="AC84" s="3">
        <f t="shared" si="16"/>
        <v>0.19999999999999996</v>
      </c>
      <c r="AD84" s="3">
        <f t="shared" si="17"/>
        <v>0.15999999999999998</v>
      </c>
      <c r="AE84" s="33"/>
    </row>
    <row r="85" spans="1:31" ht="42" x14ac:dyDescent="0.3">
      <c r="A85" s="60" t="s">
        <v>200</v>
      </c>
      <c r="B85" s="25">
        <v>1</v>
      </c>
      <c r="C85" s="25">
        <v>1</v>
      </c>
      <c r="D85" s="25">
        <v>1</v>
      </c>
      <c r="E85" s="25">
        <v>1</v>
      </c>
      <c r="F85" s="25">
        <v>1</v>
      </c>
      <c r="G85" s="25">
        <v>1</v>
      </c>
      <c r="H85" s="25">
        <v>1</v>
      </c>
      <c r="I85" s="25">
        <v>0</v>
      </c>
      <c r="J85" s="25">
        <v>0</v>
      </c>
      <c r="K85" s="25">
        <v>1</v>
      </c>
      <c r="L85" s="3">
        <f t="shared" si="10"/>
        <v>0.8</v>
      </c>
      <c r="M85" s="26" t="str">
        <f t="shared" si="11"/>
        <v>mudah</v>
      </c>
      <c r="N85" s="3">
        <f t="shared" si="12"/>
        <v>0.5</v>
      </c>
      <c r="O85" s="26" t="str">
        <f t="shared" si="13"/>
        <v>soal diterima baik</v>
      </c>
      <c r="P85" s="33"/>
      <c r="Q85" s="26">
        <v>80</v>
      </c>
      <c r="R85" s="25">
        <f t="shared" si="18"/>
        <v>0</v>
      </c>
      <c r="S85" s="25">
        <f t="shared" si="18"/>
        <v>0</v>
      </c>
      <c r="T85" s="25">
        <f t="shared" si="18"/>
        <v>1</v>
      </c>
      <c r="U85" s="25">
        <f t="shared" si="18"/>
        <v>1</v>
      </c>
      <c r="V85" s="25">
        <f t="shared" si="18"/>
        <v>0</v>
      </c>
      <c r="W85" s="25">
        <f t="shared" si="14"/>
        <v>0</v>
      </c>
      <c r="X85" s="25">
        <f t="shared" si="14"/>
        <v>0</v>
      </c>
      <c r="Y85" s="25">
        <f t="shared" si="14"/>
        <v>0</v>
      </c>
      <c r="Z85" s="25">
        <f t="shared" si="14"/>
        <v>0</v>
      </c>
      <c r="AA85" s="25">
        <f t="shared" si="14"/>
        <v>0</v>
      </c>
      <c r="AB85" s="3">
        <f t="shared" si="15"/>
        <v>0.2</v>
      </c>
      <c r="AC85" s="3">
        <f t="shared" si="16"/>
        <v>0.8</v>
      </c>
      <c r="AD85" s="3">
        <f t="shared" si="17"/>
        <v>0.16000000000000003</v>
      </c>
      <c r="AE85" s="33"/>
    </row>
    <row r="86" spans="1:31" ht="70" x14ac:dyDescent="0.3">
      <c r="A86" s="59" t="s">
        <v>201</v>
      </c>
      <c r="B86" s="25">
        <v>1</v>
      </c>
      <c r="C86" s="25">
        <v>1</v>
      </c>
      <c r="D86" s="25">
        <v>1</v>
      </c>
      <c r="E86" s="25">
        <v>1</v>
      </c>
      <c r="F86" s="25">
        <v>0</v>
      </c>
      <c r="G86" s="25">
        <v>0</v>
      </c>
      <c r="H86" s="25">
        <v>0</v>
      </c>
      <c r="I86" s="25">
        <v>0</v>
      </c>
      <c r="J86" s="25">
        <v>0</v>
      </c>
      <c r="K86" s="25">
        <v>0</v>
      </c>
      <c r="L86" s="3">
        <f t="shared" si="10"/>
        <v>0.4</v>
      </c>
      <c r="M86" s="26" t="str">
        <f t="shared" si="11"/>
        <v>sedang</v>
      </c>
      <c r="N86" s="3">
        <f t="shared" si="12"/>
        <v>1</v>
      </c>
      <c r="O86" s="26" t="str">
        <f t="shared" si="13"/>
        <v>soal diterima baik</v>
      </c>
      <c r="P86" s="33"/>
      <c r="Q86" s="26">
        <v>81</v>
      </c>
      <c r="R86" s="25">
        <f t="shared" si="18"/>
        <v>1</v>
      </c>
      <c r="S86" s="25">
        <f t="shared" si="18"/>
        <v>1</v>
      </c>
      <c r="T86" s="25">
        <f t="shared" si="18"/>
        <v>1</v>
      </c>
      <c r="U86" s="25">
        <f t="shared" si="18"/>
        <v>1</v>
      </c>
      <c r="V86" s="25">
        <f t="shared" si="18"/>
        <v>1</v>
      </c>
      <c r="W86" s="25">
        <f t="shared" si="14"/>
        <v>1</v>
      </c>
      <c r="X86" s="25">
        <f t="shared" si="14"/>
        <v>1</v>
      </c>
      <c r="Y86" s="25">
        <f t="shared" si="14"/>
        <v>0</v>
      </c>
      <c r="Z86" s="25">
        <f t="shared" si="14"/>
        <v>0</v>
      </c>
      <c r="AA86" s="25">
        <f t="shared" si="14"/>
        <v>1</v>
      </c>
      <c r="AB86" s="3">
        <f t="shared" si="15"/>
        <v>0.8</v>
      </c>
      <c r="AC86" s="3">
        <f t="shared" si="16"/>
        <v>0.19999999999999996</v>
      </c>
      <c r="AD86" s="3">
        <f t="shared" si="17"/>
        <v>0.15999999999999998</v>
      </c>
      <c r="AE86" s="33"/>
    </row>
    <row r="87" spans="1:31" ht="42" x14ac:dyDescent="0.3">
      <c r="A87" s="61" t="s">
        <v>202</v>
      </c>
      <c r="B87" s="25">
        <v>0</v>
      </c>
      <c r="C87" s="25">
        <v>0</v>
      </c>
      <c r="D87" s="25">
        <v>1</v>
      </c>
      <c r="E87" s="25">
        <v>1</v>
      </c>
      <c r="F87" s="25">
        <v>0</v>
      </c>
      <c r="G87" s="25">
        <v>1</v>
      </c>
      <c r="H87" s="25">
        <v>0</v>
      </c>
      <c r="I87" s="25">
        <v>0</v>
      </c>
      <c r="J87" s="25">
        <v>0</v>
      </c>
      <c r="K87" s="25">
        <v>1</v>
      </c>
      <c r="L87" s="3">
        <f t="shared" si="10"/>
        <v>0.4</v>
      </c>
      <c r="M87" s="26" t="str">
        <f t="shared" si="11"/>
        <v>sedang</v>
      </c>
      <c r="N87" s="3">
        <f t="shared" si="12"/>
        <v>0.5</v>
      </c>
      <c r="O87" s="26" t="str">
        <f t="shared" si="13"/>
        <v>soal diterima baik</v>
      </c>
      <c r="P87" s="33"/>
      <c r="Q87" s="26">
        <v>82</v>
      </c>
      <c r="R87" s="25">
        <f t="shared" si="18"/>
        <v>1</v>
      </c>
      <c r="S87" s="25">
        <f t="shared" si="18"/>
        <v>1</v>
      </c>
      <c r="T87" s="25">
        <f t="shared" si="18"/>
        <v>1</v>
      </c>
      <c r="U87" s="25">
        <f t="shared" si="18"/>
        <v>1</v>
      </c>
      <c r="V87" s="25">
        <f t="shared" si="18"/>
        <v>0</v>
      </c>
      <c r="W87" s="25">
        <f t="shared" si="14"/>
        <v>0</v>
      </c>
      <c r="X87" s="25">
        <f t="shared" si="14"/>
        <v>0</v>
      </c>
      <c r="Y87" s="25">
        <f t="shared" si="14"/>
        <v>0</v>
      </c>
      <c r="Z87" s="25">
        <f t="shared" si="14"/>
        <v>0</v>
      </c>
      <c r="AA87" s="25">
        <f t="shared" si="14"/>
        <v>0</v>
      </c>
      <c r="AB87" s="3">
        <f t="shared" si="15"/>
        <v>0.4</v>
      </c>
      <c r="AC87" s="3">
        <f t="shared" si="16"/>
        <v>0.6</v>
      </c>
      <c r="AD87" s="3">
        <f t="shared" si="17"/>
        <v>0.24</v>
      </c>
      <c r="AE87" s="33"/>
    </row>
    <row r="88" spans="1:31" ht="42" x14ac:dyDescent="0.3">
      <c r="A88" s="61" t="s">
        <v>203</v>
      </c>
      <c r="B88" s="25">
        <v>1</v>
      </c>
      <c r="C88" s="25">
        <v>1</v>
      </c>
      <c r="D88" s="25">
        <v>1</v>
      </c>
      <c r="E88" s="25">
        <v>1</v>
      </c>
      <c r="F88" s="25">
        <v>0</v>
      </c>
      <c r="G88" s="25">
        <v>1</v>
      </c>
      <c r="H88" s="25">
        <v>0</v>
      </c>
      <c r="I88" s="25">
        <v>0</v>
      </c>
      <c r="J88" s="25">
        <v>0</v>
      </c>
      <c r="K88" s="25">
        <v>1</v>
      </c>
      <c r="L88" s="3">
        <f t="shared" si="10"/>
        <v>0.6</v>
      </c>
      <c r="M88" s="26" t="str">
        <f t="shared" si="11"/>
        <v>sedang</v>
      </c>
      <c r="N88" s="3">
        <f t="shared" si="12"/>
        <v>1</v>
      </c>
      <c r="O88" s="26" t="str">
        <f t="shared" si="13"/>
        <v>soal diterima baik</v>
      </c>
      <c r="P88" s="33"/>
      <c r="Q88" s="26">
        <v>83</v>
      </c>
      <c r="R88" s="25">
        <f t="shared" si="18"/>
        <v>0</v>
      </c>
      <c r="S88" s="25">
        <f t="shared" si="18"/>
        <v>0</v>
      </c>
      <c r="T88" s="25">
        <f t="shared" si="18"/>
        <v>1</v>
      </c>
      <c r="U88" s="25">
        <f t="shared" si="18"/>
        <v>1</v>
      </c>
      <c r="V88" s="25">
        <f t="shared" si="18"/>
        <v>0</v>
      </c>
      <c r="W88" s="25">
        <f t="shared" si="14"/>
        <v>1</v>
      </c>
      <c r="X88" s="25">
        <f t="shared" si="14"/>
        <v>0</v>
      </c>
      <c r="Y88" s="25">
        <f t="shared" si="14"/>
        <v>0</v>
      </c>
      <c r="Z88" s="25">
        <f t="shared" si="14"/>
        <v>0</v>
      </c>
      <c r="AA88" s="25">
        <f t="shared" si="14"/>
        <v>1</v>
      </c>
      <c r="AB88" s="3">
        <f t="shared" si="15"/>
        <v>0.4</v>
      </c>
      <c r="AC88" s="3">
        <f t="shared" si="16"/>
        <v>0.6</v>
      </c>
      <c r="AD88" s="3">
        <f t="shared" si="17"/>
        <v>0.24</v>
      </c>
      <c r="AE88" s="33"/>
    </row>
    <row r="89" spans="1:31" ht="42" x14ac:dyDescent="0.3">
      <c r="A89" s="61" t="s">
        <v>204</v>
      </c>
      <c r="B89" s="25">
        <v>1</v>
      </c>
      <c r="C89" s="25">
        <v>1</v>
      </c>
      <c r="D89" s="25">
        <v>1</v>
      </c>
      <c r="E89" s="25">
        <v>1</v>
      </c>
      <c r="F89" s="25">
        <v>0</v>
      </c>
      <c r="G89" s="25">
        <v>1</v>
      </c>
      <c r="H89" s="25">
        <v>0</v>
      </c>
      <c r="I89" s="25">
        <v>0</v>
      </c>
      <c r="J89" s="25">
        <v>0</v>
      </c>
      <c r="K89" s="25">
        <v>1</v>
      </c>
      <c r="L89" s="3">
        <f t="shared" si="10"/>
        <v>0.6</v>
      </c>
      <c r="M89" s="26" t="str">
        <f t="shared" si="11"/>
        <v>sedang</v>
      </c>
      <c r="N89" s="3">
        <f t="shared" si="12"/>
        <v>1</v>
      </c>
      <c r="O89" s="26" t="str">
        <f t="shared" si="13"/>
        <v>soal diterima baik</v>
      </c>
      <c r="P89" s="33"/>
      <c r="Q89" s="26">
        <v>84</v>
      </c>
      <c r="R89" s="25">
        <f t="shared" si="18"/>
        <v>1</v>
      </c>
      <c r="S89" s="25">
        <f t="shared" si="18"/>
        <v>1</v>
      </c>
      <c r="T89" s="25">
        <f t="shared" si="18"/>
        <v>1</v>
      </c>
      <c r="U89" s="25">
        <f t="shared" si="18"/>
        <v>1</v>
      </c>
      <c r="V89" s="25">
        <f t="shared" si="18"/>
        <v>0</v>
      </c>
      <c r="W89" s="25">
        <f t="shared" si="14"/>
        <v>1</v>
      </c>
      <c r="X89" s="25">
        <f t="shared" si="14"/>
        <v>0</v>
      </c>
      <c r="Y89" s="25">
        <f t="shared" si="14"/>
        <v>0</v>
      </c>
      <c r="Z89" s="25">
        <f t="shared" si="14"/>
        <v>0</v>
      </c>
      <c r="AA89" s="25">
        <f t="shared" si="14"/>
        <v>1</v>
      </c>
      <c r="AB89" s="3">
        <f t="shared" si="15"/>
        <v>0.6</v>
      </c>
      <c r="AC89" s="3">
        <f t="shared" si="16"/>
        <v>0.4</v>
      </c>
      <c r="AD89" s="3">
        <f t="shared" si="17"/>
        <v>0.24</v>
      </c>
      <c r="AE89" s="33"/>
    </row>
    <row r="90" spans="1:31" ht="42" x14ac:dyDescent="0.3">
      <c r="A90" s="60" t="s">
        <v>205</v>
      </c>
      <c r="B90" s="25">
        <v>1</v>
      </c>
      <c r="C90" s="25">
        <v>1</v>
      </c>
      <c r="D90" s="25">
        <v>1</v>
      </c>
      <c r="E90" s="25">
        <v>1</v>
      </c>
      <c r="F90" s="25">
        <v>0</v>
      </c>
      <c r="G90" s="25">
        <v>1</v>
      </c>
      <c r="H90" s="25">
        <v>0</v>
      </c>
      <c r="I90" s="25">
        <v>0</v>
      </c>
      <c r="J90" s="25">
        <v>0</v>
      </c>
      <c r="K90" s="25">
        <v>1</v>
      </c>
      <c r="L90" s="3">
        <f t="shared" si="10"/>
        <v>0.6</v>
      </c>
      <c r="M90" s="26" t="str">
        <f t="shared" si="11"/>
        <v>sedang</v>
      </c>
      <c r="N90" s="3">
        <f t="shared" si="12"/>
        <v>1</v>
      </c>
      <c r="O90" s="26" t="str">
        <f t="shared" si="13"/>
        <v>soal diterima baik</v>
      </c>
      <c r="P90" s="33"/>
      <c r="Q90" s="26">
        <v>85</v>
      </c>
      <c r="R90" s="25">
        <f t="shared" si="18"/>
        <v>1</v>
      </c>
      <c r="S90" s="25">
        <f t="shared" si="18"/>
        <v>1</v>
      </c>
      <c r="T90" s="25">
        <f t="shared" si="18"/>
        <v>1</v>
      </c>
      <c r="U90" s="25">
        <f t="shared" si="18"/>
        <v>1</v>
      </c>
      <c r="V90" s="25">
        <f t="shared" si="18"/>
        <v>0</v>
      </c>
      <c r="W90" s="25">
        <f t="shared" si="14"/>
        <v>1</v>
      </c>
      <c r="X90" s="25">
        <f t="shared" si="14"/>
        <v>0</v>
      </c>
      <c r="Y90" s="25">
        <f t="shared" si="14"/>
        <v>0</v>
      </c>
      <c r="Z90" s="25">
        <f t="shared" si="14"/>
        <v>0</v>
      </c>
      <c r="AA90" s="25">
        <f t="shared" si="14"/>
        <v>1</v>
      </c>
      <c r="AB90" s="3">
        <f t="shared" si="15"/>
        <v>0.6</v>
      </c>
      <c r="AC90" s="3">
        <f t="shared" si="16"/>
        <v>0.4</v>
      </c>
      <c r="AD90" s="3">
        <f t="shared" si="17"/>
        <v>0.24</v>
      </c>
      <c r="AE90" s="33"/>
    </row>
    <row r="91" spans="1:31" ht="28" x14ac:dyDescent="0.3">
      <c r="A91" s="61" t="s">
        <v>206</v>
      </c>
      <c r="B91" s="25">
        <v>1</v>
      </c>
      <c r="C91" s="25">
        <v>1</v>
      </c>
      <c r="D91" s="25">
        <v>1</v>
      </c>
      <c r="E91" s="25">
        <v>1</v>
      </c>
      <c r="F91" s="25">
        <v>0</v>
      </c>
      <c r="G91" s="25">
        <v>1</v>
      </c>
      <c r="H91" s="25">
        <v>0</v>
      </c>
      <c r="I91" s="25">
        <v>1</v>
      </c>
      <c r="J91" s="25">
        <v>1</v>
      </c>
      <c r="K91" s="25">
        <v>1</v>
      </c>
      <c r="L91" s="3">
        <f t="shared" si="10"/>
        <v>0.8</v>
      </c>
      <c r="M91" s="26" t="str">
        <f t="shared" si="11"/>
        <v>mudah</v>
      </c>
      <c r="N91" s="3">
        <f t="shared" si="12"/>
        <v>0.5</v>
      </c>
      <c r="O91" s="26" t="str">
        <f t="shared" si="13"/>
        <v>soal diterima baik</v>
      </c>
      <c r="P91" s="33"/>
      <c r="Q91" s="26">
        <v>86</v>
      </c>
      <c r="R91" s="25">
        <f t="shared" si="18"/>
        <v>1</v>
      </c>
      <c r="S91" s="25">
        <f t="shared" si="18"/>
        <v>1</v>
      </c>
      <c r="T91" s="25">
        <f t="shared" si="18"/>
        <v>1</v>
      </c>
      <c r="U91" s="25">
        <f t="shared" si="18"/>
        <v>1</v>
      </c>
      <c r="V91" s="25">
        <f t="shared" si="18"/>
        <v>0</v>
      </c>
      <c r="W91" s="25">
        <f t="shared" si="14"/>
        <v>1</v>
      </c>
      <c r="X91" s="25">
        <f t="shared" si="14"/>
        <v>0</v>
      </c>
      <c r="Y91" s="25">
        <f t="shared" si="14"/>
        <v>0</v>
      </c>
      <c r="Z91" s="25">
        <f t="shared" si="14"/>
        <v>0</v>
      </c>
      <c r="AA91" s="25">
        <f t="shared" si="14"/>
        <v>1</v>
      </c>
      <c r="AB91" s="3">
        <f t="shared" si="15"/>
        <v>0.6</v>
      </c>
      <c r="AC91" s="3">
        <f t="shared" si="16"/>
        <v>0.4</v>
      </c>
      <c r="AD91" s="3">
        <f t="shared" si="17"/>
        <v>0.24</v>
      </c>
      <c r="AE91" s="33"/>
    </row>
    <row r="92" spans="1:31" ht="42" x14ac:dyDescent="0.3">
      <c r="A92" s="61" t="s">
        <v>207</v>
      </c>
      <c r="B92" s="25">
        <v>0</v>
      </c>
      <c r="C92" s="25">
        <v>0</v>
      </c>
      <c r="D92" s="25">
        <v>1</v>
      </c>
      <c r="E92" s="25">
        <v>1</v>
      </c>
      <c r="F92" s="25">
        <v>0</v>
      </c>
      <c r="G92" s="25">
        <v>0</v>
      </c>
      <c r="H92" s="25">
        <v>0</v>
      </c>
      <c r="I92" s="25">
        <v>0</v>
      </c>
      <c r="J92" s="25">
        <v>0</v>
      </c>
      <c r="K92" s="25">
        <v>0</v>
      </c>
      <c r="L92" s="3">
        <f t="shared" si="10"/>
        <v>0.2</v>
      </c>
      <c r="M92" s="26" t="str">
        <f t="shared" si="11"/>
        <v>sukar</v>
      </c>
      <c r="N92" s="3">
        <f t="shared" si="12"/>
        <v>0.5</v>
      </c>
      <c r="O92" s="26" t="str">
        <f t="shared" si="13"/>
        <v>soal diterima baik</v>
      </c>
      <c r="P92" s="33"/>
      <c r="Q92" s="26">
        <v>87</v>
      </c>
      <c r="R92" s="25">
        <f t="shared" si="18"/>
        <v>1</v>
      </c>
      <c r="S92" s="25">
        <f t="shared" si="18"/>
        <v>1</v>
      </c>
      <c r="T92" s="25">
        <f t="shared" si="18"/>
        <v>1</v>
      </c>
      <c r="U92" s="25">
        <f t="shared" si="18"/>
        <v>1</v>
      </c>
      <c r="V92" s="25">
        <f t="shared" si="18"/>
        <v>0</v>
      </c>
      <c r="W92" s="25">
        <f t="shared" si="14"/>
        <v>1</v>
      </c>
      <c r="X92" s="25">
        <f t="shared" si="14"/>
        <v>0</v>
      </c>
      <c r="Y92" s="25">
        <f t="shared" si="14"/>
        <v>1</v>
      </c>
      <c r="Z92" s="25">
        <f t="shared" si="14"/>
        <v>1</v>
      </c>
      <c r="AA92" s="25">
        <f t="shared" si="14"/>
        <v>1</v>
      </c>
      <c r="AB92" s="3">
        <f t="shared" si="15"/>
        <v>0.8</v>
      </c>
      <c r="AC92" s="3">
        <f t="shared" si="16"/>
        <v>0.19999999999999996</v>
      </c>
      <c r="AD92" s="3">
        <f t="shared" si="17"/>
        <v>0.15999999999999998</v>
      </c>
      <c r="AE92" s="33"/>
    </row>
    <row r="93" spans="1:31" ht="56" x14ac:dyDescent="0.3">
      <c r="A93" s="61" t="s">
        <v>208</v>
      </c>
      <c r="B93" s="25">
        <v>1</v>
      </c>
      <c r="C93" s="25">
        <v>1</v>
      </c>
      <c r="D93" s="25">
        <v>1</v>
      </c>
      <c r="E93" s="25">
        <v>1</v>
      </c>
      <c r="F93" s="25">
        <v>0</v>
      </c>
      <c r="G93" s="25">
        <v>0</v>
      </c>
      <c r="H93" s="25">
        <v>0</v>
      </c>
      <c r="I93" s="25">
        <v>0</v>
      </c>
      <c r="J93" s="25">
        <v>0</v>
      </c>
      <c r="K93" s="25">
        <v>0</v>
      </c>
      <c r="L93" s="3">
        <f t="shared" si="10"/>
        <v>0.4</v>
      </c>
      <c r="M93" s="26" t="str">
        <f t="shared" si="11"/>
        <v>sedang</v>
      </c>
      <c r="N93" s="3">
        <f t="shared" si="12"/>
        <v>1</v>
      </c>
      <c r="O93" s="26" t="str">
        <f t="shared" si="13"/>
        <v>soal diterima baik</v>
      </c>
      <c r="P93" s="33"/>
      <c r="Q93" s="26">
        <v>88</v>
      </c>
      <c r="R93" s="25">
        <f t="shared" si="18"/>
        <v>0</v>
      </c>
      <c r="S93" s="25">
        <f t="shared" si="18"/>
        <v>0</v>
      </c>
      <c r="T93" s="25">
        <f t="shared" si="18"/>
        <v>1</v>
      </c>
      <c r="U93" s="25">
        <f t="shared" si="18"/>
        <v>1</v>
      </c>
      <c r="V93" s="25">
        <f t="shared" si="18"/>
        <v>0</v>
      </c>
      <c r="W93" s="25">
        <f t="shared" si="14"/>
        <v>0</v>
      </c>
      <c r="X93" s="25">
        <f t="shared" si="14"/>
        <v>0</v>
      </c>
      <c r="Y93" s="25">
        <f t="shared" si="14"/>
        <v>0</v>
      </c>
      <c r="Z93" s="25">
        <f t="shared" si="14"/>
        <v>0</v>
      </c>
      <c r="AA93" s="25">
        <f t="shared" si="14"/>
        <v>0</v>
      </c>
      <c r="AB93" s="3">
        <f t="shared" si="15"/>
        <v>0.2</v>
      </c>
      <c r="AC93" s="3">
        <f t="shared" si="16"/>
        <v>0.8</v>
      </c>
      <c r="AD93" s="3">
        <f t="shared" si="17"/>
        <v>0.16000000000000003</v>
      </c>
      <c r="AE93" s="33"/>
    </row>
    <row r="94" spans="1:31" ht="28" x14ac:dyDescent="0.3">
      <c r="A94" s="59" t="s">
        <v>220</v>
      </c>
      <c r="B94" s="25">
        <v>1</v>
      </c>
      <c r="C94" s="25">
        <v>1</v>
      </c>
      <c r="D94" s="25">
        <v>1</v>
      </c>
      <c r="E94" s="25">
        <v>1</v>
      </c>
      <c r="F94" s="25">
        <v>0</v>
      </c>
      <c r="G94" s="25">
        <v>0</v>
      </c>
      <c r="H94" s="25">
        <v>0</v>
      </c>
      <c r="I94" s="25">
        <v>0</v>
      </c>
      <c r="J94" s="25">
        <v>0</v>
      </c>
      <c r="K94" s="25">
        <v>0</v>
      </c>
      <c r="L94" s="3">
        <f t="shared" si="10"/>
        <v>0.4</v>
      </c>
      <c r="M94" s="26" t="str">
        <f t="shared" si="11"/>
        <v>sedang</v>
      </c>
      <c r="N94" s="3">
        <f t="shared" si="12"/>
        <v>1</v>
      </c>
      <c r="O94" s="26" t="str">
        <f t="shared" si="13"/>
        <v>soal diterima baik</v>
      </c>
      <c r="P94" s="33"/>
      <c r="Q94" s="26">
        <v>89</v>
      </c>
      <c r="R94" s="25">
        <f t="shared" si="18"/>
        <v>1</v>
      </c>
      <c r="S94" s="25">
        <f t="shared" si="18"/>
        <v>1</v>
      </c>
      <c r="T94" s="25">
        <f t="shared" si="18"/>
        <v>1</v>
      </c>
      <c r="U94" s="25">
        <f t="shared" si="18"/>
        <v>1</v>
      </c>
      <c r="V94" s="25">
        <f t="shared" si="18"/>
        <v>0</v>
      </c>
      <c r="W94" s="25">
        <f t="shared" si="14"/>
        <v>0</v>
      </c>
      <c r="X94" s="25">
        <f t="shared" si="14"/>
        <v>0</v>
      </c>
      <c r="Y94" s="25">
        <f t="shared" si="14"/>
        <v>0</v>
      </c>
      <c r="Z94" s="25">
        <f t="shared" si="14"/>
        <v>0</v>
      </c>
      <c r="AA94" s="25">
        <f t="shared" si="14"/>
        <v>0</v>
      </c>
      <c r="AB94" s="3">
        <f t="shared" si="15"/>
        <v>0.4</v>
      </c>
      <c r="AC94" s="3">
        <f t="shared" si="16"/>
        <v>0.6</v>
      </c>
      <c r="AD94" s="3">
        <f t="shared" si="17"/>
        <v>0.24</v>
      </c>
      <c r="AE94" s="33"/>
    </row>
    <row r="95" spans="1:31" ht="28" x14ac:dyDescent="0.3">
      <c r="A95" s="59" t="s">
        <v>221</v>
      </c>
      <c r="B95" s="25">
        <v>1</v>
      </c>
      <c r="C95" s="25">
        <v>1</v>
      </c>
      <c r="D95" s="25">
        <v>0</v>
      </c>
      <c r="E95" s="25">
        <v>0</v>
      </c>
      <c r="F95" s="25">
        <v>1</v>
      </c>
      <c r="G95" s="25">
        <v>1</v>
      </c>
      <c r="H95" s="25">
        <v>1</v>
      </c>
      <c r="I95" s="25">
        <v>1</v>
      </c>
      <c r="J95" s="25">
        <v>1</v>
      </c>
      <c r="K95" s="25">
        <v>1</v>
      </c>
      <c r="L95" s="3">
        <f t="shared" si="10"/>
        <v>0.8</v>
      </c>
      <c r="M95" s="26" t="str">
        <f t="shared" si="11"/>
        <v>mudah</v>
      </c>
      <c r="N95" s="3">
        <f t="shared" si="12"/>
        <v>0.5</v>
      </c>
      <c r="O95" s="26" t="str">
        <f t="shared" si="13"/>
        <v>soal diterima baik</v>
      </c>
      <c r="P95" s="33"/>
      <c r="Q95" s="26">
        <v>90</v>
      </c>
      <c r="R95" s="25">
        <f t="shared" si="18"/>
        <v>1</v>
      </c>
      <c r="S95" s="25">
        <f t="shared" si="18"/>
        <v>1</v>
      </c>
      <c r="T95" s="25">
        <f t="shared" si="18"/>
        <v>1</v>
      </c>
      <c r="U95" s="25">
        <f t="shared" si="18"/>
        <v>1</v>
      </c>
      <c r="V95" s="25">
        <f t="shared" si="18"/>
        <v>0</v>
      </c>
      <c r="W95" s="25">
        <f t="shared" si="14"/>
        <v>0</v>
      </c>
      <c r="X95" s="25">
        <f t="shared" si="14"/>
        <v>0</v>
      </c>
      <c r="Y95" s="25">
        <f t="shared" si="14"/>
        <v>0</v>
      </c>
      <c r="Z95" s="25">
        <f t="shared" si="14"/>
        <v>0</v>
      </c>
      <c r="AA95" s="25">
        <f t="shared" si="14"/>
        <v>0</v>
      </c>
      <c r="AB95" s="3">
        <f t="shared" si="15"/>
        <v>0.4</v>
      </c>
      <c r="AC95" s="3">
        <f t="shared" si="16"/>
        <v>0.6</v>
      </c>
      <c r="AD95" s="3">
        <f t="shared" si="17"/>
        <v>0.24</v>
      </c>
      <c r="AE95" s="33"/>
    </row>
    <row r="96" spans="1:31" x14ac:dyDescent="0.3">
      <c r="A96" s="59" t="s">
        <v>222</v>
      </c>
      <c r="B96" s="25">
        <v>1</v>
      </c>
      <c r="C96" s="25">
        <v>1</v>
      </c>
      <c r="D96" s="25">
        <v>1</v>
      </c>
      <c r="E96" s="25">
        <v>1</v>
      </c>
      <c r="F96" s="25">
        <v>0</v>
      </c>
      <c r="G96" s="25">
        <v>1</v>
      </c>
      <c r="H96" s="25">
        <v>0</v>
      </c>
      <c r="I96" s="25">
        <v>0</v>
      </c>
      <c r="J96" s="25">
        <v>0</v>
      </c>
      <c r="K96" s="25">
        <v>1</v>
      </c>
      <c r="L96" s="3">
        <f t="shared" si="10"/>
        <v>0.6</v>
      </c>
      <c r="M96" s="26" t="str">
        <f t="shared" si="11"/>
        <v>sedang</v>
      </c>
      <c r="N96" s="3">
        <f t="shared" si="12"/>
        <v>1</v>
      </c>
      <c r="O96" s="26" t="str">
        <f t="shared" si="13"/>
        <v>soal diterima baik</v>
      </c>
      <c r="P96" s="33"/>
      <c r="Q96" s="26">
        <v>91</v>
      </c>
      <c r="R96" s="25">
        <f t="shared" si="18"/>
        <v>1</v>
      </c>
      <c r="S96" s="25">
        <f t="shared" si="18"/>
        <v>1</v>
      </c>
      <c r="T96" s="25">
        <f t="shared" si="18"/>
        <v>0</v>
      </c>
      <c r="U96" s="25">
        <f t="shared" si="18"/>
        <v>0</v>
      </c>
      <c r="V96" s="25">
        <f t="shared" si="18"/>
        <v>1</v>
      </c>
      <c r="W96" s="25">
        <f t="shared" si="14"/>
        <v>1</v>
      </c>
      <c r="X96" s="25">
        <f t="shared" si="14"/>
        <v>1</v>
      </c>
      <c r="Y96" s="25">
        <f t="shared" si="14"/>
        <v>1</v>
      </c>
      <c r="Z96" s="25">
        <f t="shared" si="14"/>
        <v>1</v>
      </c>
      <c r="AA96" s="25">
        <f t="shared" si="14"/>
        <v>1</v>
      </c>
      <c r="AB96" s="3">
        <f t="shared" si="15"/>
        <v>0.8</v>
      </c>
      <c r="AC96" s="3">
        <f t="shared" si="16"/>
        <v>0.19999999999999996</v>
      </c>
      <c r="AD96" s="3">
        <f t="shared" si="17"/>
        <v>0.15999999999999998</v>
      </c>
      <c r="AE96" s="33"/>
    </row>
    <row r="97" spans="1:31" x14ac:dyDescent="0.3">
      <c r="A97" s="61" t="s">
        <v>223</v>
      </c>
      <c r="B97" s="25">
        <v>1</v>
      </c>
      <c r="C97" s="25">
        <v>1</v>
      </c>
      <c r="D97" s="25">
        <v>1</v>
      </c>
      <c r="E97" s="25">
        <v>1</v>
      </c>
      <c r="F97" s="25">
        <v>0</v>
      </c>
      <c r="G97" s="25">
        <v>0</v>
      </c>
      <c r="H97" s="25">
        <v>0</v>
      </c>
      <c r="I97" s="25">
        <v>1</v>
      </c>
      <c r="J97" s="25">
        <v>1</v>
      </c>
      <c r="K97" s="25">
        <v>0</v>
      </c>
      <c r="L97" s="3">
        <f t="shared" si="10"/>
        <v>0.6</v>
      </c>
      <c r="M97" s="26" t="str">
        <f t="shared" si="11"/>
        <v>sedang</v>
      </c>
      <c r="N97" s="3">
        <f t="shared" si="12"/>
        <v>0.5</v>
      </c>
      <c r="O97" s="26" t="str">
        <f t="shared" si="13"/>
        <v>soal diterima baik</v>
      </c>
      <c r="P97" s="33"/>
      <c r="Q97" s="26">
        <v>92</v>
      </c>
      <c r="R97" s="25">
        <f t="shared" si="18"/>
        <v>1</v>
      </c>
      <c r="S97" s="25">
        <f t="shared" si="18"/>
        <v>1</v>
      </c>
      <c r="T97" s="25">
        <f t="shared" si="18"/>
        <v>1</v>
      </c>
      <c r="U97" s="25">
        <f t="shared" si="18"/>
        <v>1</v>
      </c>
      <c r="V97" s="25">
        <f t="shared" si="18"/>
        <v>0</v>
      </c>
      <c r="W97" s="25">
        <f t="shared" si="14"/>
        <v>1</v>
      </c>
      <c r="X97" s="25">
        <f t="shared" si="14"/>
        <v>0</v>
      </c>
      <c r="Y97" s="25">
        <f t="shared" si="14"/>
        <v>0</v>
      </c>
      <c r="Z97" s="25">
        <f t="shared" si="14"/>
        <v>0</v>
      </c>
      <c r="AA97" s="25">
        <f t="shared" si="14"/>
        <v>1</v>
      </c>
      <c r="AB97" s="3">
        <f t="shared" si="15"/>
        <v>0.6</v>
      </c>
      <c r="AC97" s="3">
        <f t="shared" si="16"/>
        <v>0.4</v>
      </c>
      <c r="AD97" s="3">
        <f t="shared" si="17"/>
        <v>0.24</v>
      </c>
      <c r="AE97" s="33"/>
    </row>
    <row r="98" spans="1:31" x14ac:dyDescent="0.3">
      <c r="A98" s="61" t="s">
        <v>224</v>
      </c>
      <c r="B98" s="25">
        <v>1</v>
      </c>
      <c r="C98" s="25">
        <v>1</v>
      </c>
      <c r="D98" s="25">
        <v>0</v>
      </c>
      <c r="E98" s="25">
        <v>0</v>
      </c>
      <c r="F98" s="25">
        <v>0</v>
      </c>
      <c r="G98" s="25">
        <v>1</v>
      </c>
      <c r="H98" s="25">
        <v>0</v>
      </c>
      <c r="I98" s="25">
        <v>0</v>
      </c>
      <c r="J98" s="25">
        <v>0</v>
      </c>
      <c r="K98" s="25">
        <v>1</v>
      </c>
      <c r="L98" s="3">
        <f t="shared" si="10"/>
        <v>0.4</v>
      </c>
      <c r="M98" s="26" t="str">
        <f t="shared" si="11"/>
        <v>sedang</v>
      </c>
      <c r="N98" s="3">
        <f t="shared" si="12"/>
        <v>0.5</v>
      </c>
      <c r="O98" s="26" t="str">
        <f t="shared" si="13"/>
        <v>soal diterima baik</v>
      </c>
      <c r="P98" s="33"/>
      <c r="Q98" s="26">
        <v>93</v>
      </c>
      <c r="R98" s="25">
        <f t="shared" si="18"/>
        <v>1</v>
      </c>
      <c r="S98" s="25">
        <f t="shared" si="18"/>
        <v>1</v>
      </c>
      <c r="T98" s="25">
        <f t="shared" si="18"/>
        <v>1</v>
      </c>
      <c r="U98" s="25">
        <f t="shared" si="18"/>
        <v>1</v>
      </c>
      <c r="V98" s="25">
        <f t="shared" si="18"/>
        <v>0</v>
      </c>
      <c r="W98" s="25">
        <f t="shared" si="14"/>
        <v>0</v>
      </c>
      <c r="X98" s="25">
        <f t="shared" si="14"/>
        <v>0</v>
      </c>
      <c r="Y98" s="25">
        <f t="shared" si="14"/>
        <v>1</v>
      </c>
      <c r="Z98" s="25">
        <f t="shared" si="14"/>
        <v>1</v>
      </c>
      <c r="AA98" s="25">
        <f t="shared" si="14"/>
        <v>0</v>
      </c>
      <c r="AB98" s="3">
        <f t="shared" si="15"/>
        <v>0.6</v>
      </c>
      <c r="AC98" s="3">
        <f t="shared" si="16"/>
        <v>0.4</v>
      </c>
      <c r="AD98" s="3">
        <f t="shared" si="17"/>
        <v>0.24</v>
      </c>
      <c r="AE98" s="33"/>
    </row>
    <row r="99" spans="1:31" ht="42" x14ac:dyDescent="0.3">
      <c r="A99" s="59" t="s">
        <v>225</v>
      </c>
      <c r="B99" s="25">
        <v>0</v>
      </c>
      <c r="C99" s="25">
        <v>0</v>
      </c>
      <c r="D99" s="25">
        <v>1</v>
      </c>
      <c r="E99" s="25">
        <v>1</v>
      </c>
      <c r="F99" s="25">
        <v>0</v>
      </c>
      <c r="G99" s="25">
        <v>0</v>
      </c>
      <c r="H99" s="25">
        <v>0</v>
      </c>
      <c r="I99" s="25">
        <v>0</v>
      </c>
      <c r="J99" s="25">
        <v>0</v>
      </c>
      <c r="K99" s="25">
        <v>0</v>
      </c>
      <c r="L99" s="3">
        <f t="shared" si="10"/>
        <v>0.2</v>
      </c>
      <c r="M99" s="26" t="str">
        <f t="shared" si="11"/>
        <v>sukar</v>
      </c>
      <c r="N99" s="3">
        <f t="shared" si="12"/>
        <v>0.5</v>
      </c>
      <c r="O99" s="26" t="str">
        <f t="shared" si="13"/>
        <v>soal diterima baik</v>
      </c>
      <c r="P99" s="33"/>
      <c r="Q99" s="26">
        <v>94</v>
      </c>
      <c r="R99" s="25">
        <f t="shared" si="18"/>
        <v>1</v>
      </c>
      <c r="S99" s="25">
        <f t="shared" si="18"/>
        <v>1</v>
      </c>
      <c r="T99" s="25">
        <f t="shared" si="18"/>
        <v>0</v>
      </c>
      <c r="U99" s="25">
        <f t="shared" si="18"/>
        <v>0</v>
      </c>
      <c r="V99" s="25">
        <f t="shared" si="18"/>
        <v>0</v>
      </c>
      <c r="W99" s="25">
        <f t="shared" si="14"/>
        <v>1</v>
      </c>
      <c r="X99" s="25">
        <f t="shared" si="14"/>
        <v>0</v>
      </c>
      <c r="Y99" s="25">
        <f t="shared" si="14"/>
        <v>0</v>
      </c>
      <c r="Z99" s="25">
        <f t="shared" si="14"/>
        <v>0</v>
      </c>
      <c r="AA99" s="25">
        <f t="shared" si="14"/>
        <v>1</v>
      </c>
      <c r="AB99" s="3">
        <f t="shared" si="15"/>
        <v>0.4</v>
      </c>
      <c r="AC99" s="3">
        <f t="shared" si="16"/>
        <v>0.6</v>
      </c>
      <c r="AD99" s="3">
        <f t="shared" si="17"/>
        <v>0.24</v>
      </c>
      <c r="AE99" s="33"/>
    </row>
    <row r="100" spans="1:31" ht="42" x14ac:dyDescent="0.3">
      <c r="A100" s="59" t="s">
        <v>226</v>
      </c>
      <c r="B100" s="25">
        <v>0</v>
      </c>
      <c r="C100" s="25">
        <v>0</v>
      </c>
      <c r="D100" s="25">
        <v>1</v>
      </c>
      <c r="E100" s="25">
        <v>1</v>
      </c>
      <c r="F100" s="25">
        <v>0</v>
      </c>
      <c r="G100" s="25">
        <v>1</v>
      </c>
      <c r="H100" s="25">
        <v>0</v>
      </c>
      <c r="I100" s="25">
        <v>0</v>
      </c>
      <c r="J100" s="25">
        <v>0</v>
      </c>
      <c r="K100" s="25">
        <v>1</v>
      </c>
      <c r="L100" s="3">
        <f t="shared" si="10"/>
        <v>0.4</v>
      </c>
      <c r="M100" s="26" t="str">
        <f t="shared" si="11"/>
        <v>sedang</v>
      </c>
      <c r="N100" s="3">
        <f t="shared" si="12"/>
        <v>0.5</v>
      </c>
      <c r="O100" s="26" t="str">
        <f t="shared" si="13"/>
        <v>soal diterima baik</v>
      </c>
      <c r="P100" s="33"/>
      <c r="Q100" s="26">
        <v>95</v>
      </c>
      <c r="R100" s="25">
        <f t="shared" si="18"/>
        <v>0</v>
      </c>
      <c r="S100" s="25">
        <f t="shared" si="18"/>
        <v>0</v>
      </c>
      <c r="T100" s="25">
        <f t="shared" si="18"/>
        <v>1</v>
      </c>
      <c r="U100" s="25">
        <f t="shared" si="18"/>
        <v>1</v>
      </c>
      <c r="V100" s="25">
        <f t="shared" si="18"/>
        <v>0</v>
      </c>
      <c r="W100" s="25">
        <f t="shared" si="14"/>
        <v>0</v>
      </c>
      <c r="X100" s="25">
        <f t="shared" si="14"/>
        <v>0</v>
      </c>
      <c r="Y100" s="25">
        <f t="shared" si="14"/>
        <v>0</v>
      </c>
      <c r="Z100" s="25">
        <f t="shared" si="14"/>
        <v>0</v>
      </c>
      <c r="AA100" s="25">
        <f t="shared" si="14"/>
        <v>0</v>
      </c>
      <c r="AB100" s="3">
        <f t="shared" si="15"/>
        <v>0.2</v>
      </c>
      <c r="AC100" s="3">
        <f t="shared" si="16"/>
        <v>0.8</v>
      </c>
      <c r="AD100" s="3">
        <f t="shared" si="17"/>
        <v>0.16000000000000003</v>
      </c>
      <c r="AE100" s="33"/>
    </row>
    <row r="101" spans="1:31" x14ac:dyDescent="0.3">
      <c r="A101" s="61" t="s">
        <v>227</v>
      </c>
      <c r="B101" s="25">
        <v>1</v>
      </c>
      <c r="C101" s="25">
        <v>1</v>
      </c>
      <c r="D101" s="25">
        <v>1</v>
      </c>
      <c r="E101" s="25">
        <v>1</v>
      </c>
      <c r="F101" s="25">
        <v>0</v>
      </c>
      <c r="G101" s="25">
        <v>0</v>
      </c>
      <c r="H101" s="25">
        <v>0</v>
      </c>
      <c r="I101" s="25">
        <v>0</v>
      </c>
      <c r="J101" s="25">
        <v>0</v>
      </c>
      <c r="K101" s="25">
        <v>0</v>
      </c>
      <c r="L101" s="3">
        <f t="shared" si="10"/>
        <v>0.4</v>
      </c>
      <c r="M101" s="26" t="str">
        <f t="shared" si="11"/>
        <v>sedang</v>
      </c>
      <c r="N101" s="3">
        <f t="shared" si="12"/>
        <v>1</v>
      </c>
      <c r="O101" s="26" t="str">
        <f t="shared" si="13"/>
        <v>soal diterima baik</v>
      </c>
      <c r="P101" s="33"/>
      <c r="Q101" s="26">
        <v>96</v>
      </c>
      <c r="R101" s="25">
        <f t="shared" si="18"/>
        <v>0</v>
      </c>
      <c r="S101" s="25">
        <f t="shared" si="18"/>
        <v>0</v>
      </c>
      <c r="T101" s="25">
        <f t="shared" si="18"/>
        <v>1</v>
      </c>
      <c r="U101" s="25">
        <f t="shared" si="18"/>
        <v>1</v>
      </c>
      <c r="V101" s="25">
        <f t="shared" si="18"/>
        <v>0</v>
      </c>
      <c r="W101" s="25">
        <f t="shared" si="14"/>
        <v>1</v>
      </c>
      <c r="X101" s="25">
        <f t="shared" si="14"/>
        <v>0</v>
      </c>
      <c r="Y101" s="25">
        <f t="shared" si="14"/>
        <v>0</v>
      </c>
      <c r="Z101" s="25">
        <f t="shared" si="14"/>
        <v>0</v>
      </c>
      <c r="AA101" s="25">
        <f t="shared" si="14"/>
        <v>1</v>
      </c>
      <c r="AB101" s="3">
        <f t="shared" si="15"/>
        <v>0.4</v>
      </c>
      <c r="AC101" s="3">
        <f t="shared" si="16"/>
        <v>0.6</v>
      </c>
      <c r="AD101" s="3">
        <f t="shared" si="17"/>
        <v>0.24</v>
      </c>
      <c r="AE101" s="33"/>
    </row>
    <row r="102" spans="1:31" ht="28" x14ac:dyDescent="0.3">
      <c r="A102" s="62" t="s">
        <v>228</v>
      </c>
      <c r="B102" s="25">
        <v>1</v>
      </c>
      <c r="C102" s="25">
        <v>1</v>
      </c>
      <c r="D102" s="25">
        <v>1</v>
      </c>
      <c r="E102" s="25">
        <v>1</v>
      </c>
      <c r="F102" s="25">
        <v>0</v>
      </c>
      <c r="G102" s="25">
        <v>0</v>
      </c>
      <c r="H102" s="25">
        <v>0</v>
      </c>
      <c r="I102" s="25">
        <v>0</v>
      </c>
      <c r="J102" s="25">
        <v>0</v>
      </c>
      <c r="K102" s="25">
        <v>0</v>
      </c>
      <c r="L102" s="3">
        <f t="shared" si="10"/>
        <v>0.4</v>
      </c>
      <c r="M102" s="26" t="str">
        <f t="shared" si="11"/>
        <v>sedang</v>
      </c>
      <c r="N102" s="3">
        <f t="shared" si="12"/>
        <v>1</v>
      </c>
      <c r="O102" s="26" t="str">
        <f t="shared" si="13"/>
        <v>soal diterima baik</v>
      </c>
      <c r="P102" s="33"/>
      <c r="Q102" s="26">
        <v>97</v>
      </c>
      <c r="R102" s="25">
        <f t="shared" si="18"/>
        <v>1</v>
      </c>
      <c r="S102" s="25">
        <f t="shared" si="18"/>
        <v>1</v>
      </c>
      <c r="T102" s="25">
        <f t="shared" si="18"/>
        <v>1</v>
      </c>
      <c r="U102" s="25">
        <f t="shared" si="18"/>
        <v>1</v>
      </c>
      <c r="V102" s="25">
        <f t="shared" si="18"/>
        <v>0</v>
      </c>
      <c r="W102" s="25">
        <f t="shared" si="14"/>
        <v>0</v>
      </c>
      <c r="X102" s="25">
        <f t="shared" si="14"/>
        <v>0</v>
      </c>
      <c r="Y102" s="25">
        <f t="shared" si="14"/>
        <v>0</v>
      </c>
      <c r="Z102" s="25">
        <f t="shared" si="14"/>
        <v>0</v>
      </c>
      <c r="AA102" s="25">
        <f t="shared" si="14"/>
        <v>0</v>
      </c>
      <c r="AB102" s="3">
        <f t="shared" si="15"/>
        <v>0.4</v>
      </c>
      <c r="AC102" s="3">
        <f t="shared" si="16"/>
        <v>0.6</v>
      </c>
      <c r="AD102" s="3">
        <f t="shared" si="17"/>
        <v>0.24</v>
      </c>
      <c r="AE102" s="33"/>
    </row>
    <row r="103" spans="1:31" x14ac:dyDescent="0.3">
      <c r="A103" s="63" t="s">
        <v>229</v>
      </c>
      <c r="B103" s="25">
        <v>1</v>
      </c>
      <c r="C103" s="25">
        <v>1</v>
      </c>
      <c r="D103" s="25">
        <v>1</v>
      </c>
      <c r="E103" s="25">
        <v>1</v>
      </c>
      <c r="F103" s="25">
        <v>0</v>
      </c>
      <c r="G103" s="25">
        <v>1</v>
      </c>
      <c r="H103" s="25">
        <v>0</v>
      </c>
      <c r="I103" s="25">
        <v>1</v>
      </c>
      <c r="J103" s="25">
        <v>1</v>
      </c>
      <c r="K103" s="25">
        <v>1</v>
      </c>
      <c r="L103" s="3">
        <f t="shared" si="10"/>
        <v>0.8</v>
      </c>
      <c r="M103" s="26" t="str">
        <f t="shared" si="11"/>
        <v>mudah</v>
      </c>
      <c r="N103" s="3">
        <f t="shared" si="12"/>
        <v>0.5</v>
      </c>
      <c r="O103" s="26" t="str">
        <f t="shared" si="13"/>
        <v>soal diterima baik</v>
      </c>
      <c r="P103" s="33"/>
      <c r="Q103" s="26">
        <v>98</v>
      </c>
      <c r="R103" s="25">
        <f t="shared" si="18"/>
        <v>1</v>
      </c>
      <c r="S103" s="25">
        <f t="shared" si="18"/>
        <v>1</v>
      </c>
      <c r="T103" s="25">
        <f t="shared" si="18"/>
        <v>1</v>
      </c>
      <c r="U103" s="25">
        <f t="shared" si="18"/>
        <v>1</v>
      </c>
      <c r="V103" s="25">
        <f t="shared" si="18"/>
        <v>0</v>
      </c>
      <c r="W103" s="25">
        <f t="shared" si="14"/>
        <v>0</v>
      </c>
      <c r="X103" s="25">
        <f t="shared" si="14"/>
        <v>0</v>
      </c>
      <c r="Y103" s="25">
        <f t="shared" si="14"/>
        <v>0</v>
      </c>
      <c r="Z103" s="25">
        <f t="shared" si="14"/>
        <v>0</v>
      </c>
      <c r="AA103" s="25">
        <f t="shared" si="14"/>
        <v>0</v>
      </c>
      <c r="AB103" s="3">
        <f t="shared" si="15"/>
        <v>0.4</v>
      </c>
      <c r="AC103" s="3">
        <f t="shared" si="16"/>
        <v>0.6</v>
      </c>
      <c r="AD103" s="3">
        <f t="shared" si="17"/>
        <v>0.24</v>
      </c>
      <c r="AE103" s="33"/>
    </row>
    <row r="104" spans="1:31" ht="28" x14ac:dyDescent="0.3">
      <c r="A104" s="63" t="s">
        <v>230</v>
      </c>
      <c r="B104" s="25">
        <v>0</v>
      </c>
      <c r="C104" s="25">
        <v>0</v>
      </c>
      <c r="D104" s="25">
        <v>1</v>
      </c>
      <c r="E104" s="25">
        <v>1</v>
      </c>
      <c r="F104" s="25">
        <v>0</v>
      </c>
      <c r="G104" s="25">
        <v>1</v>
      </c>
      <c r="H104" s="25">
        <v>0</v>
      </c>
      <c r="I104" s="25">
        <v>0</v>
      </c>
      <c r="J104" s="25">
        <v>0</v>
      </c>
      <c r="K104" s="25">
        <v>1</v>
      </c>
      <c r="L104" s="3">
        <f t="shared" si="10"/>
        <v>0.4</v>
      </c>
      <c r="M104" s="26" t="str">
        <f t="shared" si="11"/>
        <v>sedang</v>
      </c>
      <c r="N104" s="3">
        <f t="shared" si="12"/>
        <v>0.5</v>
      </c>
      <c r="O104" s="26" t="str">
        <f t="shared" si="13"/>
        <v>soal diterima baik</v>
      </c>
      <c r="P104" s="33"/>
      <c r="Q104" s="26">
        <v>99</v>
      </c>
      <c r="R104" s="25">
        <f t="shared" si="18"/>
        <v>1</v>
      </c>
      <c r="S104" s="25">
        <f t="shared" si="18"/>
        <v>1</v>
      </c>
      <c r="T104" s="25">
        <f t="shared" si="18"/>
        <v>1</v>
      </c>
      <c r="U104" s="25">
        <f t="shared" si="18"/>
        <v>1</v>
      </c>
      <c r="V104" s="25">
        <f t="shared" si="18"/>
        <v>0</v>
      </c>
      <c r="W104" s="25">
        <f t="shared" si="14"/>
        <v>1</v>
      </c>
      <c r="X104" s="25">
        <f t="shared" si="14"/>
        <v>0</v>
      </c>
      <c r="Y104" s="25">
        <f t="shared" si="14"/>
        <v>1</v>
      </c>
      <c r="Z104" s="25">
        <f t="shared" si="14"/>
        <v>1</v>
      </c>
      <c r="AA104" s="25">
        <f t="shared" si="14"/>
        <v>1</v>
      </c>
      <c r="AB104" s="3">
        <f t="shared" si="15"/>
        <v>0.8</v>
      </c>
      <c r="AC104" s="3">
        <f t="shared" si="16"/>
        <v>0.19999999999999996</v>
      </c>
      <c r="AD104" s="3">
        <f t="shared" si="17"/>
        <v>0.15999999999999998</v>
      </c>
      <c r="AE104" s="33"/>
    </row>
    <row r="105" spans="1:31" x14ac:dyDescent="0.3">
      <c r="A105" s="37"/>
      <c r="B105" s="32">
        <f>SUM(B5:B104)</f>
        <v>81</v>
      </c>
      <c r="C105" s="32">
        <f>SUM(C5:C104)</f>
        <v>81</v>
      </c>
      <c r="D105" s="32">
        <f>SUM(D5:D104)</f>
        <v>82</v>
      </c>
      <c r="E105" s="32">
        <f t="shared" ref="E105:K105" si="19">SUM(E5:E104)</f>
        <v>82</v>
      </c>
      <c r="F105" s="32">
        <f t="shared" si="19"/>
        <v>20</v>
      </c>
      <c r="G105" s="32">
        <f t="shared" si="19"/>
        <v>53</v>
      </c>
      <c r="H105" s="32">
        <f t="shared" si="19"/>
        <v>20</v>
      </c>
      <c r="I105" s="32">
        <f t="shared" si="19"/>
        <v>24</v>
      </c>
      <c r="J105" s="32">
        <f t="shared" si="19"/>
        <v>24</v>
      </c>
      <c r="K105" s="32">
        <f t="shared" si="19"/>
        <v>53</v>
      </c>
      <c r="L105" s="33"/>
      <c r="M105" s="33"/>
      <c r="N105" s="33"/>
      <c r="O105" s="34">
        <f>COUNTIF(O5:O104,"soal dibuang")</f>
        <v>0</v>
      </c>
      <c r="P105" s="33"/>
      <c r="Q105" s="26">
        <v>100</v>
      </c>
      <c r="R105" s="25">
        <f t="shared" si="18"/>
        <v>0</v>
      </c>
      <c r="S105" s="25">
        <f t="shared" si="18"/>
        <v>0</v>
      </c>
      <c r="T105" s="25">
        <f t="shared" si="18"/>
        <v>1</v>
      </c>
      <c r="U105" s="25">
        <f t="shared" si="18"/>
        <v>1</v>
      </c>
      <c r="V105" s="25">
        <f t="shared" si="18"/>
        <v>0</v>
      </c>
      <c r="W105" s="25">
        <f t="shared" si="14"/>
        <v>1</v>
      </c>
      <c r="X105" s="25">
        <f t="shared" si="14"/>
        <v>0</v>
      </c>
      <c r="Y105" s="25">
        <f t="shared" si="14"/>
        <v>0</v>
      </c>
      <c r="Z105" s="25">
        <f t="shared" si="14"/>
        <v>0</v>
      </c>
      <c r="AA105" s="25">
        <f t="shared" si="14"/>
        <v>1</v>
      </c>
      <c r="AB105" s="3">
        <f>SUM(R105:AA105)/COUNT(R105:AA105)</f>
        <v>0.4</v>
      </c>
      <c r="AC105" s="3">
        <f t="shared" si="16"/>
        <v>0.6</v>
      </c>
      <c r="AD105" s="3">
        <f t="shared" si="17"/>
        <v>0.24</v>
      </c>
      <c r="AE105" s="33"/>
    </row>
    <row r="106" spans="1:31" ht="28" x14ac:dyDescent="0.3">
      <c r="A106" s="37"/>
      <c r="B106" s="35" t="s">
        <v>105</v>
      </c>
      <c r="C106" s="35" t="s">
        <v>105</v>
      </c>
      <c r="D106" s="35" t="s">
        <v>105</v>
      </c>
      <c r="E106" s="35" t="s">
        <v>105</v>
      </c>
      <c r="F106" s="35" t="s">
        <v>105</v>
      </c>
      <c r="G106" s="32" t="s">
        <v>104</v>
      </c>
      <c r="H106" s="35" t="s">
        <v>104</v>
      </c>
      <c r="I106" s="35" t="s">
        <v>104</v>
      </c>
      <c r="J106" s="35" t="s">
        <v>104</v>
      </c>
      <c r="K106" s="32" t="s">
        <v>104</v>
      </c>
      <c r="L106" s="33"/>
      <c r="M106" s="45">
        <f>COUNTIF(M5:M104,"mudah")</f>
        <v>18</v>
      </c>
      <c r="N106" s="33"/>
      <c r="O106" s="33"/>
      <c r="P106" s="33"/>
      <c r="Q106" s="20" t="s">
        <v>112</v>
      </c>
      <c r="R106" s="36">
        <f>SUM(R6:R105)</f>
        <v>81</v>
      </c>
      <c r="S106" s="36">
        <f t="shared" ref="S106:AA106" si="20">SUM(S6:S105)</f>
        <v>81</v>
      </c>
      <c r="T106" s="36">
        <f t="shared" si="20"/>
        <v>82</v>
      </c>
      <c r="U106" s="36">
        <f t="shared" si="20"/>
        <v>82</v>
      </c>
      <c r="V106" s="36">
        <f t="shared" si="20"/>
        <v>20</v>
      </c>
      <c r="W106" s="36">
        <f t="shared" si="20"/>
        <v>53</v>
      </c>
      <c r="X106" s="36">
        <f t="shared" si="20"/>
        <v>20</v>
      </c>
      <c r="Y106" s="36">
        <f t="shared" si="20"/>
        <v>24</v>
      </c>
      <c r="Z106" s="36">
        <f t="shared" si="20"/>
        <v>24</v>
      </c>
      <c r="AA106" s="36">
        <f t="shared" si="20"/>
        <v>53</v>
      </c>
      <c r="AB106" s="64"/>
      <c r="AC106" s="64"/>
      <c r="AD106" s="14">
        <f>SUM(AD6:AD105)</f>
        <v>21.759999999999987</v>
      </c>
      <c r="AE106" s="64" t="s">
        <v>111</v>
      </c>
    </row>
    <row r="107" spans="1:31" x14ac:dyDescent="0.3">
      <c r="A107" s="37"/>
      <c r="B107" s="37"/>
      <c r="C107" s="37"/>
      <c r="D107" s="37"/>
      <c r="E107" s="37"/>
      <c r="F107" s="37"/>
      <c r="G107" s="37"/>
      <c r="H107" s="37"/>
      <c r="I107" s="37"/>
      <c r="J107" s="37"/>
      <c r="K107" s="37"/>
      <c r="L107" s="33"/>
      <c r="M107" s="45">
        <f>COUNTIF(M5:M104,"sedang")</f>
        <v>72</v>
      </c>
      <c r="N107" s="33"/>
      <c r="O107" s="33"/>
      <c r="P107" s="33"/>
      <c r="Q107" s="20" t="s">
        <v>113</v>
      </c>
      <c r="R107" s="36">
        <f>SUM(R106:AA106)</f>
        <v>520</v>
      </c>
      <c r="S107" s="36"/>
      <c r="T107" s="36"/>
      <c r="U107" s="36"/>
      <c r="V107" s="36"/>
      <c r="W107" s="36"/>
      <c r="X107" s="36"/>
      <c r="Y107" s="36"/>
      <c r="Z107" s="36"/>
      <c r="AA107" s="36"/>
      <c r="AB107" s="64"/>
      <c r="AC107" s="64"/>
      <c r="AD107" s="64"/>
      <c r="AE107" s="64"/>
    </row>
    <row r="108" spans="1:31" ht="27.75" customHeight="1" x14ac:dyDescent="0.3">
      <c r="A108" s="46"/>
      <c r="B108" s="110" t="s">
        <v>630</v>
      </c>
      <c r="C108" s="110"/>
      <c r="D108" s="110"/>
      <c r="E108" s="25">
        <v>40</v>
      </c>
      <c r="F108" s="37"/>
      <c r="G108" s="37"/>
      <c r="H108" s="37"/>
      <c r="I108" s="37"/>
      <c r="J108" s="37"/>
      <c r="K108" s="37"/>
      <c r="L108" s="33"/>
      <c r="M108" s="33">
        <f>100-M106-M107</f>
        <v>10</v>
      </c>
      <c r="N108" s="33"/>
      <c r="O108" s="33"/>
      <c r="P108" s="33"/>
      <c r="Q108" s="20" t="s">
        <v>114</v>
      </c>
      <c r="R108" s="36">
        <f>$R$107/10</f>
        <v>52</v>
      </c>
      <c r="S108" s="36">
        <f t="shared" ref="S108:AA108" si="21">$R$108/10</f>
        <v>5.2</v>
      </c>
      <c r="T108" s="36">
        <f t="shared" si="21"/>
        <v>5.2</v>
      </c>
      <c r="U108" s="36">
        <f t="shared" si="21"/>
        <v>5.2</v>
      </c>
      <c r="V108" s="36">
        <f t="shared" si="21"/>
        <v>5.2</v>
      </c>
      <c r="W108" s="36">
        <f t="shared" si="21"/>
        <v>5.2</v>
      </c>
      <c r="X108" s="36">
        <f>$R$107/10</f>
        <v>52</v>
      </c>
      <c r="Y108" s="36">
        <f t="shared" si="21"/>
        <v>5.2</v>
      </c>
      <c r="Z108" s="36">
        <f t="shared" si="21"/>
        <v>5.2</v>
      </c>
      <c r="AA108" s="36">
        <f t="shared" si="21"/>
        <v>5.2</v>
      </c>
      <c r="AB108" s="64"/>
      <c r="AC108" s="64"/>
      <c r="AD108" s="64"/>
      <c r="AE108" s="64"/>
    </row>
    <row r="109" spans="1:31" ht="27.75" customHeight="1" x14ac:dyDescent="0.3">
      <c r="A109" s="47"/>
      <c r="B109" s="110" t="s">
        <v>631</v>
      </c>
      <c r="C109" s="110"/>
      <c r="D109" s="110"/>
      <c r="E109" s="25">
        <v>30</v>
      </c>
      <c r="F109" s="37"/>
      <c r="G109" s="37"/>
      <c r="H109" s="37"/>
      <c r="I109" s="37"/>
      <c r="J109" s="37"/>
      <c r="K109" s="37"/>
      <c r="L109" s="33"/>
      <c r="M109" s="33"/>
      <c r="N109" s="33"/>
      <c r="O109" s="33"/>
      <c r="P109" s="33"/>
      <c r="Q109" s="20" t="s">
        <v>115</v>
      </c>
      <c r="R109" s="10">
        <f>R106-R108</f>
        <v>29</v>
      </c>
      <c r="S109" s="10">
        <f t="shared" ref="S109:AA109" si="22">S106-S108</f>
        <v>75.8</v>
      </c>
      <c r="T109" s="10">
        <f t="shared" si="22"/>
        <v>76.8</v>
      </c>
      <c r="U109" s="10">
        <f t="shared" si="22"/>
        <v>76.8</v>
      </c>
      <c r="V109" s="10">
        <f t="shared" si="22"/>
        <v>14.8</v>
      </c>
      <c r="W109" s="10">
        <f t="shared" si="22"/>
        <v>47.8</v>
      </c>
      <c r="X109" s="10">
        <f t="shared" si="22"/>
        <v>-32</v>
      </c>
      <c r="Y109" s="10">
        <f t="shared" si="22"/>
        <v>18.8</v>
      </c>
      <c r="Z109" s="10">
        <f t="shared" si="22"/>
        <v>18.8</v>
      </c>
      <c r="AA109" s="10">
        <f t="shared" si="22"/>
        <v>47.8</v>
      </c>
      <c r="AB109" s="64"/>
      <c r="AC109" s="64"/>
      <c r="AD109" s="64"/>
      <c r="AE109" s="64"/>
    </row>
    <row r="110" spans="1:31" ht="27.75" customHeight="1" x14ac:dyDescent="0.3">
      <c r="A110" s="48"/>
      <c r="B110" s="110" t="s">
        <v>632</v>
      </c>
      <c r="C110" s="110"/>
      <c r="D110" s="110"/>
      <c r="E110" s="25">
        <v>30</v>
      </c>
      <c r="F110" s="37"/>
      <c r="G110" s="37"/>
      <c r="H110" s="37"/>
      <c r="I110" s="37"/>
      <c r="J110" s="37"/>
      <c r="K110" s="37"/>
      <c r="L110" s="33"/>
      <c r="M110" s="33"/>
      <c r="N110" s="33"/>
      <c r="O110" s="33"/>
      <c r="P110" s="33"/>
      <c r="Q110" s="20" t="s">
        <v>116</v>
      </c>
      <c r="R110" s="11">
        <f>R109^2</f>
        <v>841</v>
      </c>
      <c r="S110" s="11">
        <f t="shared" ref="S110:AA110" si="23">S109^2</f>
        <v>5745.6399999999994</v>
      </c>
      <c r="T110" s="11">
        <f t="shared" si="23"/>
        <v>5898.24</v>
      </c>
      <c r="U110" s="11">
        <f t="shared" si="23"/>
        <v>5898.24</v>
      </c>
      <c r="V110" s="11">
        <f t="shared" si="23"/>
        <v>219.04000000000002</v>
      </c>
      <c r="W110" s="11">
        <f t="shared" si="23"/>
        <v>2284.8399999999997</v>
      </c>
      <c r="X110" s="11">
        <f t="shared" si="23"/>
        <v>1024</v>
      </c>
      <c r="Y110" s="11">
        <f t="shared" si="23"/>
        <v>353.44000000000005</v>
      </c>
      <c r="Z110" s="11">
        <f t="shared" si="23"/>
        <v>353.44000000000005</v>
      </c>
      <c r="AA110" s="11">
        <f t="shared" si="23"/>
        <v>2284.8399999999997</v>
      </c>
      <c r="AB110" s="64"/>
      <c r="AC110" s="64"/>
      <c r="AD110" s="64"/>
      <c r="AE110" s="64"/>
    </row>
    <row r="111" spans="1:31" x14ac:dyDescent="0.3">
      <c r="A111" s="37"/>
      <c r="B111" s="37"/>
      <c r="C111" s="37"/>
      <c r="D111" s="37"/>
      <c r="E111" s="37"/>
      <c r="F111" s="37"/>
      <c r="G111" s="37"/>
      <c r="H111" s="37"/>
      <c r="I111" s="37"/>
      <c r="J111" s="37"/>
      <c r="K111" s="37"/>
      <c r="L111" s="33"/>
      <c r="M111" s="33"/>
      <c r="N111" s="33"/>
      <c r="O111" s="33"/>
      <c r="P111" s="33"/>
      <c r="Q111" s="20" t="s">
        <v>117</v>
      </c>
      <c r="R111" s="10">
        <f>SUM(R110:AA110)/10</f>
        <v>2490.2719999999999</v>
      </c>
      <c r="S111" s="36"/>
      <c r="T111" s="36"/>
      <c r="U111" s="36"/>
      <c r="V111" s="36"/>
      <c r="W111" s="36"/>
      <c r="X111" s="36"/>
      <c r="Y111" s="36"/>
      <c r="Z111" s="36"/>
      <c r="AA111" s="36"/>
      <c r="AB111" s="64"/>
      <c r="AC111" s="64"/>
      <c r="AD111" s="64"/>
      <c r="AE111" s="64"/>
    </row>
    <row r="112" spans="1:31" x14ac:dyDescent="0.3">
      <c r="A112" s="37"/>
      <c r="B112" s="37"/>
      <c r="C112" s="37"/>
      <c r="D112" s="37"/>
      <c r="E112" s="37"/>
      <c r="F112" s="37"/>
      <c r="G112" s="37"/>
      <c r="H112" s="37"/>
      <c r="I112" s="37"/>
      <c r="J112" s="37"/>
      <c r="K112" s="37"/>
      <c r="L112" s="33"/>
      <c r="M112" s="33"/>
      <c r="N112" s="33"/>
      <c r="O112" s="33"/>
      <c r="P112" s="33"/>
      <c r="Q112" s="20" t="s">
        <v>118</v>
      </c>
      <c r="R112" s="10">
        <f>SQRT(R111)</f>
        <v>49.902625181447114</v>
      </c>
      <c r="S112" s="36"/>
      <c r="T112" s="36"/>
      <c r="U112" s="36"/>
      <c r="V112" s="36"/>
      <c r="W112" s="36"/>
      <c r="X112" s="36"/>
      <c r="Y112" s="36"/>
      <c r="Z112" s="36"/>
      <c r="AA112" s="36"/>
      <c r="AB112" s="64"/>
      <c r="AC112" s="64"/>
      <c r="AD112" s="64"/>
      <c r="AE112" s="64"/>
    </row>
    <row r="113" spans="1:31" x14ac:dyDescent="0.3">
      <c r="A113" s="37"/>
      <c r="B113" s="37"/>
      <c r="C113" s="37"/>
      <c r="D113" s="37"/>
      <c r="E113" s="37"/>
      <c r="F113" s="37"/>
      <c r="G113" s="37"/>
      <c r="H113" s="37"/>
      <c r="I113" s="37"/>
      <c r="J113" s="37"/>
      <c r="K113" s="37"/>
      <c r="L113" s="33"/>
      <c r="M113" s="33"/>
      <c r="N113" s="33"/>
      <c r="O113" s="33"/>
      <c r="P113" s="33"/>
      <c r="Q113" s="41" t="s">
        <v>106</v>
      </c>
      <c r="R113" s="42">
        <f>100/(100-1)*(1-AD106/R111)</f>
        <v>1.0012747461508078</v>
      </c>
      <c r="S113" s="43" t="s">
        <v>119</v>
      </c>
      <c r="T113" s="36"/>
      <c r="U113" s="36"/>
      <c r="V113" s="36"/>
      <c r="W113" s="36"/>
      <c r="X113" s="36"/>
      <c r="Y113" s="36"/>
      <c r="Z113" s="36"/>
      <c r="AA113" s="36"/>
      <c r="AB113" s="64"/>
      <c r="AC113" s="64"/>
      <c r="AD113" s="64"/>
      <c r="AE113" s="64"/>
    </row>
  </sheetData>
  <mergeCells count="15">
    <mergeCell ref="B110:D110"/>
    <mergeCell ref="A1:O1"/>
    <mergeCell ref="Q4:Q5"/>
    <mergeCell ref="R4:AA4"/>
    <mergeCell ref="B3:K3"/>
    <mergeCell ref="A3:A4"/>
    <mergeCell ref="L3:L4"/>
    <mergeCell ref="M3:M4"/>
    <mergeCell ref="N3:N4"/>
    <mergeCell ref="O3:O4"/>
    <mergeCell ref="AB4:AB5"/>
    <mergeCell ref="AC4:AC5"/>
    <mergeCell ref="AD4:AD5"/>
    <mergeCell ref="B108:D108"/>
    <mergeCell ref="B109:D109"/>
  </mergeCells>
  <conditionalFormatting sqref="M5:M104 M106:M107 M3:O3 Q3">
    <cfRule type="containsText" dxfId="45" priority="4" operator="containsText" text="sedang">
      <formula>NOT(ISERROR(SEARCH("sedang",M3)))</formula>
    </cfRule>
  </conditionalFormatting>
  <conditionalFormatting sqref="M5:M104 M106:M107">
    <cfRule type="containsText" dxfId="44" priority="3" operator="containsText" text="sukar">
      <formula>NOT(ISERROR(SEARCH("sukar",M5)))</formula>
    </cfRule>
  </conditionalFormatting>
  <conditionalFormatting sqref="M3:O3 Q3 M5:M104 M106:M107">
    <cfRule type="containsText" dxfId="43" priority="5" operator="containsText" text="mudah">
      <formula>NOT(ISERROR(SEARCH("mudah",M3)))</formula>
    </cfRule>
  </conditionalFormatting>
  <conditionalFormatting sqref="O5:O106">
    <cfRule type="containsText" dxfId="42" priority="2" operator="containsText" text="soal dibuang">
      <formula>NOT(ISERROR(SEARCH("soal dibuang",O5)))</formula>
    </cfRule>
  </conditionalFormatting>
  <pageMargins left="0.26" right="0.28000000000000003" top="0.47244094488188981" bottom="0.36" header="0.31496062992125984" footer="0.27"/>
  <pageSetup paperSize="9" scale="70"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8168C-3B3D-417E-8A9A-7AD2721F06CF}">
  <dimension ref="A1:AC112"/>
  <sheetViews>
    <sheetView view="pageBreakPreview" topLeftCell="H1" zoomScale="48" zoomScaleNormal="48" zoomScaleSheetLayoutView="48" workbookViewId="0">
      <selection activeCell="L21" sqref="L21"/>
    </sheetView>
  </sheetViews>
  <sheetFormatPr defaultRowHeight="14.5" x14ac:dyDescent="0.35"/>
  <cols>
    <col min="1" max="1" width="34.81640625" customWidth="1"/>
    <col min="2" max="11" width="5.7265625" style="1" customWidth="1"/>
    <col min="12" max="12" width="5.36328125" style="1" bestFit="1" customWidth="1"/>
    <col min="13" max="13" width="5.453125" bestFit="1" customWidth="1"/>
    <col min="14" max="14" width="11.26953125" customWidth="1"/>
    <col min="15" max="15" width="5.81640625" customWidth="1"/>
    <col min="16" max="16" width="8.36328125" customWidth="1"/>
    <col min="17" max="17" width="8" customWidth="1"/>
    <col min="18" max="18" width="10.36328125" customWidth="1"/>
    <col min="19" max="19" width="8.81640625" customWidth="1"/>
    <col min="20" max="20" width="7.7265625" customWidth="1"/>
    <col min="21" max="21" width="7.453125" customWidth="1"/>
    <col min="22" max="22" width="6.08984375" bestFit="1" customWidth="1"/>
    <col min="23" max="23" width="6.1796875" bestFit="1" customWidth="1"/>
    <col min="24" max="24" width="7.81640625" customWidth="1"/>
    <col min="25" max="25" width="9.08984375" customWidth="1"/>
    <col min="26" max="26" width="5.54296875" bestFit="1" customWidth="1"/>
    <col min="27" max="27" width="10.6328125" customWidth="1"/>
    <col min="28" max="28" width="12.26953125" style="1" customWidth="1"/>
    <col min="29" max="29" width="35.1796875" customWidth="1"/>
  </cols>
  <sheetData>
    <row r="1" spans="1:29" ht="15.5" x14ac:dyDescent="0.35">
      <c r="A1" s="122" t="s">
        <v>800</v>
      </c>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row>
    <row r="2" spans="1:29" x14ac:dyDescent="0.35">
      <c r="A2" s="76"/>
      <c r="B2" s="77"/>
      <c r="C2" s="77"/>
      <c r="D2" s="77"/>
      <c r="E2" s="77"/>
      <c r="F2" s="77"/>
      <c r="G2" s="77"/>
      <c r="H2" s="77"/>
      <c r="I2" s="77"/>
      <c r="J2" s="77"/>
      <c r="K2" s="77"/>
      <c r="L2" s="77"/>
      <c r="M2" s="76"/>
      <c r="N2" s="76"/>
      <c r="O2" s="76"/>
      <c r="P2" s="76"/>
      <c r="Q2" s="76"/>
      <c r="R2" s="76"/>
      <c r="S2" s="76"/>
      <c r="T2" s="76"/>
      <c r="U2" s="76"/>
      <c r="V2" s="76"/>
      <c r="W2" s="76"/>
      <c r="X2" s="76"/>
      <c r="Y2" s="76"/>
      <c r="Z2" s="76"/>
      <c r="AA2" s="76"/>
      <c r="AB2" s="77"/>
      <c r="AC2" s="76"/>
    </row>
    <row r="3" spans="1:29" ht="14.5" customHeight="1" x14ac:dyDescent="0.35">
      <c r="A3" s="79" t="s">
        <v>759</v>
      </c>
      <c r="B3" s="87">
        <v>0.5</v>
      </c>
      <c r="C3" s="86"/>
      <c r="D3" s="86"/>
      <c r="E3" s="86"/>
      <c r="F3" s="86"/>
      <c r="G3" s="86"/>
      <c r="H3" s="86"/>
      <c r="I3" s="86"/>
      <c r="J3" s="93" t="s">
        <v>763</v>
      </c>
      <c r="K3" s="93"/>
      <c r="L3" s="93"/>
      <c r="M3" s="93"/>
      <c r="N3" s="92"/>
      <c r="O3" s="91"/>
      <c r="P3" s="127" t="s">
        <v>767</v>
      </c>
      <c r="Q3" s="127"/>
      <c r="R3" s="127"/>
      <c r="S3" s="127"/>
      <c r="T3" s="91"/>
      <c r="U3" s="76"/>
      <c r="V3" s="76"/>
      <c r="W3" s="76"/>
      <c r="X3" s="76"/>
      <c r="Y3" s="76"/>
      <c r="Z3" s="76"/>
      <c r="AA3" s="76"/>
      <c r="AB3" s="77"/>
      <c r="AC3" s="76"/>
    </row>
    <row r="4" spans="1:29" ht="14.5" customHeight="1" x14ac:dyDescent="0.35">
      <c r="A4" s="79" t="s">
        <v>760</v>
      </c>
      <c r="B4" s="87">
        <v>1</v>
      </c>
      <c r="C4" s="86"/>
      <c r="D4" s="86"/>
      <c r="E4" s="86"/>
      <c r="F4" s="86"/>
      <c r="G4" s="86"/>
      <c r="H4" s="86"/>
      <c r="I4" s="86"/>
      <c r="J4" s="85"/>
      <c r="K4" s="120" t="s">
        <v>764</v>
      </c>
      <c r="L4" s="120"/>
      <c r="M4" s="120"/>
      <c r="N4" s="90">
        <f>COUNTIF($AA$11:$AA$110,"DIF Besar - review")</f>
        <v>0</v>
      </c>
      <c r="O4" s="81"/>
      <c r="P4" s="119" t="s">
        <v>768</v>
      </c>
      <c r="Q4" s="119"/>
      <c r="R4" s="119"/>
      <c r="S4" s="89"/>
      <c r="T4" s="88">
        <f>COUNTIF($AB$11:$AB$110,"Berpotensi Bias - Tinjau Konten")</f>
        <v>0</v>
      </c>
      <c r="U4" s="76"/>
      <c r="V4" s="76"/>
      <c r="W4" s="76"/>
      <c r="X4" s="76"/>
      <c r="Y4" s="76"/>
      <c r="Z4" s="76"/>
      <c r="AA4" s="76"/>
      <c r="AB4" s="77"/>
      <c r="AC4" s="76"/>
    </row>
    <row r="5" spans="1:29" ht="14.5" customHeight="1" x14ac:dyDescent="0.35">
      <c r="A5" s="79" t="s">
        <v>761</v>
      </c>
      <c r="B5" s="87">
        <v>2</v>
      </c>
      <c r="C5" s="86"/>
      <c r="D5" s="86"/>
      <c r="E5" s="86"/>
      <c r="F5" s="86"/>
      <c r="G5" s="86"/>
      <c r="H5" s="86"/>
      <c r="I5" s="86"/>
      <c r="J5" s="85"/>
      <c r="K5" s="120" t="s">
        <v>765</v>
      </c>
      <c r="L5" s="120"/>
      <c r="M5" s="120"/>
      <c r="N5" s="84">
        <f>COUNTIF($AA$11:$AA$110,"DIF Moderat - cek")</f>
        <v>0</v>
      </c>
      <c r="O5" s="81"/>
      <c r="P5" s="119" t="s">
        <v>769</v>
      </c>
      <c r="Q5" s="119"/>
      <c r="R5" s="119"/>
      <c r="S5" s="119"/>
      <c r="T5" s="84">
        <f>COUNTIF($AB$11:$AB$110,"Indikasi Ringan - Pantau")</f>
        <v>0</v>
      </c>
      <c r="U5" s="76"/>
      <c r="V5" s="76"/>
      <c r="W5" s="76"/>
      <c r="X5" s="76"/>
      <c r="Y5" s="76"/>
      <c r="Z5" s="76"/>
      <c r="AA5" s="76"/>
      <c r="AB5" s="77"/>
      <c r="AC5" s="76"/>
    </row>
    <row r="6" spans="1:29" ht="14.5" customHeight="1" x14ac:dyDescent="0.35">
      <c r="A6" s="79" t="s">
        <v>762</v>
      </c>
      <c r="B6" s="83">
        <f>_xlfn.AGGREGATE(14,6,ABS(X11:X110),1)</f>
        <v>0</v>
      </c>
      <c r="C6" s="78"/>
      <c r="D6" s="78"/>
      <c r="E6" s="78"/>
      <c r="F6" s="78"/>
      <c r="G6" s="78"/>
      <c r="H6" s="78"/>
      <c r="I6" s="78"/>
      <c r="J6" s="82"/>
      <c r="K6" s="120" t="s">
        <v>766</v>
      </c>
      <c r="L6" s="120"/>
      <c r="M6" s="120"/>
      <c r="N6" s="80">
        <f>COUNTIF($AA$11:$AA$110,"Negligible")</f>
        <v>100</v>
      </c>
      <c r="O6" s="81"/>
      <c r="P6" s="119" t="s">
        <v>770</v>
      </c>
      <c r="Q6" s="119"/>
      <c r="R6" s="119"/>
      <c r="S6" s="119"/>
      <c r="T6" s="80">
        <f>COUNTIF($AB$11:$AB$110,"Tidak Ada Indikasi Bias")</f>
        <v>100</v>
      </c>
      <c r="U6" s="76"/>
      <c r="V6" s="76"/>
      <c r="W6" s="76"/>
      <c r="X6" s="76"/>
      <c r="Y6" s="76"/>
      <c r="Z6" s="76"/>
      <c r="AA6" s="76"/>
      <c r="AB6" s="77"/>
      <c r="AC6" s="76"/>
    </row>
    <row r="7" spans="1:29" ht="27" customHeight="1" x14ac:dyDescent="0.35">
      <c r="A7" s="79"/>
      <c r="B7" s="78"/>
      <c r="C7" s="78"/>
      <c r="D7" s="78"/>
      <c r="E7" s="78"/>
      <c r="F7" s="78"/>
      <c r="G7" s="78"/>
      <c r="H7" s="78"/>
      <c r="I7" s="78"/>
      <c r="J7" s="121" t="s">
        <v>803</v>
      </c>
      <c r="K7" s="121"/>
      <c r="L7" s="121"/>
      <c r="M7" s="121"/>
      <c r="N7" s="121"/>
      <c r="O7" s="121"/>
      <c r="P7" s="121"/>
      <c r="Q7" s="121"/>
      <c r="R7" s="121"/>
      <c r="S7" s="121"/>
      <c r="T7" s="121"/>
      <c r="U7" s="121"/>
      <c r="V7" s="121"/>
      <c r="W7" s="121"/>
      <c r="X7" s="121"/>
      <c r="Y7" s="121"/>
      <c r="Z7" s="121"/>
      <c r="AA7" s="121"/>
      <c r="AB7" s="77"/>
      <c r="AC7" s="76"/>
    </row>
    <row r="8" spans="1:29" s="73" customFormat="1" ht="27.5" customHeight="1" x14ac:dyDescent="0.35">
      <c r="A8" s="75" t="s">
        <v>756</v>
      </c>
      <c r="B8" s="74" t="str">
        <f>LAD!B2</f>
        <v>Perempuan</v>
      </c>
      <c r="C8" s="74" t="str">
        <f>LAD!C2</f>
        <v>Laki-Laki</v>
      </c>
      <c r="D8" s="74" t="str">
        <f>LAD!D2</f>
        <v>Perempuan</v>
      </c>
      <c r="E8" s="74" t="str">
        <f>LAD!E2</f>
        <v>Laki-Laki</v>
      </c>
      <c r="F8" s="74" t="str">
        <f>LAD!F2</f>
        <v>Perempuan</v>
      </c>
      <c r="G8" s="74" t="str">
        <f>LAD!G2</f>
        <v>Perempuan</v>
      </c>
      <c r="H8" s="74" t="str">
        <f>LAD!H2</f>
        <v>Laki-Laki</v>
      </c>
      <c r="I8" s="74" t="str">
        <f>LAD!I2</f>
        <v>Perempuan</v>
      </c>
      <c r="J8" s="74" t="str">
        <f>LAD!J2</f>
        <v>Laki-Laki</v>
      </c>
      <c r="K8" s="74" t="str">
        <f>LAD!K2</f>
        <v>Laki-Laki</v>
      </c>
      <c r="L8" s="74"/>
      <c r="M8" s="74"/>
      <c r="N8" s="74"/>
      <c r="O8" s="74"/>
      <c r="P8" s="74"/>
      <c r="Q8" s="74"/>
      <c r="R8" s="74"/>
      <c r="S8" s="74"/>
      <c r="T8" s="74"/>
      <c r="U8" s="74"/>
      <c r="V8" s="74"/>
      <c r="W8" s="74"/>
      <c r="X8" s="74"/>
      <c r="Y8" s="74"/>
      <c r="Z8" s="74"/>
      <c r="AA8" s="74"/>
      <c r="AB8" s="74"/>
    </row>
    <row r="9" spans="1:29" s="72" customFormat="1" ht="23" customHeight="1" x14ac:dyDescent="0.35">
      <c r="A9" s="117" t="s">
        <v>0</v>
      </c>
      <c r="B9" s="124" t="s">
        <v>633</v>
      </c>
      <c r="C9" s="125"/>
      <c r="D9" s="125"/>
      <c r="E9" s="125"/>
      <c r="F9" s="125"/>
      <c r="G9" s="125"/>
      <c r="H9" s="125"/>
      <c r="I9" s="125"/>
      <c r="J9" s="125"/>
      <c r="K9" s="126"/>
      <c r="L9" s="117" t="s">
        <v>771</v>
      </c>
      <c r="M9" s="117" t="s">
        <v>772</v>
      </c>
      <c r="N9" s="117" t="s">
        <v>773</v>
      </c>
      <c r="O9" s="117" t="s">
        <v>774</v>
      </c>
      <c r="P9" s="117" t="s">
        <v>775</v>
      </c>
      <c r="Q9" s="117" t="s">
        <v>776</v>
      </c>
      <c r="R9" s="117" t="s">
        <v>777</v>
      </c>
      <c r="S9" s="117" t="s">
        <v>778</v>
      </c>
      <c r="T9" s="117" t="s">
        <v>779</v>
      </c>
      <c r="U9" s="117" t="s">
        <v>780</v>
      </c>
      <c r="V9" s="117" t="s">
        <v>781</v>
      </c>
      <c r="W9" s="117" t="s">
        <v>782</v>
      </c>
      <c r="X9" s="117" t="s">
        <v>783</v>
      </c>
      <c r="Y9" s="117" t="s">
        <v>784</v>
      </c>
      <c r="Z9" s="117" t="s">
        <v>785</v>
      </c>
      <c r="AA9" s="117" t="s">
        <v>786</v>
      </c>
      <c r="AB9" s="117" t="s">
        <v>787</v>
      </c>
    </row>
    <row r="10" spans="1:29" s="72" customFormat="1" ht="23" customHeight="1" x14ac:dyDescent="0.35">
      <c r="A10" s="118"/>
      <c r="B10" s="69">
        <v>1</v>
      </c>
      <c r="C10" s="69">
        <v>2</v>
      </c>
      <c r="D10" s="69">
        <v>3</v>
      </c>
      <c r="E10" s="69">
        <v>4</v>
      </c>
      <c r="F10" s="69">
        <v>5</v>
      </c>
      <c r="G10" s="69">
        <v>6</v>
      </c>
      <c r="H10" s="69">
        <v>7</v>
      </c>
      <c r="I10" s="69">
        <v>8</v>
      </c>
      <c r="J10" s="69">
        <v>9</v>
      </c>
      <c r="K10" s="69">
        <v>10</v>
      </c>
      <c r="L10" s="118"/>
      <c r="M10" s="118"/>
      <c r="N10" s="118"/>
      <c r="O10" s="118"/>
      <c r="P10" s="118"/>
      <c r="Q10" s="118"/>
      <c r="R10" s="118"/>
      <c r="S10" s="118"/>
      <c r="T10" s="118"/>
      <c r="U10" s="118"/>
      <c r="V10" s="118"/>
      <c r="W10" s="118"/>
      <c r="X10" s="118"/>
      <c r="Y10" s="118"/>
      <c r="Z10" s="118"/>
      <c r="AA10" s="118"/>
      <c r="AB10" s="118"/>
    </row>
    <row r="11" spans="1:29" ht="25" x14ac:dyDescent="0.35">
      <c r="A11" s="71" t="str">
        <f>LAD!A5</f>
        <v>1. Hal-hal yang mempengaruhi cakupan program audit adalah …</v>
      </c>
      <c r="B11" s="69">
        <f>LAD!B5</f>
        <v>0</v>
      </c>
      <c r="C11" s="69">
        <f>LAD!C5</f>
        <v>0</v>
      </c>
      <c r="D11" s="69">
        <f>LAD!D5</f>
        <v>1</v>
      </c>
      <c r="E11" s="69">
        <f>LAD!E5</f>
        <v>1</v>
      </c>
      <c r="F11" s="69">
        <f>LAD!F5</f>
        <v>1</v>
      </c>
      <c r="G11" s="69">
        <f>LAD!G5</f>
        <v>0</v>
      </c>
      <c r="H11" s="69">
        <f>LAD!H5</f>
        <v>1</v>
      </c>
      <c r="I11" s="69">
        <f>LAD!I5</f>
        <v>1</v>
      </c>
      <c r="J11" s="69">
        <f>LAD!J5</f>
        <v>1</v>
      </c>
      <c r="K11" s="69">
        <f>LAD!K5</f>
        <v>0</v>
      </c>
      <c r="L11" s="69">
        <f t="shared" ref="L11:L42" si="0">COUNTIF($B$8:$K$8,"Laki-Laki")</f>
        <v>5</v>
      </c>
      <c r="M11" s="69">
        <f t="shared" ref="M11:M42" si="1">COUNTIF($B$8:$K$8,"Perempuan")</f>
        <v>5</v>
      </c>
      <c r="N11" s="69">
        <f t="shared" ref="N11:N42" si="2">SUMIF($B$8:$K$8,"Laki-Laki",B11:K11)</f>
        <v>3</v>
      </c>
      <c r="O11" s="69">
        <f t="shared" ref="O11:O42" si="3">SUMIF($B$8:$K$8,"Perempuan",B11:K11)</f>
        <v>3</v>
      </c>
      <c r="P11" s="69">
        <f t="shared" ref="P11:P42" si="4">IF(N11=0,0.3,IF(N11=L11,L11-0.3,N11))</f>
        <v>3</v>
      </c>
      <c r="Q11" s="69">
        <f t="shared" ref="Q11:Q42" si="5">IF(O11=0,0.3,IF(O11=M11,M11-0.3,O11))</f>
        <v>3</v>
      </c>
      <c r="R11" s="70">
        <f t="shared" ref="R11:R42" si="6">LN((L11-P11)/P11)</f>
        <v>-0.40546510810816444</v>
      </c>
      <c r="S11" s="70">
        <f t="shared" ref="S11:S42" si="7">LN((M11-Q11)/Q11)</f>
        <v>-0.40546510810816444</v>
      </c>
      <c r="T11" s="70">
        <f t="shared" ref="T11:T42" si="8">R11-AVERAGE($R$11:$R$110)</f>
        <v>-0.31078016354289972</v>
      </c>
      <c r="U11" s="70">
        <f t="shared" ref="U11:U42" si="9">S11-AVERAGE($S$11:$S$110)</f>
        <v>-0.31078016354289972</v>
      </c>
      <c r="V11" s="70">
        <f t="shared" ref="V11:V42" si="10">SQRT(1/P11+1/(L11-P11))</f>
        <v>0.91287092917527679</v>
      </c>
      <c r="W11" s="70">
        <f t="shared" ref="W11:W42" si="11">SQRT(1/Q11+1/(M11-Q11))</f>
        <v>0.91287092917527679</v>
      </c>
      <c r="X11" s="70">
        <f t="shared" ref="X11:X42" si="12">T11-U11</f>
        <v>0</v>
      </c>
      <c r="Y11" s="70">
        <f t="shared" ref="Y11:Y42" si="13">SQRT(V11^2+W11^2)</f>
        <v>1.2909944487358056</v>
      </c>
      <c r="Z11" s="70">
        <f t="shared" ref="Z11:Z42" si="14">X11/Y11</f>
        <v>0</v>
      </c>
      <c r="AA11" s="69" t="str">
        <f t="shared" ref="AA11:AA42" si="15">IF(AND(ABS(X11)&gt;=$B$4,ABS(Z11)&gt;=$B$5),"DIF Besar - review",IF(AND(ABS(X11)&gt;=$B$3,ABS(Z11)&gt;=$B$5),"DIF Moderat - cek","Negligible"))</f>
        <v>Negligible</v>
      </c>
      <c r="AB11" s="69" t="str">
        <f t="shared" ref="AB11:AB42" si="16">IF(ABS(X11)&gt;=$B$4,"Berpotensi Bias - Tinjau Konten",IF(ABS(X11)&gt;=$B$3,"Indikasi Ringan - Pantau","Tidak Ada Indikasi Bias"))</f>
        <v>Tidak Ada Indikasi Bias</v>
      </c>
    </row>
    <row r="12" spans="1:29" ht="37.5" x14ac:dyDescent="0.35">
      <c r="A12" s="71" t="str">
        <f>LAD!A6</f>
        <v>2. Manakah dari berikut ini yang merupakan manfaat terbesar dari program audit internal bagi suatu organisasi?</v>
      </c>
      <c r="B12" s="69">
        <f>LAD!B6</f>
        <v>1</v>
      </c>
      <c r="C12" s="69">
        <f>LAD!C6</f>
        <v>1</v>
      </c>
      <c r="D12" s="69">
        <f>LAD!D6</f>
        <v>1</v>
      </c>
      <c r="E12" s="69">
        <f>LAD!E6</f>
        <v>1</v>
      </c>
      <c r="F12" s="69">
        <f>LAD!F6</f>
        <v>0</v>
      </c>
      <c r="G12" s="69">
        <f>LAD!G6</f>
        <v>0</v>
      </c>
      <c r="H12" s="69">
        <f>LAD!H6</f>
        <v>0</v>
      </c>
      <c r="I12" s="69">
        <f>LAD!I6</f>
        <v>0</v>
      </c>
      <c r="J12" s="69">
        <f>LAD!J6</f>
        <v>0</v>
      </c>
      <c r="K12" s="69">
        <f>LAD!K6</f>
        <v>0</v>
      </c>
      <c r="L12" s="69">
        <f t="shared" si="0"/>
        <v>5</v>
      </c>
      <c r="M12" s="69">
        <f t="shared" si="1"/>
        <v>5</v>
      </c>
      <c r="N12" s="69">
        <f t="shared" si="2"/>
        <v>2</v>
      </c>
      <c r="O12" s="69">
        <f t="shared" si="3"/>
        <v>2</v>
      </c>
      <c r="P12" s="69">
        <f t="shared" si="4"/>
        <v>2</v>
      </c>
      <c r="Q12" s="69">
        <f t="shared" si="5"/>
        <v>2</v>
      </c>
      <c r="R12" s="70">
        <f t="shared" si="6"/>
        <v>0.40546510810816438</v>
      </c>
      <c r="S12" s="70">
        <f t="shared" si="7"/>
        <v>0.40546510810816438</v>
      </c>
      <c r="T12" s="70">
        <f t="shared" si="8"/>
        <v>0.50015005267342905</v>
      </c>
      <c r="U12" s="70">
        <f t="shared" si="9"/>
        <v>0.50015005267342905</v>
      </c>
      <c r="V12" s="70">
        <f t="shared" si="10"/>
        <v>0.91287092917527679</v>
      </c>
      <c r="W12" s="70">
        <f t="shared" si="11"/>
        <v>0.91287092917527679</v>
      </c>
      <c r="X12" s="70">
        <f t="shared" si="12"/>
        <v>0</v>
      </c>
      <c r="Y12" s="70">
        <f t="shared" si="13"/>
        <v>1.2909944487358056</v>
      </c>
      <c r="Z12" s="70">
        <f t="shared" si="14"/>
        <v>0</v>
      </c>
      <c r="AA12" s="69" t="str">
        <f t="shared" si="15"/>
        <v>Negligible</v>
      </c>
      <c r="AB12" s="69" t="str">
        <f t="shared" si="16"/>
        <v>Tidak Ada Indikasi Bias</v>
      </c>
    </row>
    <row r="13" spans="1:29" ht="37.5" x14ac:dyDescent="0.35">
      <c r="A13" s="71" t="str">
        <f>LAD!A7</f>
        <v>3. Manakah dari berikut ini yang merupakan peran paling mendasar dari fungsi audit?</v>
      </c>
      <c r="B13" s="69">
        <f>LAD!B7</f>
        <v>1</v>
      </c>
      <c r="C13" s="69">
        <f>LAD!C7</f>
        <v>1</v>
      </c>
      <c r="D13" s="69">
        <f>LAD!D7</f>
        <v>1</v>
      </c>
      <c r="E13" s="69">
        <f>LAD!E7</f>
        <v>1</v>
      </c>
      <c r="F13" s="69">
        <f>LAD!F7</f>
        <v>0</v>
      </c>
      <c r="G13" s="69">
        <f>LAD!G7</f>
        <v>0</v>
      </c>
      <c r="H13" s="69">
        <f>LAD!H7</f>
        <v>0</v>
      </c>
      <c r="I13" s="69">
        <f>LAD!I7</f>
        <v>0</v>
      </c>
      <c r="J13" s="69">
        <f>LAD!J7</f>
        <v>0</v>
      </c>
      <c r="K13" s="69">
        <f>LAD!K7</f>
        <v>0</v>
      </c>
      <c r="L13" s="69">
        <f t="shared" si="0"/>
        <v>5</v>
      </c>
      <c r="M13" s="69">
        <f t="shared" si="1"/>
        <v>5</v>
      </c>
      <c r="N13" s="69">
        <f t="shared" si="2"/>
        <v>2</v>
      </c>
      <c r="O13" s="69">
        <f t="shared" si="3"/>
        <v>2</v>
      </c>
      <c r="P13" s="69">
        <f t="shared" si="4"/>
        <v>2</v>
      </c>
      <c r="Q13" s="69">
        <f t="shared" si="5"/>
        <v>2</v>
      </c>
      <c r="R13" s="70">
        <f t="shared" si="6"/>
        <v>0.40546510810816438</v>
      </c>
      <c r="S13" s="70">
        <f t="shared" si="7"/>
        <v>0.40546510810816438</v>
      </c>
      <c r="T13" s="70">
        <f t="shared" si="8"/>
        <v>0.50015005267342905</v>
      </c>
      <c r="U13" s="70">
        <f t="shared" si="9"/>
        <v>0.50015005267342905</v>
      </c>
      <c r="V13" s="70">
        <f t="shared" si="10"/>
        <v>0.91287092917527679</v>
      </c>
      <c r="W13" s="70">
        <f t="shared" si="11"/>
        <v>0.91287092917527679</v>
      </c>
      <c r="X13" s="70">
        <f t="shared" si="12"/>
        <v>0</v>
      </c>
      <c r="Y13" s="70">
        <f t="shared" si="13"/>
        <v>1.2909944487358056</v>
      </c>
      <c r="Z13" s="70">
        <f t="shared" si="14"/>
        <v>0</v>
      </c>
      <c r="AA13" s="69" t="str">
        <f t="shared" si="15"/>
        <v>Negligible</v>
      </c>
      <c r="AB13" s="69" t="str">
        <f t="shared" si="16"/>
        <v>Tidak Ada Indikasi Bias</v>
      </c>
    </row>
    <row r="14" spans="1:29" ht="37.5" x14ac:dyDescent="0.35">
      <c r="A14" s="71" t="str">
        <f>LAD!A8</f>
        <v>4. Personal behavior yang diperlukan untuk menjadi auditor yang ideal, kecuali …</v>
      </c>
      <c r="B14" s="69">
        <f>LAD!B8</f>
        <v>1</v>
      </c>
      <c r="C14" s="69">
        <f>LAD!C8</f>
        <v>1</v>
      </c>
      <c r="D14" s="69">
        <f>LAD!D8</f>
        <v>0</v>
      </c>
      <c r="E14" s="69">
        <f>LAD!E8</f>
        <v>0</v>
      </c>
      <c r="F14" s="69">
        <f>LAD!F8</f>
        <v>0</v>
      </c>
      <c r="G14" s="69">
        <f>LAD!G8</f>
        <v>1</v>
      </c>
      <c r="H14" s="69">
        <f>LAD!H8</f>
        <v>0</v>
      </c>
      <c r="I14" s="69">
        <f>LAD!I8</f>
        <v>0</v>
      </c>
      <c r="J14" s="69">
        <f>LAD!J8</f>
        <v>0</v>
      </c>
      <c r="K14" s="69">
        <f>LAD!K8</f>
        <v>1</v>
      </c>
      <c r="L14" s="69">
        <f t="shared" si="0"/>
        <v>5</v>
      </c>
      <c r="M14" s="69">
        <f t="shared" si="1"/>
        <v>5</v>
      </c>
      <c r="N14" s="69">
        <f t="shared" si="2"/>
        <v>2</v>
      </c>
      <c r="O14" s="69">
        <f t="shared" si="3"/>
        <v>2</v>
      </c>
      <c r="P14" s="69">
        <f t="shared" si="4"/>
        <v>2</v>
      </c>
      <c r="Q14" s="69">
        <f t="shared" si="5"/>
        <v>2</v>
      </c>
      <c r="R14" s="70">
        <f t="shared" si="6"/>
        <v>0.40546510810816438</v>
      </c>
      <c r="S14" s="70">
        <f t="shared" si="7"/>
        <v>0.40546510810816438</v>
      </c>
      <c r="T14" s="70">
        <f t="shared" si="8"/>
        <v>0.50015005267342905</v>
      </c>
      <c r="U14" s="70">
        <f t="shared" si="9"/>
        <v>0.50015005267342905</v>
      </c>
      <c r="V14" s="70">
        <f t="shared" si="10"/>
        <v>0.91287092917527679</v>
      </c>
      <c r="W14" s="70">
        <f t="shared" si="11"/>
        <v>0.91287092917527679</v>
      </c>
      <c r="X14" s="70">
        <f t="shared" si="12"/>
        <v>0</v>
      </c>
      <c r="Y14" s="70">
        <f t="shared" si="13"/>
        <v>1.2909944487358056</v>
      </c>
      <c r="Z14" s="70">
        <f t="shared" si="14"/>
        <v>0</v>
      </c>
      <c r="AA14" s="69" t="str">
        <f t="shared" si="15"/>
        <v>Negligible</v>
      </c>
      <c r="AB14" s="69" t="str">
        <f t="shared" si="16"/>
        <v>Tidak Ada Indikasi Bias</v>
      </c>
    </row>
    <row r="15" spans="1:29" ht="25" x14ac:dyDescent="0.35">
      <c r="A15" s="71" t="str">
        <f>LAD!A9</f>
        <v>5. Pengetahuan umum dan keahlian auditor mencakup, kecuali …</v>
      </c>
      <c r="B15" s="69">
        <f>LAD!B9</f>
        <v>1</v>
      </c>
      <c r="C15" s="69">
        <f>LAD!C9</f>
        <v>1</v>
      </c>
      <c r="D15" s="69">
        <f>LAD!D9</f>
        <v>0</v>
      </c>
      <c r="E15" s="69">
        <f>LAD!E9</f>
        <v>0</v>
      </c>
      <c r="F15" s="69">
        <f>LAD!F9</f>
        <v>0</v>
      </c>
      <c r="G15" s="69">
        <f>LAD!G9</f>
        <v>0</v>
      </c>
      <c r="H15" s="69">
        <f>LAD!H9</f>
        <v>0</v>
      </c>
      <c r="I15" s="69">
        <f>LAD!I9</f>
        <v>0</v>
      </c>
      <c r="J15" s="69">
        <f>LAD!J9</f>
        <v>0</v>
      </c>
      <c r="K15" s="69">
        <f>LAD!K9</f>
        <v>0</v>
      </c>
      <c r="L15" s="69">
        <f t="shared" si="0"/>
        <v>5</v>
      </c>
      <c r="M15" s="69">
        <f t="shared" si="1"/>
        <v>5</v>
      </c>
      <c r="N15" s="69">
        <f t="shared" si="2"/>
        <v>1</v>
      </c>
      <c r="O15" s="69">
        <f t="shared" si="3"/>
        <v>1</v>
      </c>
      <c r="P15" s="69">
        <f t="shared" si="4"/>
        <v>1</v>
      </c>
      <c r="Q15" s="69">
        <f t="shared" si="5"/>
        <v>1</v>
      </c>
      <c r="R15" s="70">
        <f t="shared" si="6"/>
        <v>1.3862943611198906</v>
      </c>
      <c r="S15" s="70">
        <f t="shared" si="7"/>
        <v>1.3862943611198906</v>
      </c>
      <c r="T15" s="70">
        <f t="shared" si="8"/>
        <v>1.4809793056851552</v>
      </c>
      <c r="U15" s="70">
        <f t="shared" si="9"/>
        <v>1.4809793056851552</v>
      </c>
      <c r="V15" s="70">
        <f t="shared" si="10"/>
        <v>1.1180339887498949</v>
      </c>
      <c r="W15" s="70">
        <f t="shared" si="11"/>
        <v>1.1180339887498949</v>
      </c>
      <c r="X15" s="70">
        <f t="shared" si="12"/>
        <v>0</v>
      </c>
      <c r="Y15" s="70">
        <f t="shared" si="13"/>
        <v>1.5811388300841898</v>
      </c>
      <c r="Z15" s="70">
        <f t="shared" si="14"/>
        <v>0</v>
      </c>
      <c r="AA15" s="69" t="str">
        <f t="shared" si="15"/>
        <v>Negligible</v>
      </c>
      <c r="AB15" s="69" t="str">
        <f t="shared" si="16"/>
        <v>Tidak Ada Indikasi Bias</v>
      </c>
    </row>
    <row r="16" spans="1:29" ht="37.5" customHeight="1" x14ac:dyDescent="0.35">
      <c r="A16" s="71" t="str">
        <f>LAD!A10</f>
        <v>6. Kriteria independen auditor mencakup kebebasan dari …</v>
      </c>
      <c r="B16" s="69">
        <f>LAD!B10</f>
        <v>1</v>
      </c>
      <c r="C16" s="69">
        <f>LAD!C10</f>
        <v>1</v>
      </c>
      <c r="D16" s="69">
        <f>LAD!D10</f>
        <v>0</v>
      </c>
      <c r="E16" s="69">
        <f>LAD!E10</f>
        <v>0</v>
      </c>
      <c r="F16" s="69">
        <f>LAD!F10</f>
        <v>0</v>
      </c>
      <c r="G16" s="69">
        <f>LAD!G10</f>
        <v>1</v>
      </c>
      <c r="H16" s="69">
        <f>LAD!H10</f>
        <v>0</v>
      </c>
      <c r="I16" s="69">
        <f>LAD!I10</f>
        <v>0</v>
      </c>
      <c r="J16" s="69">
        <f>LAD!J10</f>
        <v>0</v>
      </c>
      <c r="K16" s="69">
        <f>LAD!K10</f>
        <v>1</v>
      </c>
      <c r="L16" s="69">
        <f t="shared" si="0"/>
        <v>5</v>
      </c>
      <c r="M16" s="69">
        <f t="shared" si="1"/>
        <v>5</v>
      </c>
      <c r="N16" s="69">
        <f t="shared" si="2"/>
        <v>2</v>
      </c>
      <c r="O16" s="69">
        <f t="shared" si="3"/>
        <v>2</v>
      </c>
      <c r="P16" s="69">
        <f t="shared" si="4"/>
        <v>2</v>
      </c>
      <c r="Q16" s="69">
        <f t="shared" si="5"/>
        <v>2</v>
      </c>
      <c r="R16" s="70">
        <f t="shared" si="6"/>
        <v>0.40546510810816438</v>
      </c>
      <c r="S16" s="70">
        <f t="shared" si="7"/>
        <v>0.40546510810816438</v>
      </c>
      <c r="T16" s="70">
        <f t="shared" si="8"/>
        <v>0.50015005267342905</v>
      </c>
      <c r="U16" s="70">
        <f t="shared" si="9"/>
        <v>0.50015005267342905</v>
      </c>
      <c r="V16" s="70">
        <f t="shared" si="10"/>
        <v>0.91287092917527679</v>
      </c>
      <c r="W16" s="70">
        <f t="shared" si="11"/>
        <v>0.91287092917527679</v>
      </c>
      <c r="X16" s="70">
        <f t="shared" si="12"/>
        <v>0</v>
      </c>
      <c r="Y16" s="70">
        <f t="shared" si="13"/>
        <v>1.2909944487358056</v>
      </c>
      <c r="Z16" s="70">
        <f t="shared" si="14"/>
        <v>0</v>
      </c>
      <c r="AA16" s="69" t="str">
        <f t="shared" si="15"/>
        <v>Negligible</v>
      </c>
      <c r="AB16" s="69" t="str">
        <f t="shared" si="16"/>
        <v>Tidak Ada Indikasi Bias</v>
      </c>
    </row>
    <row r="17" spans="1:28" ht="37.5" customHeight="1" x14ac:dyDescent="0.35">
      <c r="A17" s="71" t="str">
        <f>LAD!A11</f>
        <v>7. Auditor dapat menggunakan flowchart dalam melaksanakan kegiatan untuk …</v>
      </c>
      <c r="B17" s="69">
        <f>LAD!B11</f>
        <v>1</v>
      </c>
      <c r="C17" s="69">
        <f>LAD!C11</f>
        <v>1</v>
      </c>
      <c r="D17" s="69">
        <f>LAD!D11</f>
        <v>1</v>
      </c>
      <c r="E17" s="69">
        <f>LAD!E11</f>
        <v>1</v>
      </c>
      <c r="F17" s="69">
        <f>LAD!F11</f>
        <v>0</v>
      </c>
      <c r="G17" s="69">
        <f>LAD!G11</f>
        <v>1</v>
      </c>
      <c r="H17" s="69">
        <f>LAD!H11</f>
        <v>0</v>
      </c>
      <c r="I17" s="69">
        <f>LAD!I11</f>
        <v>0</v>
      </c>
      <c r="J17" s="69">
        <f>LAD!J11</f>
        <v>0</v>
      </c>
      <c r="K17" s="69">
        <f>LAD!K11</f>
        <v>1</v>
      </c>
      <c r="L17" s="69">
        <f t="shared" si="0"/>
        <v>5</v>
      </c>
      <c r="M17" s="69">
        <f t="shared" si="1"/>
        <v>5</v>
      </c>
      <c r="N17" s="69">
        <f t="shared" si="2"/>
        <v>3</v>
      </c>
      <c r="O17" s="69">
        <f t="shared" si="3"/>
        <v>3</v>
      </c>
      <c r="P17" s="69">
        <f t="shared" si="4"/>
        <v>3</v>
      </c>
      <c r="Q17" s="69">
        <f t="shared" si="5"/>
        <v>3</v>
      </c>
      <c r="R17" s="70">
        <f t="shared" si="6"/>
        <v>-0.40546510810816444</v>
      </c>
      <c r="S17" s="70">
        <f t="shared" si="7"/>
        <v>-0.40546510810816444</v>
      </c>
      <c r="T17" s="70">
        <f t="shared" si="8"/>
        <v>-0.31078016354289972</v>
      </c>
      <c r="U17" s="70">
        <f t="shared" si="9"/>
        <v>-0.31078016354289972</v>
      </c>
      <c r="V17" s="70">
        <f t="shared" si="10"/>
        <v>0.91287092917527679</v>
      </c>
      <c r="W17" s="70">
        <f t="shared" si="11"/>
        <v>0.91287092917527679</v>
      </c>
      <c r="X17" s="70">
        <f t="shared" si="12"/>
        <v>0</v>
      </c>
      <c r="Y17" s="70">
        <f t="shared" si="13"/>
        <v>1.2909944487358056</v>
      </c>
      <c r="Z17" s="70">
        <f t="shared" si="14"/>
        <v>0</v>
      </c>
      <c r="AA17" s="69" t="str">
        <f t="shared" si="15"/>
        <v>Negligible</v>
      </c>
      <c r="AB17" s="69" t="str">
        <f t="shared" si="16"/>
        <v>Tidak Ada Indikasi Bias</v>
      </c>
    </row>
    <row r="18" spans="1:28" ht="37.5" x14ac:dyDescent="0.35">
      <c r="A18" s="71" t="str">
        <f>LAD!A12</f>
        <v>8. Berikut merupakan komponen yang umum diidentifikasi pada diagram sebab akibat, kecuali …</v>
      </c>
      <c r="B18" s="69">
        <f>LAD!B12</f>
        <v>0</v>
      </c>
      <c r="C18" s="69">
        <f>LAD!C12</f>
        <v>0</v>
      </c>
      <c r="D18" s="69">
        <f>LAD!D12</f>
        <v>1</v>
      </c>
      <c r="E18" s="69">
        <f>LAD!E12</f>
        <v>1</v>
      </c>
      <c r="F18" s="69">
        <f>LAD!F12</f>
        <v>0</v>
      </c>
      <c r="G18" s="69">
        <f>LAD!G12</f>
        <v>1</v>
      </c>
      <c r="H18" s="69">
        <f>LAD!H12</f>
        <v>0</v>
      </c>
      <c r="I18" s="69">
        <f>LAD!I12</f>
        <v>0</v>
      </c>
      <c r="J18" s="69">
        <f>LAD!J12</f>
        <v>0</v>
      </c>
      <c r="K18" s="69">
        <f>LAD!K12</f>
        <v>1</v>
      </c>
      <c r="L18" s="69">
        <f t="shared" si="0"/>
        <v>5</v>
      </c>
      <c r="M18" s="69">
        <f t="shared" si="1"/>
        <v>5</v>
      </c>
      <c r="N18" s="69">
        <f t="shared" si="2"/>
        <v>2</v>
      </c>
      <c r="O18" s="69">
        <f t="shared" si="3"/>
        <v>2</v>
      </c>
      <c r="P18" s="69">
        <f t="shared" si="4"/>
        <v>2</v>
      </c>
      <c r="Q18" s="69">
        <f t="shared" si="5"/>
        <v>2</v>
      </c>
      <c r="R18" s="70">
        <f t="shared" si="6"/>
        <v>0.40546510810816438</v>
      </c>
      <c r="S18" s="70">
        <f t="shared" si="7"/>
        <v>0.40546510810816438</v>
      </c>
      <c r="T18" s="70">
        <f t="shared" si="8"/>
        <v>0.50015005267342905</v>
      </c>
      <c r="U18" s="70">
        <f t="shared" si="9"/>
        <v>0.50015005267342905</v>
      </c>
      <c r="V18" s="70">
        <f t="shared" si="10"/>
        <v>0.91287092917527679</v>
      </c>
      <c r="W18" s="70">
        <f t="shared" si="11"/>
        <v>0.91287092917527679</v>
      </c>
      <c r="X18" s="70">
        <f t="shared" si="12"/>
        <v>0</v>
      </c>
      <c r="Y18" s="70">
        <f t="shared" si="13"/>
        <v>1.2909944487358056</v>
      </c>
      <c r="Z18" s="70">
        <f t="shared" si="14"/>
        <v>0</v>
      </c>
      <c r="AA18" s="69" t="str">
        <f t="shared" si="15"/>
        <v>Negligible</v>
      </c>
      <c r="AB18" s="69" t="str">
        <f t="shared" si="16"/>
        <v>Tidak Ada Indikasi Bias</v>
      </c>
    </row>
    <row r="19" spans="1:28" ht="25" x14ac:dyDescent="0.35">
      <c r="A19" s="71" t="str">
        <f>LAD!A13</f>
        <v>9. Alat statisitik mana yang tergolong kualitatif?</v>
      </c>
      <c r="B19" s="69">
        <f>LAD!B13</f>
        <v>1</v>
      </c>
      <c r="C19" s="69">
        <f>LAD!C13</f>
        <v>1</v>
      </c>
      <c r="D19" s="69">
        <f>LAD!D13</f>
        <v>1</v>
      </c>
      <c r="E19" s="69">
        <f>LAD!E13</f>
        <v>1</v>
      </c>
      <c r="F19" s="69">
        <f>LAD!F13</f>
        <v>0</v>
      </c>
      <c r="G19" s="69">
        <f>LAD!G13</f>
        <v>1</v>
      </c>
      <c r="H19" s="69">
        <f>LAD!H13</f>
        <v>0</v>
      </c>
      <c r="I19" s="69">
        <f>LAD!I13</f>
        <v>1</v>
      </c>
      <c r="J19" s="69">
        <f>LAD!J13</f>
        <v>1</v>
      </c>
      <c r="K19" s="69">
        <f>LAD!K13</f>
        <v>1</v>
      </c>
      <c r="L19" s="69">
        <f t="shared" si="0"/>
        <v>5</v>
      </c>
      <c r="M19" s="69">
        <f t="shared" si="1"/>
        <v>5</v>
      </c>
      <c r="N19" s="69">
        <f t="shared" si="2"/>
        <v>4</v>
      </c>
      <c r="O19" s="69">
        <f t="shared" si="3"/>
        <v>4</v>
      </c>
      <c r="P19" s="69">
        <f t="shared" si="4"/>
        <v>4</v>
      </c>
      <c r="Q19" s="69">
        <f t="shared" si="5"/>
        <v>4</v>
      </c>
      <c r="R19" s="70">
        <f t="shared" si="6"/>
        <v>-1.3862943611198906</v>
      </c>
      <c r="S19" s="70">
        <f t="shared" si="7"/>
        <v>-1.3862943611198906</v>
      </c>
      <c r="T19" s="70">
        <f t="shared" si="8"/>
        <v>-1.2916094165546259</v>
      </c>
      <c r="U19" s="70">
        <f t="shared" si="9"/>
        <v>-1.2916094165546259</v>
      </c>
      <c r="V19" s="70">
        <f t="shared" si="10"/>
        <v>1.1180339887498949</v>
      </c>
      <c r="W19" s="70">
        <f t="shared" si="11"/>
        <v>1.1180339887498949</v>
      </c>
      <c r="X19" s="70">
        <f t="shared" si="12"/>
        <v>0</v>
      </c>
      <c r="Y19" s="70">
        <f t="shared" si="13"/>
        <v>1.5811388300841898</v>
      </c>
      <c r="Z19" s="70">
        <f t="shared" si="14"/>
        <v>0</v>
      </c>
      <c r="AA19" s="69" t="str">
        <f t="shared" si="15"/>
        <v>Negligible</v>
      </c>
      <c r="AB19" s="69" t="str">
        <f t="shared" si="16"/>
        <v>Tidak Ada Indikasi Bias</v>
      </c>
    </row>
    <row r="20" spans="1:28" ht="37.5" x14ac:dyDescent="0.35">
      <c r="A20" s="71" t="str">
        <f>LAD!A14</f>
        <v>10. Variasi dalam proses dibagi menjadi 2 yaitu, variasi umum dan variasi khusus. Variasi umum adalah …</v>
      </c>
      <c r="B20" s="69">
        <f>LAD!B14</f>
        <v>1</v>
      </c>
      <c r="C20" s="69">
        <f>LAD!C14</f>
        <v>1</v>
      </c>
      <c r="D20" s="69">
        <f>LAD!D14</f>
        <v>1</v>
      </c>
      <c r="E20" s="69">
        <f>LAD!E14</f>
        <v>1</v>
      </c>
      <c r="F20" s="69">
        <f>LAD!F14</f>
        <v>1</v>
      </c>
      <c r="G20" s="69">
        <f>LAD!G14</f>
        <v>0</v>
      </c>
      <c r="H20" s="69">
        <f>LAD!H14</f>
        <v>1</v>
      </c>
      <c r="I20" s="69">
        <f>LAD!I14</f>
        <v>0</v>
      </c>
      <c r="J20" s="69">
        <f>LAD!J14</f>
        <v>0</v>
      </c>
      <c r="K20" s="69">
        <f>LAD!K14</f>
        <v>0</v>
      </c>
      <c r="L20" s="69">
        <f t="shared" si="0"/>
        <v>5</v>
      </c>
      <c r="M20" s="69">
        <f t="shared" si="1"/>
        <v>5</v>
      </c>
      <c r="N20" s="69">
        <f t="shared" si="2"/>
        <v>3</v>
      </c>
      <c r="O20" s="69">
        <f t="shared" si="3"/>
        <v>3</v>
      </c>
      <c r="P20" s="69">
        <f t="shared" si="4"/>
        <v>3</v>
      </c>
      <c r="Q20" s="69">
        <f t="shared" si="5"/>
        <v>3</v>
      </c>
      <c r="R20" s="70">
        <f t="shared" si="6"/>
        <v>-0.40546510810816444</v>
      </c>
      <c r="S20" s="70">
        <f t="shared" si="7"/>
        <v>-0.40546510810816444</v>
      </c>
      <c r="T20" s="70">
        <f t="shared" si="8"/>
        <v>-0.31078016354289972</v>
      </c>
      <c r="U20" s="70">
        <f t="shared" si="9"/>
        <v>-0.31078016354289972</v>
      </c>
      <c r="V20" s="70">
        <f t="shared" si="10"/>
        <v>0.91287092917527679</v>
      </c>
      <c r="W20" s="70">
        <f t="shared" si="11"/>
        <v>0.91287092917527679</v>
      </c>
      <c r="X20" s="70">
        <f t="shared" si="12"/>
        <v>0</v>
      </c>
      <c r="Y20" s="70">
        <f t="shared" si="13"/>
        <v>1.2909944487358056</v>
      </c>
      <c r="Z20" s="70">
        <f t="shared" si="14"/>
        <v>0</v>
      </c>
      <c r="AA20" s="69" t="str">
        <f t="shared" si="15"/>
        <v>Negligible</v>
      </c>
      <c r="AB20" s="69" t="str">
        <f t="shared" si="16"/>
        <v>Tidak Ada Indikasi Bias</v>
      </c>
    </row>
    <row r="21" spans="1:28" ht="25" x14ac:dyDescent="0.35">
      <c r="A21" s="71" t="str">
        <f>LAD!A15</f>
        <v>11. Apa yang dimaksud dengan confidence level dalam sampling?</v>
      </c>
      <c r="B21" s="69">
        <f>LAD!B15</f>
        <v>1</v>
      </c>
      <c r="C21" s="69">
        <f>LAD!C15</f>
        <v>1</v>
      </c>
      <c r="D21" s="69">
        <f>LAD!D15</f>
        <v>1</v>
      </c>
      <c r="E21" s="69">
        <f>LAD!E15</f>
        <v>1</v>
      </c>
      <c r="F21" s="69">
        <f>LAD!F15</f>
        <v>0</v>
      </c>
      <c r="G21" s="69">
        <f>LAD!G15</f>
        <v>0</v>
      </c>
      <c r="H21" s="69">
        <f>LAD!H15</f>
        <v>0</v>
      </c>
      <c r="I21" s="69">
        <f>LAD!I15</f>
        <v>0</v>
      </c>
      <c r="J21" s="69">
        <f>LAD!J15</f>
        <v>0</v>
      </c>
      <c r="K21" s="69">
        <f>LAD!K15</f>
        <v>0</v>
      </c>
      <c r="L21" s="69">
        <f t="shared" si="0"/>
        <v>5</v>
      </c>
      <c r="M21" s="69">
        <f t="shared" si="1"/>
        <v>5</v>
      </c>
      <c r="N21" s="69">
        <f t="shared" si="2"/>
        <v>2</v>
      </c>
      <c r="O21" s="69">
        <f t="shared" si="3"/>
        <v>2</v>
      </c>
      <c r="P21" s="69">
        <f t="shared" si="4"/>
        <v>2</v>
      </c>
      <c r="Q21" s="69">
        <f t="shared" si="5"/>
        <v>2</v>
      </c>
      <c r="R21" s="70">
        <f t="shared" si="6"/>
        <v>0.40546510810816438</v>
      </c>
      <c r="S21" s="70">
        <f t="shared" si="7"/>
        <v>0.40546510810816438</v>
      </c>
      <c r="T21" s="70">
        <f t="shared" si="8"/>
        <v>0.50015005267342905</v>
      </c>
      <c r="U21" s="70">
        <f t="shared" si="9"/>
        <v>0.50015005267342905</v>
      </c>
      <c r="V21" s="70">
        <f t="shared" si="10"/>
        <v>0.91287092917527679</v>
      </c>
      <c r="W21" s="70">
        <f t="shared" si="11"/>
        <v>0.91287092917527679</v>
      </c>
      <c r="X21" s="70">
        <f t="shared" si="12"/>
        <v>0</v>
      </c>
      <c r="Y21" s="70">
        <f t="shared" si="13"/>
        <v>1.2909944487358056</v>
      </c>
      <c r="Z21" s="70">
        <f t="shared" si="14"/>
        <v>0</v>
      </c>
      <c r="AA21" s="69" t="str">
        <f t="shared" si="15"/>
        <v>Negligible</v>
      </c>
      <c r="AB21" s="69" t="str">
        <f t="shared" si="16"/>
        <v>Tidak Ada Indikasi Bias</v>
      </c>
    </row>
    <row r="22" spans="1:28" ht="50" x14ac:dyDescent="0.35">
      <c r="A22" s="71" t="str">
        <f>LAD!A16</f>
        <v>12. Jika pendamping audit untuk suatu area berulang kali terlambat atau tidak tersedia, pilihan terbaik apa yang tersedia bagi auditor?</v>
      </c>
      <c r="B22" s="69">
        <f>LAD!B16</f>
        <v>1</v>
      </c>
      <c r="C22" s="69">
        <f>LAD!C16</f>
        <v>1</v>
      </c>
      <c r="D22" s="69">
        <f>LAD!D16</f>
        <v>1</v>
      </c>
      <c r="E22" s="69">
        <f>LAD!E16</f>
        <v>1</v>
      </c>
      <c r="F22" s="69">
        <f>LAD!F16</f>
        <v>0</v>
      </c>
      <c r="G22" s="69">
        <f>LAD!G16</f>
        <v>1</v>
      </c>
      <c r="H22" s="69">
        <f>LAD!H16</f>
        <v>0</v>
      </c>
      <c r="I22" s="69">
        <f>LAD!I16</f>
        <v>0</v>
      </c>
      <c r="J22" s="69">
        <f>LAD!J16</f>
        <v>0</v>
      </c>
      <c r="K22" s="69">
        <f>LAD!K16</f>
        <v>1</v>
      </c>
      <c r="L22" s="69">
        <f t="shared" si="0"/>
        <v>5</v>
      </c>
      <c r="M22" s="69">
        <f t="shared" si="1"/>
        <v>5</v>
      </c>
      <c r="N22" s="69">
        <f t="shared" si="2"/>
        <v>3</v>
      </c>
      <c r="O22" s="69">
        <f t="shared" si="3"/>
        <v>3</v>
      </c>
      <c r="P22" s="69">
        <f t="shared" si="4"/>
        <v>3</v>
      </c>
      <c r="Q22" s="69">
        <f t="shared" si="5"/>
        <v>3</v>
      </c>
      <c r="R22" s="70">
        <f t="shared" si="6"/>
        <v>-0.40546510810816444</v>
      </c>
      <c r="S22" s="70">
        <f t="shared" si="7"/>
        <v>-0.40546510810816444</v>
      </c>
      <c r="T22" s="70">
        <f t="shared" si="8"/>
        <v>-0.31078016354289972</v>
      </c>
      <c r="U22" s="70">
        <f t="shared" si="9"/>
        <v>-0.31078016354289972</v>
      </c>
      <c r="V22" s="70">
        <f t="shared" si="10"/>
        <v>0.91287092917527679</v>
      </c>
      <c r="W22" s="70">
        <f t="shared" si="11"/>
        <v>0.91287092917527679</v>
      </c>
      <c r="X22" s="70">
        <f t="shared" si="12"/>
        <v>0</v>
      </c>
      <c r="Y22" s="70">
        <f t="shared" si="13"/>
        <v>1.2909944487358056</v>
      </c>
      <c r="Z22" s="70">
        <f t="shared" si="14"/>
        <v>0</v>
      </c>
      <c r="AA22" s="69" t="str">
        <f t="shared" si="15"/>
        <v>Negligible</v>
      </c>
      <c r="AB22" s="69" t="str">
        <f t="shared" si="16"/>
        <v>Tidak Ada Indikasi Bias</v>
      </c>
    </row>
    <row r="23" spans="1:28" ht="62.5" x14ac:dyDescent="0.35">
      <c r="A23" s="71" t="str">
        <f>LAD!A17</f>
        <v>13. Dalam pelaksanaan audit, auditor dapat menggunakan checklist sebagai alat bantu dalam pelaksanaan audit. Beberapa fungsi dari checklist audit adalah, kecuali …</v>
      </c>
      <c r="B23" s="69">
        <f>LAD!B17</f>
        <v>1</v>
      </c>
      <c r="C23" s="69">
        <f>LAD!C17</f>
        <v>1</v>
      </c>
      <c r="D23" s="69">
        <f>LAD!D17</f>
        <v>1</v>
      </c>
      <c r="E23" s="69">
        <f>LAD!E17</f>
        <v>1</v>
      </c>
      <c r="F23" s="69">
        <f>LAD!F17</f>
        <v>0</v>
      </c>
      <c r="G23" s="69">
        <f>LAD!G17</f>
        <v>1</v>
      </c>
      <c r="H23" s="69">
        <f>LAD!H17</f>
        <v>0</v>
      </c>
      <c r="I23" s="69">
        <f>LAD!I17</f>
        <v>1</v>
      </c>
      <c r="J23" s="69">
        <f>LAD!J17</f>
        <v>1</v>
      </c>
      <c r="K23" s="69">
        <f>LAD!K17</f>
        <v>1</v>
      </c>
      <c r="L23" s="69">
        <f t="shared" si="0"/>
        <v>5</v>
      </c>
      <c r="M23" s="69">
        <f t="shared" si="1"/>
        <v>5</v>
      </c>
      <c r="N23" s="69">
        <f t="shared" si="2"/>
        <v>4</v>
      </c>
      <c r="O23" s="69">
        <f t="shared" si="3"/>
        <v>4</v>
      </c>
      <c r="P23" s="69">
        <f t="shared" si="4"/>
        <v>4</v>
      </c>
      <c r="Q23" s="69">
        <f t="shared" si="5"/>
        <v>4</v>
      </c>
      <c r="R23" s="70">
        <f t="shared" si="6"/>
        <v>-1.3862943611198906</v>
      </c>
      <c r="S23" s="70">
        <f t="shared" si="7"/>
        <v>-1.3862943611198906</v>
      </c>
      <c r="T23" s="70">
        <f t="shared" si="8"/>
        <v>-1.2916094165546259</v>
      </c>
      <c r="U23" s="70">
        <f t="shared" si="9"/>
        <v>-1.2916094165546259</v>
      </c>
      <c r="V23" s="70">
        <f t="shared" si="10"/>
        <v>1.1180339887498949</v>
      </c>
      <c r="W23" s="70">
        <f t="shared" si="11"/>
        <v>1.1180339887498949</v>
      </c>
      <c r="X23" s="70">
        <f t="shared" si="12"/>
        <v>0</v>
      </c>
      <c r="Y23" s="70">
        <f t="shared" si="13"/>
        <v>1.5811388300841898</v>
      </c>
      <c r="Z23" s="70">
        <f t="shared" si="14"/>
        <v>0</v>
      </c>
      <c r="AA23" s="69" t="str">
        <f t="shared" si="15"/>
        <v>Negligible</v>
      </c>
      <c r="AB23" s="69" t="str">
        <f t="shared" si="16"/>
        <v>Tidak Ada Indikasi Bias</v>
      </c>
    </row>
    <row r="24" spans="1:28" ht="37.5" x14ac:dyDescent="0.35">
      <c r="A24" s="71" t="str">
        <f>LAD!A18</f>
        <v>14. Kegiatan membandingkan dokumen lower – tier dengan dokumen ­higher – tier disebut juga dengan …</v>
      </c>
      <c r="B24" s="69">
        <f>LAD!B18</f>
        <v>1</v>
      </c>
      <c r="C24" s="69">
        <f>LAD!C18</f>
        <v>1</v>
      </c>
      <c r="D24" s="69">
        <f>LAD!D18</f>
        <v>1</v>
      </c>
      <c r="E24" s="69">
        <f>LAD!E18</f>
        <v>1</v>
      </c>
      <c r="F24" s="69">
        <f>LAD!F18</f>
        <v>1</v>
      </c>
      <c r="G24" s="69">
        <f>LAD!G18</f>
        <v>1</v>
      </c>
      <c r="H24" s="69">
        <f>LAD!H18</f>
        <v>1</v>
      </c>
      <c r="I24" s="69">
        <f>LAD!I18</f>
        <v>0</v>
      </c>
      <c r="J24" s="69">
        <f>LAD!J18</f>
        <v>0</v>
      </c>
      <c r="K24" s="69">
        <f>LAD!K18</f>
        <v>1</v>
      </c>
      <c r="L24" s="69">
        <f t="shared" si="0"/>
        <v>5</v>
      </c>
      <c r="M24" s="69">
        <f t="shared" si="1"/>
        <v>5</v>
      </c>
      <c r="N24" s="69">
        <f t="shared" si="2"/>
        <v>4</v>
      </c>
      <c r="O24" s="69">
        <f t="shared" si="3"/>
        <v>4</v>
      </c>
      <c r="P24" s="69">
        <f t="shared" si="4"/>
        <v>4</v>
      </c>
      <c r="Q24" s="69">
        <f t="shared" si="5"/>
        <v>4</v>
      </c>
      <c r="R24" s="70">
        <f t="shared" si="6"/>
        <v>-1.3862943611198906</v>
      </c>
      <c r="S24" s="70">
        <f t="shared" si="7"/>
        <v>-1.3862943611198906</v>
      </c>
      <c r="T24" s="70">
        <f t="shared" si="8"/>
        <v>-1.2916094165546259</v>
      </c>
      <c r="U24" s="70">
        <f t="shared" si="9"/>
        <v>-1.2916094165546259</v>
      </c>
      <c r="V24" s="70">
        <f t="shared" si="10"/>
        <v>1.1180339887498949</v>
      </c>
      <c r="W24" s="70">
        <f t="shared" si="11"/>
        <v>1.1180339887498949</v>
      </c>
      <c r="X24" s="70">
        <f t="shared" si="12"/>
        <v>0</v>
      </c>
      <c r="Y24" s="70">
        <f t="shared" si="13"/>
        <v>1.5811388300841898</v>
      </c>
      <c r="Z24" s="70">
        <f t="shared" si="14"/>
        <v>0</v>
      </c>
      <c r="AA24" s="69" t="str">
        <f t="shared" si="15"/>
        <v>Negligible</v>
      </c>
      <c r="AB24" s="69" t="str">
        <f t="shared" si="16"/>
        <v>Tidak Ada Indikasi Bias</v>
      </c>
    </row>
    <row r="25" spans="1:28" ht="75" customHeight="1" x14ac:dyDescent="0.35">
      <c r="A25" s="71" t="str">
        <f>LAD!A19</f>
        <v>15. Bukti objektif yang mendukung obervasi audit harus …</v>
      </c>
      <c r="B25" s="69">
        <f>LAD!B19</f>
        <v>1</v>
      </c>
      <c r="C25" s="69">
        <f>LAD!C19</f>
        <v>1</v>
      </c>
      <c r="D25" s="69">
        <f>LAD!D19</f>
        <v>1</v>
      </c>
      <c r="E25" s="69">
        <f>LAD!E19</f>
        <v>1</v>
      </c>
      <c r="F25" s="69">
        <f>LAD!F19</f>
        <v>0</v>
      </c>
      <c r="G25" s="69">
        <f>LAD!G19</f>
        <v>0</v>
      </c>
      <c r="H25" s="69">
        <f>LAD!H19</f>
        <v>0</v>
      </c>
      <c r="I25" s="69">
        <f>LAD!I19</f>
        <v>1</v>
      </c>
      <c r="J25" s="69">
        <f>LAD!J19</f>
        <v>1</v>
      </c>
      <c r="K25" s="69">
        <f>LAD!K19</f>
        <v>0</v>
      </c>
      <c r="L25" s="69">
        <f t="shared" si="0"/>
        <v>5</v>
      </c>
      <c r="M25" s="69">
        <f t="shared" si="1"/>
        <v>5</v>
      </c>
      <c r="N25" s="69">
        <f t="shared" si="2"/>
        <v>3</v>
      </c>
      <c r="O25" s="69">
        <f t="shared" si="3"/>
        <v>3</v>
      </c>
      <c r="P25" s="69">
        <f t="shared" si="4"/>
        <v>3</v>
      </c>
      <c r="Q25" s="69">
        <f t="shared" si="5"/>
        <v>3</v>
      </c>
      <c r="R25" s="70">
        <f t="shared" si="6"/>
        <v>-0.40546510810816444</v>
      </c>
      <c r="S25" s="70">
        <f t="shared" si="7"/>
        <v>-0.40546510810816444</v>
      </c>
      <c r="T25" s="70">
        <f t="shared" si="8"/>
        <v>-0.31078016354289972</v>
      </c>
      <c r="U25" s="70">
        <f t="shared" si="9"/>
        <v>-0.31078016354289972</v>
      </c>
      <c r="V25" s="70">
        <f t="shared" si="10"/>
        <v>0.91287092917527679</v>
      </c>
      <c r="W25" s="70">
        <f t="shared" si="11"/>
        <v>0.91287092917527679</v>
      </c>
      <c r="X25" s="70">
        <f t="shared" si="12"/>
        <v>0</v>
      </c>
      <c r="Y25" s="70">
        <f t="shared" si="13"/>
        <v>1.2909944487358056</v>
      </c>
      <c r="Z25" s="70">
        <f t="shared" si="14"/>
        <v>0</v>
      </c>
      <c r="AA25" s="69" t="str">
        <f t="shared" si="15"/>
        <v>Negligible</v>
      </c>
      <c r="AB25" s="69" t="str">
        <f t="shared" si="16"/>
        <v>Tidak Ada Indikasi Bias</v>
      </c>
    </row>
    <row r="26" spans="1:28" ht="25" x14ac:dyDescent="0.35">
      <c r="A26" s="71" t="str">
        <f>LAD!A20</f>
        <v>16. Apakah singkatan dari PLOR dalam penentuan status temuan?</v>
      </c>
      <c r="B26" s="69">
        <f>LAD!B20</f>
        <v>1</v>
      </c>
      <c r="C26" s="69">
        <f>LAD!C20</f>
        <v>1</v>
      </c>
      <c r="D26" s="69">
        <f>LAD!D20</f>
        <v>1</v>
      </c>
      <c r="E26" s="69">
        <f>LAD!E20</f>
        <v>1</v>
      </c>
      <c r="F26" s="69">
        <f>LAD!F20</f>
        <v>0</v>
      </c>
      <c r="G26" s="69">
        <f>LAD!G20</f>
        <v>0</v>
      </c>
      <c r="H26" s="69">
        <f>LAD!H20</f>
        <v>0</v>
      </c>
      <c r="I26" s="69">
        <f>LAD!I20</f>
        <v>0</v>
      </c>
      <c r="J26" s="69">
        <f>LAD!J20</f>
        <v>0</v>
      </c>
      <c r="K26" s="69">
        <f>LAD!K20</f>
        <v>0</v>
      </c>
      <c r="L26" s="69">
        <f t="shared" si="0"/>
        <v>5</v>
      </c>
      <c r="M26" s="69">
        <f t="shared" si="1"/>
        <v>5</v>
      </c>
      <c r="N26" s="69">
        <f t="shared" si="2"/>
        <v>2</v>
      </c>
      <c r="O26" s="69">
        <f t="shared" si="3"/>
        <v>2</v>
      </c>
      <c r="P26" s="69">
        <f t="shared" si="4"/>
        <v>2</v>
      </c>
      <c r="Q26" s="69">
        <f t="shared" si="5"/>
        <v>2</v>
      </c>
      <c r="R26" s="70">
        <f t="shared" si="6"/>
        <v>0.40546510810816438</v>
      </c>
      <c r="S26" s="70">
        <f t="shared" si="7"/>
        <v>0.40546510810816438</v>
      </c>
      <c r="T26" s="70">
        <f t="shared" si="8"/>
        <v>0.50015005267342905</v>
      </c>
      <c r="U26" s="70">
        <f t="shared" si="9"/>
        <v>0.50015005267342905</v>
      </c>
      <c r="V26" s="70">
        <f t="shared" si="10"/>
        <v>0.91287092917527679</v>
      </c>
      <c r="W26" s="70">
        <f t="shared" si="11"/>
        <v>0.91287092917527679</v>
      </c>
      <c r="X26" s="70">
        <f t="shared" si="12"/>
        <v>0</v>
      </c>
      <c r="Y26" s="70">
        <f t="shared" si="13"/>
        <v>1.2909944487358056</v>
      </c>
      <c r="Z26" s="70">
        <f t="shared" si="14"/>
        <v>0</v>
      </c>
      <c r="AA26" s="69" t="str">
        <f t="shared" si="15"/>
        <v>Negligible</v>
      </c>
      <c r="AB26" s="69" t="str">
        <f t="shared" si="16"/>
        <v>Tidak Ada Indikasi Bias</v>
      </c>
    </row>
    <row r="27" spans="1:28" ht="75" customHeight="1" x14ac:dyDescent="0.35">
      <c r="A27" s="71" t="str">
        <f>LAD!A21</f>
        <v>17. Jenis temuan audit yang dapat disampaikan pada saat rapat penutupan / closing meeting yaitu:</v>
      </c>
      <c r="B27" s="69">
        <f>LAD!B21</f>
        <v>1</v>
      </c>
      <c r="C27" s="69">
        <f>LAD!C21</f>
        <v>1</v>
      </c>
      <c r="D27" s="69">
        <f>LAD!D21</f>
        <v>1</v>
      </c>
      <c r="E27" s="69">
        <f>LAD!E21</f>
        <v>1</v>
      </c>
      <c r="F27" s="69">
        <f>LAD!F21</f>
        <v>0</v>
      </c>
      <c r="G27" s="69">
        <f>LAD!G21</f>
        <v>1</v>
      </c>
      <c r="H27" s="69">
        <f>LAD!H21</f>
        <v>0</v>
      </c>
      <c r="I27" s="69">
        <f>LAD!I21</f>
        <v>0</v>
      </c>
      <c r="J27" s="69">
        <f>LAD!J21</f>
        <v>0</v>
      </c>
      <c r="K27" s="69">
        <f>LAD!K21</f>
        <v>1</v>
      </c>
      <c r="L27" s="69">
        <f t="shared" si="0"/>
        <v>5</v>
      </c>
      <c r="M27" s="69">
        <f t="shared" si="1"/>
        <v>5</v>
      </c>
      <c r="N27" s="69">
        <f t="shared" si="2"/>
        <v>3</v>
      </c>
      <c r="O27" s="69">
        <f t="shared" si="3"/>
        <v>3</v>
      </c>
      <c r="P27" s="69">
        <f t="shared" si="4"/>
        <v>3</v>
      </c>
      <c r="Q27" s="69">
        <f t="shared" si="5"/>
        <v>3</v>
      </c>
      <c r="R27" s="70">
        <f t="shared" si="6"/>
        <v>-0.40546510810816444</v>
      </c>
      <c r="S27" s="70">
        <f t="shared" si="7"/>
        <v>-0.40546510810816444</v>
      </c>
      <c r="T27" s="70">
        <f t="shared" si="8"/>
        <v>-0.31078016354289972</v>
      </c>
      <c r="U27" s="70">
        <f t="shared" si="9"/>
        <v>-0.31078016354289972</v>
      </c>
      <c r="V27" s="70">
        <f t="shared" si="10"/>
        <v>0.91287092917527679</v>
      </c>
      <c r="W27" s="70">
        <f t="shared" si="11"/>
        <v>0.91287092917527679</v>
      </c>
      <c r="X27" s="70">
        <f t="shared" si="12"/>
        <v>0</v>
      </c>
      <c r="Y27" s="70">
        <f t="shared" si="13"/>
        <v>1.2909944487358056</v>
      </c>
      <c r="Z27" s="70">
        <f t="shared" si="14"/>
        <v>0</v>
      </c>
      <c r="AA27" s="69" t="str">
        <f t="shared" si="15"/>
        <v>Negligible</v>
      </c>
      <c r="AB27" s="69" t="str">
        <f t="shared" si="16"/>
        <v>Tidak Ada Indikasi Bias</v>
      </c>
    </row>
    <row r="28" spans="1:28" ht="25" x14ac:dyDescent="0.35">
      <c r="A28" s="71" t="str">
        <f>LAD!A22</f>
        <v>18. Sebuah laporan audit harus memuat …</v>
      </c>
      <c r="B28" s="69">
        <f>LAD!B22</f>
        <v>0</v>
      </c>
      <c r="C28" s="69">
        <f>LAD!C22</f>
        <v>0</v>
      </c>
      <c r="D28" s="69">
        <f>LAD!D22</f>
        <v>0</v>
      </c>
      <c r="E28" s="69">
        <f>LAD!E22</f>
        <v>0</v>
      </c>
      <c r="F28" s="69">
        <f>LAD!F22</f>
        <v>1</v>
      </c>
      <c r="G28" s="69">
        <f>LAD!G22</f>
        <v>0</v>
      </c>
      <c r="H28" s="69">
        <f>LAD!H22</f>
        <v>1</v>
      </c>
      <c r="I28" s="69">
        <f>LAD!I22</f>
        <v>1</v>
      </c>
      <c r="J28" s="69">
        <f>LAD!J22</f>
        <v>1</v>
      </c>
      <c r="K28" s="69">
        <f>LAD!K22</f>
        <v>0</v>
      </c>
      <c r="L28" s="69">
        <f t="shared" si="0"/>
        <v>5</v>
      </c>
      <c r="M28" s="69">
        <f t="shared" si="1"/>
        <v>5</v>
      </c>
      <c r="N28" s="69">
        <f t="shared" si="2"/>
        <v>2</v>
      </c>
      <c r="O28" s="69">
        <f t="shared" si="3"/>
        <v>2</v>
      </c>
      <c r="P28" s="69">
        <f t="shared" si="4"/>
        <v>2</v>
      </c>
      <c r="Q28" s="69">
        <f t="shared" si="5"/>
        <v>2</v>
      </c>
      <c r="R28" s="70">
        <f t="shared" si="6"/>
        <v>0.40546510810816438</v>
      </c>
      <c r="S28" s="70">
        <f t="shared" si="7"/>
        <v>0.40546510810816438</v>
      </c>
      <c r="T28" s="70">
        <f t="shared" si="8"/>
        <v>0.50015005267342905</v>
      </c>
      <c r="U28" s="70">
        <f t="shared" si="9"/>
        <v>0.50015005267342905</v>
      </c>
      <c r="V28" s="70">
        <f t="shared" si="10"/>
        <v>0.91287092917527679</v>
      </c>
      <c r="W28" s="70">
        <f t="shared" si="11"/>
        <v>0.91287092917527679</v>
      </c>
      <c r="X28" s="70">
        <f t="shared" si="12"/>
        <v>0</v>
      </c>
      <c r="Y28" s="70">
        <f t="shared" si="13"/>
        <v>1.2909944487358056</v>
      </c>
      <c r="Z28" s="70">
        <f t="shared" si="14"/>
        <v>0</v>
      </c>
      <c r="AA28" s="69" t="str">
        <f t="shared" si="15"/>
        <v>Negligible</v>
      </c>
      <c r="AB28" s="69" t="str">
        <f t="shared" si="16"/>
        <v>Tidak Ada Indikasi Bias</v>
      </c>
    </row>
    <row r="29" spans="1:28" ht="25" x14ac:dyDescent="0.35">
      <c r="A29" s="71" t="str">
        <f>LAD!A23</f>
        <v>19. Dalam menyusun laporan audit, komponen berikut wajib ada, kecuali …</v>
      </c>
      <c r="B29" s="69">
        <f>LAD!B23</f>
        <v>1</v>
      </c>
      <c r="C29" s="69">
        <f>LAD!C23</f>
        <v>1</v>
      </c>
      <c r="D29" s="69">
        <f>LAD!D23</f>
        <v>0</v>
      </c>
      <c r="E29" s="69">
        <f>LAD!E23</f>
        <v>0</v>
      </c>
      <c r="F29" s="69">
        <f>LAD!F23</f>
        <v>0</v>
      </c>
      <c r="G29" s="69">
        <f>LAD!G23</f>
        <v>1</v>
      </c>
      <c r="H29" s="69">
        <f>LAD!H23</f>
        <v>0</v>
      </c>
      <c r="I29" s="69">
        <f>LAD!I23</f>
        <v>0</v>
      </c>
      <c r="J29" s="69">
        <f>LAD!J23</f>
        <v>0</v>
      </c>
      <c r="K29" s="69">
        <f>LAD!K23</f>
        <v>1</v>
      </c>
      <c r="L29" s="69">
        <f t="shared" si="0"/>
        <v>5</v>
      </c>
      <c r="M29" s="69">
        <f t="shared" si="1"/>
        <v>5</v>
      </c>
      <c r="N29" s="69">
        <f t="shared" si="2"/>
        <v>2</v>
      </c>
      <c r="O29" s="69">
        <f t="shared" si="3"/>
        <v>2</v>
      </c>
      <c r="P29" s="69">
        <f t="shared" si="4"/>
        <v>2</v>
      </c>
      <c r="Q29" s="69">
        <f t="shared" si="5"/>
        <v>2</v>
      </c>
      <c r="R29" s="70">
        <f t="shared" si="6"/>
        <v>0.40546510810816438</v>
      </c>
      <c r="S29" s="70">
        <f t="shared" si="7"/>
        <v>0.40546510810816438</v>
      </c>
      <c r="T29" s="70">
        <f t="shared" si="8"/>
        <v>0.50015005267342905</v>
      </c>
      <c r="U29" s="70">
        <f t="shared" si="9"/>
        <v>0.50015005267342905</v>
      </c>
      <c r="V29" s="70">
        <f t="shared" si="10"/>
        <v>0.91287092917527679</v>
      </c>
      <c r="W29" s="70">
        <f t="shared" si="11"/>
        <v>0.91287092917527679</v>
      </c>
      <c r="X29" s="70">
        <f t="shared" si="12"/>
        <v>0</v>
      </c>
      <c r="Y29" s="70">
        <f t="shared" si="13"/>
        <v>1.2909944487358056</v>
      </c>
      <c r="Z29" s="70">
        <f t="shared" si="14"/>
        <v>0</v>
      </c>
      <c r="AA29" s="69" t="str">
        <f t="shared" si="15"/>
        <v>Negligible</v>
      </c>
      <c r="AB29" s="69" t="str">
        <f t="shared" si="16"/>
        <v>Tidak Ada Indikasi Bias</v>
      </c>
    </row>
    <row r="30" spans="1:28" ht="25" x14ac:dyDescent="0.35">
      <c r="A30" s="71" t="str">
        <f>LAD!A24</f>
        <v>20. Dalam mendistribusikan laporan audit, hal berikut harus dipastikan.</v>
      </c>
      <c r="B30" s="69">
        <f>LAD!B24</f>
        <v>1</v>
      </c>
      <c r="C30" s="69">
        <f>LAD!C24</f>
        <v>1</v>
      </c>
      <c r="D30" s="69">
        <f>LAD!D24</f>
        <v>1</v>
      </c>
      <c r="E30" s="69">
        <f>LAD!E24</f>
        <v>1</v>
      </c>
      <c r="F30" s="69">
        <f>LAD!F24</f>
        <v>0</v>
      </c>
      <c r="G30" s="69">
        <f>LAD!G24</f>
        <v>1</v>
      </c>
      <c r="H30" s="69">
        <f>LAD!H24</f>
        <v>0</v>
      </c>
      <c r="I30" s="69">
        <f>LAD!I24</f>
        <v>0</v>
      </c>
      <c r="J30" s="69">
        <f>LAD!J24</f>
        <v>0</v>
      </c>
      <c r="K30" s="69">
        <f>LAD!K24</f>
        <v>1</v>
      </c>
      <c r="L30" s="69">
        <f t="shared" si="0"/>
        <v>5</v>
      </c>
      <c r="M30" s="69">
        <f t="shared" si="1"/>
        <v>5</v>
      </c>
      <c r="N30" s="69">
        <f t="shared" si="2"/>
        <v>3</v>
      </c>
      <c r="O30" s="69">
        <f t="shared" si="3"/>
        <v>3</v>
      </c>
      <c r="P30" s="69">
        <f t="shared" si="4"/>
        <v>3</v>
      </c>
      <c r="Q30" s="69">
        <f t="shared" si="5"/>
        <v>3</v>
      </c>
      <c r="R30" s="70">
        <f t="shared" si="6"/>
        <v>-0.40546510810816444</v>
      </c>
      <c r="S30" s="70">
        <f t="shared" si="7"/>
        <v>-0.40546510810816444</v>
      </c>
      <c r="T30" s="70">
        <f t="shared" si="8"/>
        <v>-0.31078016354289972</v>
      </c>
      <c r="U30" s="70">
        <f t="shared" si="9"/>
        <v>-0.31078016354289972</v>
      </c>
      <c r="V30" s="70">
        <f t="shared" si="10"/>
        <v>0.91287092917527679</v>
      </c>
      <c r="W30" s="70">
        <f t="shared" si="11"/>
        <v>0.91287092917527679</v>
      </c>
      <c r="X30" s="70">
        <f t="shared" si="12"/>
        <v>0</v>
      </c>
      <c r="Y30" s="70">
        <f t="shared" si="13"/>
        <v>1.2909944487358056</v>
      </c>
      <c r="Z30" s="70">
        <f t="shared" si="14"/>
        <v>0</v>
      </c>
      <c r="AA30" s="69" t="str">
        <f t="shared" si="15"/>
        <v>Negligible</v>
      </c>
      <c r="AB30" s="69" t="str">
        <f t="shared" si="16"/>
        <v>Tidak Ada Indikasi Bias</v>
      </c>
    </row>
    <row r="31" spans="1:28" ht="37.5" x14ac:dyDescent="0.35">
      <c r="A31" s="71" t="str">
        <f>LAD!A25</f>
        <v>21. Manakah dari berikut ini yang merupakan teknik pelaporan audit untuk memprioritaskan temuan audit?</v>
      </c>
      <c r="B31" s="69">
        <f>LAD!B25</f>
        <v>1</v>
      </c>
      <c r="C31" s="69">
        <f>LAD!C25</f>
        <v>1</v>
      </c>
      <c r="D31" s="69">
        <f>LAD!D25</f>
        <v>1</v>
      </c>
      <c r="E31" s="69">
        <f>LAD!E25</f>
        <v>1</v>
      </c>
      <c r="F31" s="69">
        <f>LAD!F25</f>
        <v>0</v>
      </c>
      <c r="G31" s="69">
        <f>LAD!G25</f>
        <v>1</v>
      </c>
      <c r="H31" s="69">
        <f>LAD!H25</f>
        <v>0</v>
      </c>
      <c r="I31" s="69">
        <f>LAD!I25</f>
        <v>0</v>
      </c>
      <c r="J31" s="69">
        <f>LAD!J25</f>
        <v>0</v>
      </c>
      <c r="K31" s="69">
        <f>LAD!K25</f>
        <v>1</v>
      </c>
      <c r="L31" s="69">
        <f t="shared" si="0"/>
        <v>5</v>
      </c>
      <c r="M31" s="69">
        <f t="shared" si="1"/>
        <v>5</v>
      </c>
      <c r="N31" s="69">
        <f t="shared" si="2"/>
        <v>3</v>
      </c>
      <c r="O31" s="69">
        <f t="shared" si="3"/>
        <v>3</v>
      </c>
      <c r="P31" s="69">
        <f t="shared" si="4"/>
        <v>3</v>
      </c>
      <c r="Q31" s="69">
        <f t="shared" si="5"/>
        <v>3</v>
      </c>
      <c r="R31" s="70">
        <f t="shared" si="6"/>
        <v>-0.40546510810816444</v>
      </c>
      <c r="S31" s="70">
        <f t="shared" si="7"/>
        <v>-0.40546510810816444</v>
      </c>
      <c r="T31" s="70">
        <f t="shared" si="8"/>
        <v>-0.31078016354289972</v>
      </c>
      <c r="U31" s="70">
        <f t="shared" si="9"/>
        <v>-0.31078016354289972</v>
      </c>
      <c r="V31" s="70">
        <f t="shared" si="10"/>
        <v>0.91287092917527679</v>
      </c>
      <c r="W31" s="70">
        <f t="shared" si="11"/>
        <v>0.91287092917527679</v>
      </c>
      <c r="X31" s="70">
        <f t="shared" si="12"/>
        <v>0</v>
      </c>
      <c r="Y31" s="70">
        <f t="shared" si="13"/>
        <v>1.2909944487358056</v>
      </c>
      <c r="Z31" s="70">
        <f t="shared" si="14"/>
        <v>0</v>
      </c>
      <c r="AA31" s="69" t="str">
        <f t="shared" si="15"/>
        <v>Negligible</v>
      </c>
      <c r="AB31" s="69" t="str">
        <f t="shared" si="16"/>
        <v>Tidak Ada Indikasi Bias</v>
      </c>
    </row>
    <row r="32" spans="1:28" ht="37.5" customHeight="1" x14ac:dyDescent="0.35">
      <c r="A32" s="71" t="str">
        <f>LAD!A26</f>
        <v>22. Apa yang harus dilakukan auditor apabila rencana tindakan korektif tidak dapat diterima?</v>
      </c>
      <c r="B32" s="69">
        <f>LAD!B26</f>
        <v>0</v>
      </c>
      <c r="C32" s="69">
        <f>LAD!C26</f>
        <v>0</v>
      </c>
      <c r="D32" s="69">
        <f>LAD!D26</f>
        <v>1</v>
      </c>
      <c r="E32" s="69">
        <f>LAD!E26</f>
        <v>1</v>
      </c>
      <c r="F32" s="69">
        <f>LAD!F26</f>
        <v>0</v>
      </c>
      <c r="G32" s="69">
        <f>LAD!G26</f>
        <v>0</v>
      </c>
      <c r="H32" s="69">
        <f>LAD!H26</f>
        <v>0</v>
      </c>
      <c r="I32" s="69">
        <f>LAD!I26</f>
        <v>0</v>
      </c>
      <c r="J32" s="69">
        <f>LAD!J26</f>
        <v>0</v>
      </c>
      <c r="K32" s="69">
        <f>LAD!K26</f>
        <v>0</v>
      </c>
      <c r="L32" s="69">
        <f t="shared" si="0"/>
        <v>5</v>
      </c>
      <c r="M32" s="69">
        <f t="shared" si="1"/>
        <v>5</v>
      </c>
      <c r="N32" s="69">
        <f t="shared" si="2"/>
        <v>1</v>
      </c>
      <c r="O32" s="69">
        <f t="shared" si="3"/>
        <v>1</v>
      </c>
      <c r="P32" s="69">
        <f t="shared" si="4"/>
        <v>1</v>
      </c>
      <c r="Q32" s="69">
        <f t="shared" si="5"/>
        <v>1</v>
      </c>
      <c r="R32" s="70">
        <f t="shared" si="6"/>
        <v>1.3862943611198906</v>
      </c>
      <c r="S32" s="70">
        <f t="shared" si="7"/>
        <v>1.3862943611198906</v>
      </c>
      <c r="T32" s="70">
        <f t="shared" si="8"/>
        <v>1.4809793056851552</v>
      </c>
      <c r="U32" s="70">
        <f t="shared" si="9"/>
        <v>1.4809793056851552</v>
      </c>
      <c r="V32" s="70">
        <f t="shared" si="10"/>
        <v>1.1180339887498949</v>
      </c>
      <c r="W32" s="70">
        <f t="shared" si="11"/>
        <v>1.1180339887498949</v>
      </c>
      <c r="X32" s="70">
        <f t="shared" si="12"/>
        <v>0</v>
      </c>
      <c r="Y32" s="70">
        <f t="shared" si="13"/>
        <v>1.5811388300841898</v>
      </c>
      <c r="Z32" s="70">
        <f t="shared" si="14"/>
        <v>0</v>
      </c>
      <c r="AA32" s="69" t="str">
        <f t="shared" si="15"/>
        <v>Negligible</v>
      </c>
      <c r="AB32" s="69" t="str">
        <f t="shared" si="16"/>
        <v>Tidak Ada Indikasi Bias</v>
      </c>
    </row>
    <row r="33" spans="1:28" ht="37.5" customHeight="1" x14ac:dyDescent="0.35">
      <c r="A33" s="71" t="str">
        <f>LAD!A27</f>
        <v>23. Verifikasi kecukupan atau efektivitas tindak lanjut audit dilakukan saat …</v>
      </c>
      <c r="B33" s="69">
        <f>LAD!B27</f>
        <v>1</v>
      </c>
      <c r="C33" s="69">
        <f>LAD!C27</f>
        <v>1</v>
      </c>
      <c r="D33" s="69">
        <f>LAD!D27</f>
        <v>1</v>
      </c>
      <c r="E33" s="69">
        <f>LAD!E27</f>
        <v>1</v>
      </c>
      <c r="F33" s="69">
        <f>LAD!F27</f>
        <v>0</v>
      </c>
      <c r="G33" s="69">
        <f>LAD!G27</f>
        <v>1</v>
      </c>
      <c r="H33" s="69">
        <f>LAD!H27</f>
        <v>0</v>
      </c>
      <c r="I33" s="69">
        <f>LAD!I27</f>
        <v>1</v>
      </c>
      <c r="J33" s="69">
        <f>LAD!J27</f>
        <v>1</v>
      </c>
      <c r="K33" s="69">
        <f>LAD!K27</f>
        <v>1</v>
      </c>
      <c r="L33" s="69">
        <f t="shared" si="0"/>
        <v>5</v>
      </c>
      <c r="M33" s="69">
        <f t="shared" si="1"/>
        <v>5</v>
      </c>
      <c r="N33" s="69">
        <f t="shared" si="2"/>
        <v>4</v>
      </c>
      <c r="O33" s="69">
        <f t="shared" si="3"/>
        <v>4</v>
      </c>
      <c r="P33" s="69">
        <f t="shared" si="4"/>
        <v>4</v>
      </c>
      <c r="Q33" s="69">
        <f t="shared" si="5"/>
        <v>4</v>
      </c>
      <c r="R33" s="70">
        <f t="shared" si="6"/>
        <v>-1.3862943611198906</v>
      </c>
      <c r="S33" s="70">
        <f t="shared" si="7"/>
        <v>-1.3862943611198906</v>
      </c>
      <c r="T33" s="70">
        <f t="shared" si="8"/>
        <v>-1.2916094165546259</v>
      </c>
      <c r="U33" s="70">
        <f t="shared" si="9"/>
        <v>-1.2916094165546259</v>
      </c>
      <c r="V33" s="70">
        <f t="shared" si="10"/>
        <v>1.1180339887498949</v>
      </c>
      <c r="W33" s="70">
        <f t="shared" si="11"/>
        <v>1.1180339887498949</v>
      </c>
      <c r="X33" s="70">
        <f t="shared" si="12"/>
        <v>0</v>
      </c>
      <c r="Y33" s="70">
        <f t="shared" si="13"/>
        <v>1.5811388300841898</v>
      </c>
      <c r="Z33" s="70">
        <f t="shared" si="14"/>
        <v>0</v>
      </c>
      <c r="AA33" s="69" t="str">
        <f t="shared" si="15"/>
        <v>Negligible</v>
      </c>
      <c r="AB33" s="69" t="str">
        <f t="shared" si="16"/>
        <v>Tidak Ada Indikasi Bias</v>
      </c>
    </row>
    <row r="34" spans="1:28" ht="25" x14ac:dyDescent="0.35">
      <c r="A34" s="71" t="str">
        <f>LAD!A28</f>
        <v>24. Berikut merupakan manfaat dari penerapan SMOP, kecuali …</v>
      </c>
      <c r="B34" s="69">
        <f>LAD!B28</f>
        <v>1</v>
      </c>
      <c r="C34" s="69">
        <f>LAD!C28</f>
        <v>1</v>
      </c>
      <c r="D34" s="69">
        <f>LAD!D28</f>
        <v>1</v>
      </c>
      <c r="E34" s="69">
        <f>LAD!E28</f>
        <v>1</v>
      </c>
      <c r="F34" s="69">
        <f>LAD!F28</f>
        <v>0</v>
      </c>
      <c r="G34" s="69">
        <f>LAD!G28</f>
        <v>1</v>
      </c>
      <c r="H34" s="69">
        <f>LAD!H28</f>
        <v>0</v>
      </c>
      <c r="I34" s="69">
        <f>LAD!I28</f>
        <v>0</v>
      </c>
      <c r="J34" s="69">
        <f>LAD!J28</f>
        <v>0</v>
      </c>
      <c r="K34" s="69">
        <f>LAD!K28</f>
        <v>1</v>
      </c>
      <c r="L34" s="69">
        <f t="shared" si="0"/>
        <v>5</v>
      </c>
      <c r="M34" s="69">
        <f t="shared" si="1"/>
        <v>5</v>
      </c>
      <c r="N34" s="69">
        <f t="shared" si="2"/>
        <v>3</v>
      </c>
      <c r="O34" s="69">
        <f t="shared" si="3"/>
        <v>3</v>
      </c>
      <c r="P34" s="69">
        <f t="shared" si="4"/>
        <v>3</v>
      </c>
      <c r="Q34" s="69">
        <f t="shared" si="5"/>
        <v>3</v>
      </c>
      <c r="R34" s="70">
        <f t="shared" si="6"/>
        <v>-0.40546510810816444</v>
      </c>
      <c r="S34" s="70">
        <f t="shared" si="7"/>
        <v>-0.40546510810816444</v>
      </c>
      <c r="T34" s="70">
        <f t="shared" si="8"/>
        <v>-0.31078016354289972</v>
      </c>
      <c r="U34" s="70">
        <f t="shared" si="9"/>
        <v>-0.31078016354289972</v>
      </c>
      <c r="V34" s="70">
        <f t="shared" si="10"/>
        <v>0.91287092917527679</v>
      </c>
      <c r="W34" s="70">
        <f t="shared" si="11"/>
        <v>0.91287092917527679</v>
      </c>
      <c r="X34" s="70">
        <f t="shared" si="12"/>
        <v>0</v>
      </c>
      <c r="Y34" s="70">
        <f t="shared" si="13"/>
        <v>1.2909944487358056</v>
      </c>
      <c r="Z34" s="70">
        <f t="shared" si="14"/>
        <v>0</v>
      </c>
      <c r="AA34" s="69" t="str">
        <f t="shared" si="15"/>
        <v>Negligible</v>
      </c>
      <c r="AB34" s="69" t="str">
        <f t="shared" si="16"/>
        <v>Tidak Ada Indikasi Bias</v>
      </c>
    </row>
    <row r="35" spans="1:28" ht="50" x14ac:dyDescent="0.35">
      <c r="A35" s="71" t="str">
        <f>LAD!A29</f>
        <v>25. Kerangka kerja dari ISO 21001:2018 mengikuti siklus PDCA. Klausul yang berperan sebagai poros acuan dari berjalannya siklus ini adalah klausul …</v>
      </c>
      <c r="B35" s="69">
        <f>LAD!B29</f>
        <v>1</v>
      </c>
      <c r="C35" s="69">
        <f>LAD!C29</f>
        <v>1</v>
      </c>
      <c r="D35" s="69">
        <f>LAD!D29</f>
        <v>0</v>
      </c>
      <c r="E35" s="69">
        <f>LAD!E29</f>
        <v>0</v>
      </c>
      <c r="F35" s="69">
        <f>LAD!F29</f>
        <v>0</v>
      </c>
      <c r="G35" s="69">
        <f>LAD!G29</f>
        <v>0</v>
      </c>
      <c r="H35" s="69">
        <f>LAD!H29</f>
        <v>0</v>
      </c>
      <c r="I35" s="69">
        <f>LAD!I29</f>
        <v>0</v>
      </c>
      <c r="J35" s="69">
        <f>LAD!J29</f>
        <v>0</v>
      </c>
      <c r="K35" s="69">
        <f>LAD!K29</f>
        <v>0</v>
      </c>
      <c r="L35" s="69">
        <f t="shared" si="0"/>
        <v>5</v>
      </c>
      <c r="M35" s="69">
        <f t="shared" si="1"/>
        <v>5</v>
      </c>
      <c r="N35" s="69">
        <f t="shared" si="2"/>
        <v>1</v>
      </c>
      <c r="O35" s="69">
        <f t="shared" si="3"/>
        <v>1</v>
      </c>
      <c r="P35" s="69">
        <f t="shared" si="4"/>
        <v>1</v>
      </c>
      <c r="Q35" s="69">
        <f t="shared" si="5"/>
        <v>1</v>
      </c>
      <c r="R35" s="70">
        <f t="shared" si="6"/>
        <v>1.3862943611198906</v>
      </c>
      <c r="S35" s="70">
        <f t="shared" si="7"/>
        <v>1.3862943611198906</v>
      </c>
      <c r="T35" s="70">
        <f t="shared" si="8"/>
        <v>1.4809793056851552</v>
      </c>
      <c r="U35" s="70">
        <f t="shared" si="9"/>
        <v>1.4809793056851552</v>
      </c>
      <c r="V35" s="70">
        <f t="shared" si="10"/>
        <v>1.1180339887498949</v>
      </c>
      <c r="W35" s="70">
        <f t="shared" si="11"/>
        <v>1.1180339887498949</v>
      </c>
      <c r="X35" s="70">
        <f t="shared" si="12"/>
        <v>0</v>
      </c>
      <c r="Y35" s="70">
        <f t="shared" si="13"/>
        <v>1.5811388300841898</v>
      </c>
      <c r="Z35" s="70">
        <f t="shared" si="14"/>
        <v>0</v>
      </c>
      <c r="AA35" s="69" t="str">
        <f t="shared" si="15"/>
        <v>Negligible</v>
      </c>
      <c r="AB35" s="69" t="str">
        <f t="shared" si="16"/>
        <v>Tidak Ada Indikasi Bias</v>
      </c>
    </row>
    <row r="36" spans="1:28" ht="37.5" customHeight="1" x14ac:dyDescent="0.35">
      <c r="A36" s="71" t="str">
        <f>LAD!A30</f>
        <v>26. Bertujuan untuk menjamin pemenuhan prasyarat ISO 21001:2018 tetap berjalan dengan mempertimbangkan berbagai kemungkinan adalah …</v>
      </c>
      <c r="B36" s="69">
        <f>LAD!B30</f>
        <v>1</v>
      </c>
      <c r="C36" s="69">
        <f>LAD!C30</f>
        <v>1</v>
      </c>
      <c r="D36" s="69">
        <f>LAD!D30</f>
        <v>1</v>
      </c>
      <c r="E36" s="69">
        <f>LAD!E30</f>
        <v>1</v>
      </c>
      <c r="F36" s="69">
        <f>LAD!F30</f>
        <v>0</v>
      </c>
      <c r="G36" s="69">
        <f>LAD!G30</f>
        <v>0</v>
      </c>
      <c r="H36" s="69">
        <f>LAD!H30</f>
        <v>0</v>
      </c>
      <c r="I36" s="69">
        <f>LAD!I30</f>
        <v>0</v>
      </c>
      <c r="J36" s="69">
        <f>LAD!J30</f>
        <v>0</v>
      </c>
      <c r="K36" s="69">
        <f>LAD!K30</f>
        <v>0</v>
      </c>
      <c r="L36" s="69">
        <f t="shared" si="0"/>
        <v>5</v>
      </c>
      <c r="M36" s="69">
        <f t="shared" si="1"/>
        <v>5</v>
      </c>
      <c r="N36" s="69">
        <f t="shared" si="2"/>
        <v>2</v>
      </c>
      <c r="O36" s="69">
        <f t="shared" si="3"/>
        <v>2</v>
      </c>
      <c r="P36" s="69">
        <f t="shared" si="4"/>
        <v>2</v>
      </c>
      <c r="Q36" s="69">
        <f t="shared" si="5"/>
        <v>2</v>
      </c>
      <c r="R36" s="70">
        <f t="shared" si="6"/>
        <v>0.40546510810816438</v>
      </c>
      <c r="S36" s="70">
        <f t="shared" si="7"/>
        <v>0.40546510810816438</v>
      </c>
      <c r="T36" s="70">
        <f t="shared" si="8"/>
        <v>0.50015005267342905</v>
      </c>
      <c r="U36" s="70">
        <f t="shared" si="9"/>
        <v>0.50015005267342905</v>
      </c>
      <c r="V36" s="70">
        <f t="shared" si="10"/>
        <v>0.91287092917527679</v>
      </c>
      <c r="W36" s="70">
        <f t="shared" si="11"/>
        <v>0.91287092917527679</v>
      </c>
      <c r="X36" s="70">
        <f t="shared" si="12"/>
        <v>0</v>
      </c>
      <c r="Y36" s="70">
        <f t="shared" si="13"/>
        <v>1.2909944487358056</v>
      </c>
      <c r="Z36" s="70">
        <f t="shared" si="14"/>
        <v>0</v>
      </c>
      <c r="AA36" s="69" t="str">
        <f t="shared" si="15"/>
        <v>Negligible</v>
      </c>
      <c r="AB36" s="69" t="str">
        <f t="shared" si="16"/>
        <v>Tidak Ada Indikasi Bias</v>
      </c>
    </row>
    <row r="37" spans="1:28" ht="37.5" customHeight="1" x14ac:dyDescent="0.35">
      <c r="A37" s="71" t="str">
        <f>LAD!A31</f>
        <v>27. Penciptaan kesatuan tujuan dan arahan serta keterlibatan orang-orang memungkinkan organisasi menyelaraskan strategi, kebijakan, proses, dan sumber daya untuk mencapai tujuannya. Menunjukkan pentingnya prinsip … untuk penerapan SMOP</v>
      </c>
      <c r="B37" s="69">
        <f>LAD!B31</f>
        <v>1</v>
      </c>
      <c r="C37" s="69">
        <f>LAD!C31</f>
        <v>1</v>
      </c>
      <c r="D37" s="69">
        <f>LAD!D31</f>
        <v>1</v>
      </c>
      <c r="E37" s="69">
        <f>LAD!E31</f>
        <v>1</v>
      </c>
      <c r="F37" s="69">
        <f>LAD!F31</f>
        <v>0</v>
      </c>
      <c r="G37" s="69">
        <f>LAD!G31</f>
        <v>0</v>
      </c>
      <c r="H37" s="69">
        <f>LAD!H31</f>
        <v>0</v>
      </c>
      <c r="I37" s="69">
        <f>LAD!I31</f>
        <v>0</v>
      </c>
      <c r="J37" s="69">
        <f>LAD!J31</f>
        <v>0</v>
      </c>
      <c r="K37" s="69">
        <f>LAD!K31</f>
        <v>0</v>
      </c>
      <c r="L37" s="69">
        <f t="shared" si="0"/>
        <v>5</v>
      </c>
      <c r="M37" s="69">
        <f t="shared" si="1"/>
        <v>5</v>
      </c>
      <c r="N37" s="69">
        <f t="shared" si="2"/>
        <v>2</v>
      </c>
      <c r="O37" s="69">
        <f t="shared" si="3"/>
        <v>2</v>
      </c>
      <c r="P37" s="69">
        <f t="shared" si="4"/>
        <v>2</v>
      </c>
      <c r="Q37" s="69">
        <f t="shared" si="5"/>
        <v>2</v>
      </c>
      <c r="R37" s="70">
        <f t="shared" si="6"/>
        <v>0.40546510810816438</v>
      </c>
      <c r="S37" s="70">
        <f t="shared" si="7"/>
        <v>0.40546510810816438</v>
      </c>
      <c r="T37" s="70">
        <f t="shared" si="8"/>
        <v>0.50015005267342905</v>
      </c>
      <c r="U37" s="70">
        <f t="shared" si="9"/>
        <v>0.50015005267342905</v>
      </c>
      <c r="V37" s="70">
        <f t="shared" si="10"/>
        <v>0.91287092917527679</v>
      </c>
      <c r="W37" s="70">
        <f t="shared" si="11"/>
        <v>0.91287092917527679</v>
      </c>
      <c r="X37" s="70">
        <f t="shared" si="12"/>
        <v>0</v>
      </c>
      <c r="Y37" s="70">
        <f t="shared" si="13"/>
        <v>1.2909944487358056</v>
      </c>
      <c r="Z37" s="70">
        <f t="shared" si="14"/>
        <v>0</v>
      </c>
      <c r="AA37" s="69" t="str">
        <f t="shared" si="15"/>
        <v>Negligible</v>
      </c>
      <c r="AB37" s="69" t="str">
        <f t="shared" si="16"/>
        <v>Tidak Ada Indikasi Bias</v>
      </c>
    </row>
    <row r="38" spans="1:28" ht="75" x14ac:dyDescent="0.35">
      <c r="A38" s="71" t="str">
        <f>LAD!A32</f>
        <v>28. Klausul 4.1 ISO 21001:2018 mengatakan bahwa organisasi pendidikan harus mendeskripsikan isu internal dan eksternal yang relevan dengan tujuan, tanggung jawab sosial dan arahan strategisnya. Apa maksudnya?</v>
      </c>
      <c r="B38" s="69">
        <f>LAD!B32</f>
        <v>1</v>
      </c>
      <c r="C38" s="69">
        <f>LAD!C32</f>
        <v>1</v>
      </c>
      <c r="D38" s="69">
        <f>LAD!D32</f>
        <v>1</v>
      </c>
      <c r="E38" s="69">
        <f>LAD!E32</f>
        <v>1</v>
      </c>
      <c r="F38" s="69">
        <f>LAD!F32</f>
        <v>0</v>
      </c>
      <c r="G38" s="69">
        <f>LAD!G32</f>
        <v>1</v>
      </c>
      <c r="H38" s="69">
        <f>LAD!H32</f>
        <v>0</v>
      </c>
      <c r="I38" s="69">
        <f>LAD!I32</f>
        <v>1</v>
      </c>
      <c r="J38" s="69">
        <f>LAD!J32</f>
        <v>1</v>
      </c>
      <c r="K38" s="69">
        <f>LAD!K32</f>
        <v>1</v>
      </c>
      <c r="L38" s="69">
        <f t="shared" si="0"/>
        <v>5</v>
      </c>
      <c r="M38" s="69">
        <f t="shared" si="1"/>
        <v>5</v>
      </c>
      <c r="N38" s="69">
        <f t="shared" si="2"/>
        <v>4</v>
      </c>
      <c r="O38" s="69">
        <f t="shared" si="3"/>
        <v>4</v>
      </c>
      <c r="P38" s="69">
        <f t="shared" si="4"/>
        <v>4</v>
      </c>
      <c r="Q38" s="69">
        <f t="shared" si="5"/>
        <v>4</v>
      </c>
      <c r="R38" s="70">
        <f t="shared" si="6"/>
        <v>-1.3862943611198906</v>
      </c>
      <c r="S38" s="70">
        <f t="shared" si="7"/>
        <v>-1.3862943611198906</v>
      </c>
      <c r="T38" s="70">
        <f t="shared" si="8"/>
        <v>-1.2916094165546259</v>
      </c>
      <c r="U38" s="70">
        <f t="shared" si="9"/>
        <v>-1.2916094165546259</v>
      </c>
      <c r="V38" s="70">
        <f t="shared" si="10"/>
        <v>1.1180339887498949</v>
      </c>
      <c r="W38" s="70">
        <f t="shared" si="11"/>
        <v>1.1180339887498949</v>
      </c>
      <c r="X38" s="70">
        <f t="shared" si="12"/>
        <v>0</v>
      </c>
      <c r="Y38" s="70">
        <f t="shared" si="13"/>
        <v>1.5811388300841898</v>
      </c>
      <c r="Z38" s="70">
        <f t="shared" si="14"/>
        <v>0</v>
      </c>
      <c r="AA38" s="69" t="str">
        <f t="shared" si="15"/>
        <v>Negligible</v>
      </c>
      <c r="AB38" s="69" t="str">
        <f t="shared" si="16"/>
        <v>Tidak Ada Indikasi Bias</v>
      </c>
    </row>
    <row r="39" spans="1:28" ht="100" x14ac:dyDescent="0.35">
      <c r="A39" s="71" t="str">
        <f>LAD!A33</f>
        <v>29. Klausul 6.1.1 ISO 21001:2018 mengatakan bahwa saat merencanakan SMOP, organisasi harus mempertimbangkan permasalahan yang disebutkan dalam 4.1 dan persyaratan yang disebutkan dalam 4.2 dan 4.4 serta menentukan risiko dan peluang yang perlu ditangani. Apa maksudnya?</v>
      </c>
      <c r="B39" s="69">
        <f>LAD!B33</f>
        <v>1</v>
      </c>
      <c r="C39" s="69">
        <f>LAD!C33</f>
        <v>1</v>
      </c>
      <c r="D39" s="69">
        <f>LAD!D33</f>
        <v>1</v>
      </c>
      <c r="E39" s="69">
        <f>LAD!E33</f>
        <v>1</v>
      </c>
      <c r="F39" s="69">
        <f>LAD!F33</f>
        <v>0</v>
      </c>
      <c r="G39" s="69">
        <f>LAD!G33</f>
        <v>1</v>
      </c>
      <c r="H39" s="69">
        <f>LAD!H33</f>
        <v>0</v>
      </c>
      <c r="I39" s="69">
        <f>LAD!I33</f>
        <v>1</v>
      </c>
      <c r="J39" s="69">
        <f>LAD!J33</f>
        <v>1</v>
      </c>
      <c r="K39" s="69">
        <f>LAD!K33</f>
        <v>1</v>
      </c>
      <c r="L39" s="69">
        <f t="shared" si="0"/>
        <v>5</v>
      </c>
      <c r="M39" s="69">
        <f t="shared" si="1"/>
        <v>5</v>
      </c>
      <c r="N39" s="69">
        <f t="shared" si="2"/>
        <v>4</v>
      </c>
      <c r="O39" s="69">
        <f t="shared" si="3"/>
        <v>4</v>
      </c>
      <c r="P39" s="69">
        <f t="shared" si="4"/>
        <v>4</v>
      </c>
      <c r="Q39" s="69">
        <f t="shared" si="5"/>
        <v>4</v>
      </c>
      <c r="R39" s="70">
        <f t="shared" si="6"/>
        <v>-1.3862943611198906</v>
      </c>
      <c r="S39" s="70">
        <f t="shared" si="7"/>
        <v>-1.3862943611198906</v>
      </c>
      <c r="T39" s="70">
        <f t="shared" si="8"/>
        <v>-1.2916094165546259</v>
      </c>
      <c r="U39" s="70">
        <f t="shared" si="9"/>
        <v>-1.2916094165546259</v>
      </c>
      <c r="V39" s="70">
        <f t="shared" si="10"/>
        <v>1.1180339887498949</v>
      </c>
      <c r="W39" s="70">
        <f t="shared" si="11"/>
        <v>1.1180339887498949</v>
      </c>
      <c r="X39" s="70">
        <f t="shared" si="12"/>
        <v>0</v>
      </c>
      <c r="Y39" s="70">
        <f t="shared" si="13"/>
        <v>1.5811388300841898</v>
      </c>
      <c r="Z39" s="70">
        <f t="shared" si="14"/>
        <v>0</v>
      </c>
      <c r="AA39" s="69" t="str">
        <f t="shared" si="15"/>
        <v>Negligible</v>
      </c>
      <c r="AB39" s="69" t="str">
        <f t="shared" si="16"/>
        <v>Tidak Ada Indikasi Bias</v>
      </c>
    </row>
    <row r="40" spans="1:28" ht="25" x14ac:dyDescent="0.35">
      <c r="A40" s="71" t="str">
        <f>LAD!A34</f>
        <v>30. Siklus SPMI adalah PPEPP. Apa itu?</v>
      </c>
      <c r="B40" s="69">
        <f>LAD!B34</f>
        <v>1</v>
      </c>
      <c r="C40" s="69">
        <f>LAD!C34</f>
        <v>1</v>
      </c>
      <c r="D40" s="69">
        <f>LAD!D34</f>
        <v>1</v>
      </c>
      <c r="E40" s="69">
        <f>LAD!E34</f>
        <v>1</v>
      </c>
      <c r="F40" s="69">
        <f>LAD!F34</f>
        <v>0</v>
      </c>
      <c r="G40" s="69">
        <f>LAD!G34</f>
        <v>0</v>
      </c>
      <c r="H40" s="69">
        <f>LAD!H34</f>
        <v>0</v>
      </c>
      <c r="I40" s="69">
        <f>LAD!I34</f>
        <v>0</v>
      </c>
      <c r="J40" s="69">
        <f>LAD!J34</f>
        <v>0</v>
      </c>
      <c r="K40" s="69">
        <f>LAD!K34</f>
        <v>0</v>
      </c>
      <c r="L40" s="69">
        <f t="shared" si="0"/>
        <v>5</v>
      </c>
      <c r="M40" s="69">
        <f t="shared" si="1"/>
        <v>5</v>
      </c>
      <c r="N40" s="69">
        <f t="shared" si="2"/>
        <v>2</v>
      </c>
      <c r="O40" s="69">
        <f t="shared" si="3"/>
        <v>2</v>
      </c>
      <c r="P40" s="69">
        <f t="shared" si="4"/>
        <v>2</v>
      </c>
      <c r="Q40" s="69">
        <f t="shared" si="5"/>
        <v>2</v>
      </c>
      <c r="R40" s="70">
        <f t="shared" si="6"/>
        <v>0.40546510810816438</v>
      </c>
      <c r="S40" s="70">
        <f t="shared" si="7"/>
        <v>0.40546510810816438</v>
      </c>
      <c r="T40" s="70">
        <f t="shared" si="8"/>
        <v>0.50015005267342905</v>
      </c>
      <c r="U40" s="70">
        <f t="shared" si="9"/>
        <v>0.50015005267342905</v>
      </c>
      <c r="V40" s="70">
        <f t="shared" si="10"/>
        <v>0.91287092917527679</v>
      </c>
      <c r="W40" s="70">
        <f t="shared" si="11"/>
        <v>0.91287092917527679</v>
      </c>
      <c r="X40" s="70">
        <f t="shared" si="12"/>
        <v>0</v>
      </c>
      <c r="Y40" s="70">
        <f t="shared" si="13"/>
        <v>1.2909944487358056</v>
      </c>
      <c r="Z40" s="70">
        <f t="shared" si="14"/>
        <v>0</v>
      </c>
      <c r="AA40" s="69" t="str">
        <f t="shared" si="15"/>
        <v>Negligible</v>
      </c>
      <c r="AB40" s="69" t="str">
        <f t="shared" si="16"/>
        <v>Tidak Ada Indikasi Bias</v>
      </c>
    </row>
    <row r="41" spans="1:28" ht="37.5" x14ac:dyDescent="0.35">
      <c r="A41" s="71" t="str">
        <f>LAD!A35</f>
        <v>31. Menetapkan pengelola unit penjaminan mutu merupakan bentuk pemenuhan siklus SPMI …</v>
      </c>
      <c r="B41" s="69">
        <f>LAD!B35</f>
        <v>1</v>
      </c>
      <c r="C41" s="69">
        <f>LAD!C35</f>
        <v>1</v>
      </c>
      <c r="D41" s="69">
        <f>LAD!D35</f>
        <v>1</v>
      </c>
      <c r="E41" s="69">
        <f>LAD!E35</f>
        <v>1</v>
      </c>
      <c r="F41" s="69">
        <f>LAD!F35</f>
        <v>0</v>
      </c>
      <c r="G41" s="69">
        <f>LAD!G35</f>
        <v>0</v>
      </c>
      <c r="H41" s="69">
        <f>LAD!H35</f>
        <v>0</v>
      </c>
      <c r="I41" s="69">
        <f>LAD!I35</f>
        <v>1</v>
      </c>
      <c r="J41" s="69">
        <f>LAD!J35</f>
        <v>1</v>
      </c>
      <c r="K41" s="69">
        <f>LAD!K35</f>
        <v>0</v>
      </c>
      <c r="L41" s="69">
        <f t="shared" si="0"/>
        <v>5</v>
      </c>
      <c r="M41" s="69">
        <f t="shared" si="1"/>
        <v>5</v>
      </c>
      <c r="N41" s="69">
        <f t="shared" si="2"/>
        <v>3</v>
      </c>
      <c r="O41" s="69">
        <f t="shared" si="3"/>
        <v>3</v>
      </c>
      <c r="P41" s="69">
        <f t="shared" si="4"/>
        <v>3</v>
      </c>
      <c r="Q41" s="69">
        <f t="shared" si="5"/>
        <v>3</v>
      </c>
      <c r="R41" s="70">
        <f t="shared" si="6"/>
        <v>-0.40546510810816444</v>
      </c>
      <c r="S41" s="70">
        <f t="shared" si="7"/>
        <v>-0.40546510810816444</v>
      </c>
      <c r="T41" s="70">
        <f t="shared" si="8"/>
        <v>-0.31078016354289972</v>
      </c>
      <c r="U41" s="70">
        <f t="shared" si="9"/>
        <v>-0.31078016354289972</v>
      </c>
      <c r="V41" s="70">
        <f t="shared" si="10"/>
        <v>0.91287092917527679</v>
      </c>
      <c r="W41" s="70">
        <f t="shared" si="11"/>
        <v>0.91287092917527679</v>
      </c>
      <c r="X41" s="70">
        <f t="shared" si="12"/>
        <v>0</v>
      </c>
      <c r="Y41" s="70">
        <f t="shared" si="13"/>
        <v>1.2909944487358056</v>
      </c>
      <c r="Z41" s="70">
        <f t="shared" si="14"/>
        <v>0</v>
      </c>
      <c r="AA41" s="69" t="str">
        <f t="shared" si="15"/>
        <v>Negligible</v>
      </c>
      <c r="AB41" s="69" t="str">
        <f t="shared" si="16"/>
        <v>Tidak Ada Indikasi Bias</v>
      </c>
    </row>
    <row r="42" spans="1:28" ht="37.5" x14ac:dyDescent="0.35">
      <c r="A42" s="71" t="str">
        <f>LAD!A36</f>
        <v>32. Survei kepuasan pihak berkepentingan merupakan bentuk pemenuhan siklus SPMI …</v>
      </c>
      <c r="B42" s="69">
        <f>LAD!B36</f>
        <v>1</v>
      </c>
      <c r="C42" s="69">
        <f>LAD!C36</f>
        <v>1</v>
      </c>
      <c r="D42" s="69">
        <f>LAD!D36</f>
        <v>1</v>
      </c>
      <c r="E42" s="69">
        <f>LAD!E36</f>
        <v>1</v>
      </c>
      <c r="F42" s="69">
        <f>LAD!F36</f>
        <v>0</v>
      </c>
      <c r="G42" s="69">
        <f>LAD!G36</f>
        <v>0</v>
      </c>
      <c r="H42" s="69">
        <f>LAD!H36</f>
        <v>0</v>
      </c>
      <c r="I42" s="69">
        <f>LAD!I36</f>
        <v>0</v>
      </c>
      <c r="J42" s="69">
        <f>LAD!J36</f>
        <v>0</v>
      </c>
      <c r="K42" s="69">
        <f>LAD!K36</f>
        <v>0</v>
      </c>
      <c r="L42" s="69">
        <f t="shared" si="0"/>
        <v>5</v>
      </c>
      <c r="M42" s="69">
        <f t="shared" si="1"/>
        <v>5</v>
      </c>
      <c r="N42" s="69">
        <f t="shared" si="2"/>
        <v>2</v>
      </c>
      <c r="O42" s="69">
        <f t="shared" si="3"/>
        <v>2</v>
      </c>
      <c r="P42" s="69">
        <f t="shared" si="4"/>
        <v>2</v>
      </c>
      <c r="Q42" s="69">
        <f t="shared" si="5"/>
        <v>2</v>
      </c>
      <c r="R42" s="70">
        <f t="shared" si="6"/>
        <v>0.40546510810816438</v>
      </c>
      <c r="S42" s="70">
        <f t="shared" si="7"/>
        <v>0.40546510810816438</v>
      </c>
      <c r="T42" s="70">
        <f t="shared" si="8"/>
        <v>0.50015005267342905</v>
      </c>
      <c r="U42" s="70">
        <f t="shared" si="9"/>
        <v>0.50015005267342905</v>
      </c>
      <c r="V42" s="70">
        <f t="shared" si="10"/>
        <v>0.91287092917527679</v>
      </c>
      <c r="W42" s="70">
        <f t="shared" si="11"/>
        <v>0.91287092917527679</v>
      </c>
      <c r="X42" s="70">
        <f t="shared" si="12"/>
        <v>0</v>
      </c>
      <c r="Y42" s="70">
        <f t="shared" si="13"/>
        <v>1.2909944487358056</v>
      </c>
      <c r="Z42" s="70">
        <f t="shared" si="14"/>
        <v>0</v>
      </c>
      <c r="AA42" s="69" t="str">
        <f t="shared" si="15"/>
        <v>Negligible</v>
      </c>
      <c r="AB42" s="69" t="str">
        <f t="shared" si="16"/>
        <v>Tidak Ada Indikasi Bias</v>
      </c>
    </row>
    <row r="43" spans="1:28" ht="25" x14ac:dyDescent="0.35">
      <c r="A43" s="71" t="str">
        <f>LAD!A37</f>
        <v>33. Berikut adalah bentuk pemenuhan siklus pengendalian SPMI. Kecuali …</v>
      </c>
      <c r="B43" s="69">
        <f>LAD!B37</f>
        <v>1</v>
      </c>
      <c r="C43" s="69">
        <f>LAD!C37</f>
        <v>1</v>
      </c>
      <c r="D43" s="69">
        <f>LAD!D37</f>
        <v>1</v>
      </c>
      <c r="E43" s="69">
        <f>LAD!E37</f>
        <v>1</v>
      </c>
      <c r="F43" s="69">
        <f>LAD!F37</f>
        <v>1</v>
      </c>
      <c r="G43" s="69">
        <f>LAD!G37</f>
        <v>0</v>
      </c>
      <c r="H43" s="69">
        <f>LAD!H37</f>
        <v>1</v>
      </c>
      <c r="I43" s="69">
        <f>LAD!I37</f>
        <v>0</v>
      </c>
      <c r="J43" s="69">
        <f>LAD!J37</f>
        <v>0</v>
      </c>
      <c r="K43" s="69">
        <f>LAD!K37</f>
        <v>0</v>
      </c>
      <c r="L43" s="69">
        <f t="shared" ref="L43:L74" si="17">COUNTIF($B$8:$K$8,"Laki-Laki")</f>
        <v>5</v>
      </c>
      <c r="M43" s="69">
        <f t="shared" ref="M43:M74" si="18">COUNTIF($B$8:$K$8,"Perempuan")</f>
        <v>5</v>
      </c>
      <c r="N43" s="69">
        <f t="shared" ref="N43:N74" si="19">SUMIF($B$8:$K$8,"Laki-Laki",B43:K43)</f>
        <v>3</v>
      </c>
      <c r="O43" s="69">
        <f t="shared" ref="O43:O74" si="20">SUMIF($B$8:$K$8,"Perempuan",B43:K43)</f>
        <v>3</v>
      </c>
      <c r="P43" s="69">
        <f t="shared" ref="P43:P74" si="21">IF(N43=0,0.3,IF(N43=L43,L43-0.3,N43))</f>
        <v>3</v>
      </c>
      <c r="Q43" s="69">
        <f t="shared" ref="Q43:Q74" si="22">IF(O43=0,0.3,IF(O43=M43,M43-0.3,O43))</f>
        <v>3</v>
      </c>
      <c r="R43" s="70">
        <f t="shared" ref="R43:R74" si="23">LN((L43-P43)/P43)</f>
        <v>-0.40546510810816444</v>
      </c>
      <c r="S43" s="70">
        <f t="shared" ref="S43:S74" si="24">LN((M43-Q43)/Q43)</f>
        <v>-0.40546510810816444</v>
      </c>
      <c r="T43" s="70">
        <f t="shared" ref="T43:T74" si="25">R43-AVERAGE($R$11:$R$110)</f>
        <v>-0.31078016354289972</v>
      </c>
      <c r="U43" s="70">
        <f t="shared" ref="U43:U74" si="26">S43-AVERAGE($S$11:$S$110)</f>
        <v>-0.31078016354289972</v>
      </c>
      <c r="V43" s="70">
        <f t="shared" ref="V43:V74" si="27">SQRT(1/P43+1/(L43-P43))</f>
        <v>0.91287092917527679</v>
      </c>
      <c r="W43" s="70">
        <f t="shared" ref="W43:W74" si="28">SQRT(1/Q43+1/(M43-Q43))</f>
        <v>0.91287092917527679</v>
      </c>
      <c r="X43" s="70">
        <f t="shared" ref="X43:X74" si="29">T43-U43</f>
        <v>0</v>
      </c>
      <c r="Y43" s="70">
        <f t="shared" ref="Y43:Y74" si="30">SQRT(V43^2+W43^2)</f>
        <v>1.2909944487358056</v>
      </c>
      <c r="Z43" s="70">
        <f t="shared" ref="Z43:Z74" si="31">X43/Y43</f>
        <v>0</v>
      </c>
      <c r="AA43" s="69" t="str">
        <f t="shared" ref="AA43:AA74" si="32">IF(AND(ABS(X43)&gt;=$B$4,ABS(Z43)&gt;=$B$5),"DIF Besar - review",IF(AND(ABS(X43)&gt;=$B$3,ABS(Z43)&gt;=$B$5),"DIF Moderat - cek","Negligible"))</f>
        <v>Negligible</v>
      </c>
      <c r="AB43" s="69" t="str">
        <f t="shared" ref="AB43:AB74" si="33">IF(ABS(X43)&gt;=$B$4,"Berpotensi Bias - Tinjau Konten",IF(ABS(X43)&gt;=$B$3,"Indikasi Ringan - Pantau","Tidak Ada Indikasi Bias"))</f>
        <v>Tidak Ada Indikasi Bias</v>
      </c>
    </row>
    <row r="44" spans="1:28" ht="25" x14ac:dyDescent="0.35">
      <c r="A44" s="71" t="str">
        <f>LAD!A38</f>
        <v>34. Melakukan benchmarking merupakan bentuk pemenuhan siklus SPMI …</v>
      </c>
      <c r="B44" s="69">
        <f>LAD!B38</f>
        <v>1</v>
      </c>
      <c r="C44" s="69">
        <f>LAD!C38</f>
        <v>1</v>
      </c>
      <c r="D44" s="69">
        <f>LAD!D38</f>
        <v>1</v>
      </c>
      <c r="E44" s="69">
        <f>LAD!E38</f>
        <v>1</v>
      </c>
      <c r="F44" s="69">
        <f>LAD!F38</f>
        <v>0</v>
      </c>
      <c r="G44" s="69">
        <f>LAD!G38</f>
        <v>0</v>
      </c>
      <c r="H44" s="69">
        <f>LAD!H38</f>
        <v>0</v>
      </c>
      <c r="I44" s="69">
        <f>LAD!I38</f>
        <v>0</v>
      </c>
      <c r="J44" s="69">
        <f>LAD!J38</f>
        <v>0</v>
      </c>
      <c r="K44" s="69">
        <f>LAD!K38</f>
        <v>0</v>
      </c>
      <c r="L44" s="69">
        <f t="shared" si="17"/>
        <v>5</v>
      </c>
      <c r="M44" s="69">
        <f t="shared" si="18"/>
        <v>5</v>
      </c>
      <c r="N44" s="69">
        <f t="shared" si="19"/>
        <v>2</v>
      </c>
      <c r="O44" s="69">
        <f t="shared" si="20"/>
        <v>2</v>
      </c>
      <c r="P44" s="69">
        <f t="shared" si="21"/>
        <v>2</v>
      </c>
      <c r="Q44" s="69">
        <f t="shared" si="22"/>
        <v>2</v>
      </c>
      <c r="R44" s="70">
        <f t="shared" si="23"/>
        <v>0.40546510810816438</v>
      </c>
      <c r="S44" s="70">
        <f t="shared" si="24"/>
        <v>0.40546510810816438</v>
      </c>
      <c r="T44" s="70">
        <f t="shared" si="25"/>
        <v>0.50015005267342905</v>
      </c>
      <c r="U44" s="70">
        <f t="shared" si="26"/>
        <v>0.50015005267342905</v>
      </c>
      <c r="V44" s="70">
        <f t="shared" si="27"/>
        <v>0.91287092917527679</v>
      </c>
      <c r="W44" s="70">
        <f t="shared" si="28"/>
        <v>0.91287092917527679</v>
      </c>
      <c r="X44" s="70">
        <f t="shared" si="29"/>
        <v>0</v>
      </c>
      <c r="Y44" s="70">
        <f t="shared" si="30"/>
        <v>1.2909944487358056</v>
      </c>
      <c r="Z44" s="70">
        <f t="shared" si="31"/>
        <v>0</v>
      </c>
      <c r="AA44" s="69" t="str">
        <f t="shared" si="32"/>
        <v>Negligible</v>
      </c>
      <c r="AB44" s="69" t="str">
        <f t="shared" si="33"/>
        <v>Tidak Ada Indikasi Bias</v>
      </c>
    </row>
    <row r="45" spans="1:28" ht="50" x14ac:dyDescent="0.35">
      <c r="A45" s="71" t="str">
        <f>LAD!A39</f>
        <v>35. Klausul 9.3 ISO 21001:2018 mensyaratkan adanya rapat tinjauan manajemen. Hal ini selaras dengan penerapan siklus SPMI …</v>
      </c>
      <c r="B45" s="69">
        <f>LAD!B39</f>
        <v>1</v>
      </c>
      <c r="C45" s="69">
        <f>LAD!C39</f>
        <v>1</v>
      </c>
      <c r="D45" s="69">
        <f>LAD!D39</f>
        <v>1</v>
      </c>
      <c r="E45" s="69">
        <f>LAD!E39</f>
        <v>1</v>
      </c>
      <c r="F45" s="69">
        <f>LAD!F39</f>
        <v>0</v>
      </c>
      <c r="G45" s="69">
        <f>LAD!G39</f>
        <v>0</v>
      </c>
      <c r="H45" s="69">
        <f>LAD!H39</f>
        <v>0</v>
      </c>
      <c r="I45" s="69">
        <f>LAD!I39</f>
        <v>1</v>
      </c>
      <c r="J45" s="69">
        <f>LAD!J39</f>
        <v>1</v>
      </c>
      <c r="K45" s="69">
        <f>LAD!K39</f>
        <v>0</v>
      </c>
      <c r="L45" s="69">
        <f t="shared" si="17"/>
        <v>5</v>
      </c>
      <c r="M45" s="69">
        <f t="shared" si="18"/>
        <v>5</v>
      </c>
      <c r="N45" s="69">
        <f t="shared" si="19"/>
        <v>3</v>
      </c>
      <c r="O45" s="69">
        <f t="shared" si="20"/>
        <v>3</v>
      </c>
      <c r="P45" s="69">
        <f t="shared" si="21"/>
        <v>3</v>
      </c>
      <c r="Q45" s="69">
        <f t="shared" si="22"/>
        <v>3</v>
      </c>
      <c r="R45" s="70">
        <f t="shared" si="23"/>
        <v>-0.40546510810816444</v>
      </c>
      <c r="S45" s="70">
        <f t="shared" si="24"/>
        <v>-0.40546510810816444</v>
      </c>
      <c r="T45" s="70">
        <f t="shared" si="25"/>
        <v>-0.31078016354289972</v>
      </c>
      <c r="U45" s="70">
        <f t="shared" si="26"/>
        <v>-0.31078016354289972</v>
      </c>
      <c r="V45" s="70">
        <f t="shared" si="27"/>
        <v>0.91287092917527679</v>
      </c>
      <c r="W45" s="70">
        <f t="shared" si="28"/>
        <v>0.91287092917527679</v>
      </c>
      <c r="X45" s="70">
        <f t="shared" si="29"/>
        <v>0</v>
      </c>
      <c r="Y45" s="70">
        <f t="shared" si="30"/>
        <v>1.2909944487358056</v>
      </c>
      <c r="Z45" s="70">
        <f t="shared" si="31"/>
        <v>0</v>
      </c>
      <c r="AA45" s="69" t="str">
        <f t="shared" si="32"/>
        <v>Negligible</v>
      </c>
      <c r="AB45" s="69" t="str">
        <f t="shared" si="33"/>
        <v>Tidak Ada Indikasi Bias</v>
      </c>
    </row>
    <row r="46" spans="1:28" ht="37.5" x14ac:dyDescent="0.35">
      <c r="A46" s="71" t="str">
        <f>LAD!A40</f>
        <v>36. Bagaimana cara mengintegrasikan prasyarat ISO 21001:2018 dengan SPMI sesuai anjuran ISO 21001:2018?</v>
      </c>
      <c r="B46" s="69">
        <f>LAD!B40</f>
        <v>0</v>
      </c>
      <c r="C46" s="69">
        <f>LAD!C40</f>
        <v>0</v>
      </c>
      <c r="D46" s="69">
        <f>LAD!D40</f>
        <v>1</v>
      </c>
      <c r="E46" s="69">
        <f>LAD!E40</f>
        <v>1</v>
      </c>
      <c r="F46" s="69">
        <f>LAD!F40</f>
        <v>0</v>
      </c>
      <c r="G46" s="69">
        <f>LAD!G40</f>
        <v>1</v>
      </c>
      <c r="H46" s="69">
        <f>LAD!H40</f>
        <v>0</v>
      </c>
      <c r="I46" s="69">
        <f>LAD!I40</f>
        <v>0</v>
      </c>
      <c r="J46" s="69">
        <f>LAD!J40</f>
        <v>0</v>
      </c>
      <c r="K46" s="69">
        <f>LAD!K40</f>
        <v>1</v>
      </c>
      <c r="L46" s="69">
        <f t="shared" si="17"/>
        <v>5</v>
      </c>
      <c r="M46" s="69">
        <f t="shared" si="18"/>
        <v>5</v>
      </c>
      <c r="N46" s="69">
        <f t="shared" si="19"/>
        <v>2</v>
      </c>
      <c r="O46" s="69">
        <f t="shared" si="20"/>
        <v>2</v>
      </c>
      <c r="P46" s="69">
        <f t="shared" si="21"/>
        <v>2</v>
      </c>
      <c r="Q46" s="69">
        <f t="shared" si="22"/>
        <v>2</v>
      </c>
      <c r="R46" s="70">
        <f t="shared" si="23"/>
        <v>0.40546510810816438</v>
      </c>
      <c r="S46" s="70">
        <f t="shared" si="24"/>
        <v>0.40546510810816438</v>
      </c>
      <c r="T46" s="70">
        <f t="shared" si="25"/>
        <v>0.50015005267342905</v>
      </c>
      <c r="U46" s="70">
        <f t="shared" si="26"/>
        <v>0.50015005267342905</v>
      </c>
      <c r="V46" s="70">
        <f t="shared" si="27"/>
        <v>0.91287092917527679</v>
      </c>
      <c r="W46" s="70">
        <f t="shared" si="28"/>
        <v>0.91287092917527679</v>
      </c>
      <c r="X46" s="70">
        <f t="shared" si="29"/>
        <v>0</v>
      </c>
      <c r="Y46" s="70">
        <f t="shared" si="30"/>
        <v>1.2909944487358056</v>
      </c>
      <c r="Z46" s="70">
        <f t="shared" si="31"/>
        <v>0</v>
      </c>
      <c r="AA46" s="69" t="str">
        <f t="shared" si="32"/>
        <v>Negligible</v>
      </c>
      <c r="AB46" s="69" t="str">
        <f t="shared" si="33"/>
        <v>Tidak Ada Indikasi Bias</v>
      </c>
    </row>
    <row r="47" spans="1:28" ht="125" x14ac:dyDescent="0.35">
      <c r="A47" s="71" t="str">
        <f>LAD!A41</f>
        <v>37. Matriks SWOT disusun berdasarkan isu internal dan eksternal sebagai input. Isu internal dinyatakan dalam bentuk strength dan weakness, sedangkan isu eksternal dalam bentuk opportunity dan threat. Upaya melakukan promosi dengan memanfaatkan jaringan perguruan tinggi untuk memenangkan persaingan pasar merupakan bentuk strategi yang memanfaatkan kombinasi …</v>
      </c>
      <c r="B47" s="69">
        <f>LAD!B41</f>
        <v>1</v>
      </c>
      <c r="C47" s="69">
        <f>LAD!C41</f>
        <v>1</v>
      </c>
      <c r="D47" s="69">
        <f>LAD!D41</f>
        <v>1</v>
      </c>
      <c r="E47" s="69">
        <f>LAD!E41</f>
        <v>1</v>
      </c>
      <c r="F47" s="69">
        <f>LAD!F41</f>
        <v>1</v>
      </c>
      <c r="G47" s="69">
        <f>LAD!G41</f>
        <v>1</v>
      </c>
      <c r="H47" s="69">
        <f>LAD!H41</f>
        <v>1</v>
      </c>
      <c r="I47" s="69">
        <f>LAD!I41</f>
        <v>0</v>
      </c>
      <c r="J47" s="69">
        <f>LAD!J41</f>
        <v>0</v>
      </c>
      <c r="K47" s="69">
        <f>LAD!K41</f>
        <v>1</v>
      </c>
      <c r="L47" s="69">
        <f t="shared" si="17"/>
        <v>5</v>
      </c>
      <c r="M47" s="69">
        <f t="shared" si="18"/>
        <v>5</v>
      </c>
      <c r="N47" s="69">
        <f t="shared" si="19"/>
        <v>4</v>
      </c>
      <c r="O47" s="69">
        <f t="shared" si="20"/>
        <v>4</v>
      </c>
      <c r="P47" s="69">
        <f t="shared" si="21"/>
        <v>4</v>
      </c>
      <c r="Q47" s="69">
        <f t="shared" si="22"/>
        <v>4</v>
      </c>
      <c r="R47" s="70">
        <f t="shared" si="23"/>
        <v>-1.3862943611198906</v>
      </c>
      <c r="S47" s="70">
        <f t="shared" si="24"/>
        <v>-1.3862943611198906</v>
      </c>
      <c r="T47" s="70">
        <f t="shared" si="25"/>
        <v>-1.2916094165546259</v>
      </c>
      <c r="U47" s="70">
        <f t="shared" si="26"/>
        <v>-1.2916094165546259</v>
      </c>
      <c r="V47" s="70">
        <f t="shared" si="27"/>
        <v>1.1180339887498949</v>
      </c>
      <c r="W47" s="70">
        <f t="shared" si="28"/>
        <v>1.1180339887498949</v>
      </c>
      <c r="X47" s="70">
        <f t="shared" si="29"/>
        <v>0</v>
      </c>
      <c r="Y47" s="70">
        <f t="shared" si="30"/>
        <v>1.5811388300841898</v>
      </c>
      <c r="Z47" s="70">
        <f t="shared" si="31"/>
        <v>0</v>
      </c>
      <c r="AA47" s="69" t="str">
        <f t="shared" si="32"/>
        <v>Negligible</v>
      </c>
      <c r="AB47" s="69" t="str">
        <f t="shared" si="33"/>
        <v>Tidak Ada Indikasi Bias</v>
      </c>
    </row>
    <row r="48" spans="1:28" ht="37.5" x14ac:dyDescent="0.35">
      <c r="A48" s="71" t="str">
        <f>LAD!A42</f>
        <v>38. Akses pendidikan berkualitas, fasilitas akademik yang memadai, dan kegiatan konseling merupakan kebutuhan dari …</v>
      </c>
      <c r="B48" s="69">
        <f>LAD!B42</f>
        <v>1</v>
      </c>
      <c r="C48" s="69">
        <f>LAD!C42</f>
        <v>1</v>
      </c>
      <c r="D48" s="69">
        <f>LAD!D42</f>
        <v>0</v>
      </c>
      <c r="E48" s="69">
        <f>LAD!E42</f>
        <v>0</v>
      </c>
      <c r="F48" s="69">
        <f>LAD!F42</f>
        <v>0</v>
      </c>
      <c r="G48" s="69">
        <f>LAD!G42</f>
        <v>1</v>
      </c>
      <c r="H48" s="69">
        <f>LAD!H42</f>
        <v>0</v>
      </c>
      <c r="I48" s="69">
        <f>LAD!I42</f>
        <v>0</v>
      </c>
      <c r="J48" s="69">
        <f>LAD!J42</f>
        <v>0</v>
      </c>
      <c r="K48" s="69">
        <f>LAD!K42</f>
        <v>1</v>
      </c>
      <c r="L48" s="69">
        <f t="shared" si="17"/>
        <v>5</v>
      </c>
      <c r="M48" s="69">
        <f t="shared" si="18"/>
        <v>5</v>
      </c>
      <c r="N48" s="69">
        <f t="shared" si="19"/>
        <v>2</v>
      </c>
      <c r="O48" s="69">
        <f t="shared" si="20"/>
        <v>2</v>
      </c>
      <c r="P48" s="69">
        <f t="shared" si="21"/>
        <v>2</v>
      </c>
      <c r="Q48" s="69">
        <f t="shared" si="22"/>
        <v>2</v>
      </c>
      <c r="R48" s="70">
        <f t="shared" si="23"/>
        <v>0.40546510810816438</v>
      </c>
      <c r="S48" s="70">
        <f t="shared" si="24"/>
        <v>0.40546510810816438</v>
      </c>
      <c r="T48" s="70">
        <f t="shared" si="25"/>
        <v>0.50015005267342905</v>
      </c>
      <c r="U48" s="70">
        <f t="shared" si="26"/>
        <v>0.50015005267342905</v>
      </c>
      <c r="V48" s="70">
        <f t="shared" si="27"/>
        <v>0.91287092917527679</v>
      </c>
      <c r="W48" s="70">
        <f t="shared" si="28"/>
        <v>0.91287092917527679</v>
      </c>
      <c r="X48" s="70">
        <f t="shared" si="29"/>
        <v>0</v>
      </c>
      <c r="Y48" s="70">
        <f t="shared" si="30"/>
        <v>1.2909944487358056</v>
      </c>
      <c r="Z48" s="70">
        <f t="shared" si="31"/>
        <v>0</v>
      </c>
      <c r="AA48" s="69" t="str">
        <f t="shared" si="32"/>
        <v>Negligible</v>
      </c>
      <c r="AB48" s="69" t="str">
        <f t="shared" si="33"/>
        <v>Tidak Ada Indikasi Bias</v>
      </c>
    </row>
    <row r="49" spans="1:28" ht="37.5" x14ac:dyDescent="0.35">
      <c r="A49" s="71" t="str">
        <f>LAD!A43</f>
        <v>39. Klausul ISO berikut dapat menjadi input dalam penyusunan latar belakang SPMI.</v>
      </c>
      <c r="B49" s="69">
        <f>LAD!B43</f>
        <v>1</v>
      </c>
      <c r="C49" s="69">
        <f>LAD!C43</f>
        <v>1</v>
      </c>
      <c r="D49" s="69">
        <f>LAD!D43</f>
        <v>1</v>
      </c>
      <c r="E49" s="69">
        <f>LAD!E43</f>
        <v>1</v>
      </c>
      <c r="F49" s="69">
        <f>LAD!F43</f>
        <v>1</v>
      </c>
      <c r="G49" s="69">
        <f>LAD!G43</f>
        <v>1</v>
      </c>
      <c r="H49" s="69">
        <f>LAD!H43</f>
        <v>1</v>
      </c>
      <c r="I49" s="69">
        <f>LAD!I43</f>
        <v>0</v>
      </c>
      <c r="J49" s="69">
        <f>LAD!J43</f>
        <v>0</v>
      </c>
      <c r="K49" s="69">
        <f>LAD!K43</f>
        <v>1</v>
      </c>
      <c r="L49" s="69">
        <f t="shared" si="17"/>
        <v>5</v>
      </c>
      <c r="M49" s="69">
        <f t="shared" si="18"/>
        <v>5</v>
      </c>
      <c r="N49" s="69">
        <f t="shared" si="19"/>
        <v>4</v>
      </c>
      <c r="O49" s="69">
        <f t="shared" si="20"/>
        <v>4</v>
      </c>
      <c r="P49" s="69">
        <f t="shared" si="21"/>
        <v>4</v>
      </c>
      <c r="Q49" s="69">
        <f t="shared" si="22"/>
        <v>4</v>
      </c>
      <c r="R49" s="70">
        <f t="shared" si="23"/>
        <v>-1.3862943611198906</v>
      </c>
      <c r="S49" s="70">
        <f t="shared" si="24"/>
        <v>-1.3862943611198906</v>
      </c>
      <c r="T49" s="70">
        <f t="shared" si="25"/>
        <v>-1.2916094165546259</v>
      </c>
      <c r="U49" s="70">
        <f t="shared" si="26"/>
        <v>-1.2916094165546259</v>
      </c>
      <c r="V49" s="70">
        <f t="shared" si="27"/>
        <v>1.1180339887498949</v>
      </c>
      <c r="W49" s="70">
        <f t="shared" si="28"/>
        <v>1.1180339887498949</v>
      </c>
      <c r="X49" s="70">
        <f t="shared" si="29"/>
        <v>0</v>
      </c>
      <c r="Y49" s="70">
        <f t="shared" si="30"/>
        <v>1.5811388300841898</v>
      </c>
      <c r="Z49" s="70">
        <f t="shared" si="31"/>
        <v>0</v>
      </c>
      <c r="AA49" s="69" t="str">
        <f t="shared" si="32"/>
        <v>Negligible</v>
      </c>
      <c r="AB49" s="69" t="str">
        <f t="shared" si="33"/>
        <v>Tidak Ada Indikasi Bias</v>
      </c>
    </row>
    <row r="50" spans="1:28" ht="50" x14ac:dyDescent="0.35">
      <c r="A50" s="71" t="str">
        <f>LAD!A44</f>
        <v>40. Mengizinkan pendaftaran di dua program atau organisasi pendidikan berbeda merupakan bentuk komitmen pimpinan organisasi untuk …</v>
      </c>
      <c r="B50" s="69">
        <f>LAD!B44</f>
        <v>1</v>
      </c>
      <c r="C50" s="69">
        <f>LAD!C44</f>
        <v>1</v>
      </c>
      <c r="D50" s="69">
        <f>LAD!D44</f>
        <v>1</v>
      </c>
      <c r="E50" s="69">
        <f>LAD!E44</f>
        <v>1</v>
      </c>
      <c r="F50" s="69">
        <f>LAD!F44</f>
        <v>1</v>
      </c>
      <c r="G50" s="69">
        <f>LAD!G44</f>
        <v>0</v>
      </c>
      <c r="H50" s="69">
        <f>LAD!H44</f>
        <v>1</v>
      </c>
      <c r="I50" s="69">
        <f>LAD!I44</f>
        <v>0</v>
      </c>
      <c r="J50" s="69">
        <f>LAD!J44</f>
        <v>0</v>
      </c>
      <c r="K50" s="69">
        <f>LAD!K44</f>
        <v>0</v>
      </c>
      <c r="L50" s="69">
        <f t="shared" si="17"/>
        <v>5</v>
      </c>
      <c r="M50" s="69">
        <f t="shared" si="18"/>
        <v>5</v>
      </c>
      <c r="N50" s="69">
        <f t="shared" si="19"/>
        <v>3</v>
      </c>
      <c r="O50" s="69">
        <f t="shared" si="20"/>
        <v>3</v>
      </c>
      <c r="P50" s="69">
        <f t="shared" si="21"/>
        <v>3</v>
      </c>
      <c r="Q50" s="69">
        <f t="shared" si="22"/>
        <v>3</v>
      </c>
      <c r="R50" s="70">
        <f t="shared" si="23"/>
        <v>-0.40546510810816444</v>
      </c>
      <c r="S50" s="70">
        <f t="shared" si="24"/>
        <v>-0.40546510810816444</v>
      </c>
      <c r="T50" s="70">
        <f t="shared" si="25"/>
        <v>-0.31078016354289972</v>
      </c>
      <c r="U50" s="70">
        <f t="shared" si="26"/>
        <v>-0.31078016354289972</v>
      </c>
      <c r="V50" s="70">
        <f t="shared" si="27"/>
        <v>0.91287092917527679</v>
      </c>
      <c r="W50" s="70">
        <f t="shared" si="28"/>
        <v>0.91287092917527679</v>
      </c>
      <c r="X50" s="70">
        <f t="shared" si="29"/>
        <v>0</v>
      </c>
      <c r="Y50" s="70">
        <f t="shared" si="30"/>
        <v>1.2909944487358056</v>
      </c>
      <c r="Z50" s="70">
        <f t="shared" si="31"/>
        <v>0</v>
      </c>
      <c r="AA50" s="69" t="str">
        <f t="shared" si="32"/>
        <v>Negligible</v>
      </c>
      <c r="AB50" s="69" t="str">
        <f t="shared" si="33"/>
        <v>Tidak Ada Indikasi Bias</v>
      </c>
    </row>
    <row r="51" spans="1:28" ht="37.5" x14ac:dyDescent="0.35">
      <c r="A51" s="71" t="str">
        <f>LAD!A45</f>
        <v>41. Klausul berikut merupakan input dari penyusunan kebijakan organisasi, kecuali …</v>
      </c>
      <c r="B51" s="69">
        <f>LAD!B45</f>
        <v>1</v>
      </c>
      <c r="C51" s="69">
        <f>LAD!C45</f>
        <v>1</v>
      </c>
      <c r="D51" s="69">
        <f>LAD!D45</f>
        <v>0</v>
      </c>
      <c r="E51" s="69">
        <f>LAD!E45</f>
        <v>0</v>
      </c>
      <c r="F51" s="69">
        <f>LAD!F45</f>
        <v>0</v>
      </c>
      <c r="G51" s="69">
        <f>LAD!G45</f>
        <v>1</v>
      </c>
      <c r="H51" s="69">
        <f>LAD!H45</f>
        <v>0</v>
      </c>
      <c r="I51" s="69">
        <f>LAD!I45</f>
        <v>0</v>
      </c>
      <c r="J51" s="69">
        <f>LAD!J45</f>
        <v>0</v>
      </c>
      <c r="K51" s="69">
        <f>LAD!K45</f>
        <v>1</v>
      </c>
      <c r="L51" s="69">
        <f t="shared" si="17"/>
        <v>5</v>
      </c>
      <c r="M51" s="69">
        <f t="shared" si="18"/>
        <v>5</v>
      </c>
      <c r="N51" s="69">
        <f t="shared" si="19"/>
        <v>2</v>
      </c>
      <c r="O51" s="69">
        <f t="shared" si="20"/>
        <v>2</v>
      </c>
      <c r="P51" s="69">
        <f t="shared" si="21"/>
        <v>2</v>
      </c>
      <c r="Q51" s="69">
        <f t="shared" si="22"/>
        <v>2</v>
      </c>
      <c r="R51" s="70">
        <f t="shared" si="23"/>
        <v>0.40546510810816438</v>
      </c>
      <c r="S51" s="70">
        <f t="shared" si="24"/>
        <v>0.40546510810816438</v>
      </c>
      <c r="T51" s="70">
        <f t="shared" si="25"/>
        <v>0.50015005267342905</v>
      </c>
      <c r="U51" s="70">
        <f t="shared" si="26"/>
        <v>0.50015005267342905</v>
      </c>
      <c r="V51" s="70">
        <f t="shared" si="27"/>
        <v>0.91287092917527679</v>
      </c>
      <c r="W51" s="70">
        <f t="shared" si="28"/>
        <v>0.91287092917527679</v>
      </c>
      <c r="X51" s="70">
        <f t="shared" si="29"/>
        <v>0</v>
      </c>
      <c r="Y51" s="70">
        <f t="shared" si="30"/>
        <v>1.2909944487358056</v>
      </c>
      <c r="Z51" s="70">
        <f t="shared" si="31"/>
        <v>0</v>
      </c>
      <c r="AA51" s="69" t="str">
        <f t="shared" si="32"/>
        <v>Negligible</v>
      </c>
      <c r="AB51" s="69" t="str">
        <f t="shared" si="33"/>
        <v>Tidak Ada Indikasi Bias</v>
      </c>
    </row>
    <row r="52" spans="1:28" ht="37.5" x14ac:dyDescent="0.35">
      <c r="A52" s="71" t="str">
        <f>LAD!A46</f>
        <v>42. Penyusunan Sasaran Organisasi yang baik adalah sebagai berikut berikut, kecuali …</v>
      </c>
      <c r="B52" s="69">
        <f>LAD!B46</f>
        <v>1</v>
      </c>
      <c r="C52" s="69">
        <f>LAD!C46</f>
        <v>1</v>
      </c>
      <c r="D52" s="69">
        <f>LAD!D46</f>
        <v>0</v>
      </c>
      <c r="E52" s="69">
        <f>LAD!E46</f>
        <v>0</v>
      </c>
      <c r="F52" s="69">
        <f>LAD!F46</f>
        <v>0</v>
      </c>
      <c r="G52" s="69">
        <f>LAD!G46</f>
        <v>0</v>
      </c>
      <c r="H52" s="69">
        <f>LAD!H46</f>
        <v>0</v>
      </c>
      <c r="I52" s="69">
        <f>LAD!I46</f>
        <v>0</v>
      </c>
      <c r="J52" s="69">
        <f>LAD!J46</f>
        <v>0</v>
      </c>
      <c r="K52" s="69">
        <f>LAD!K46</f>
        <v>0</v>
      </c>
      <c r="L52" s="69">
        <f t="shared" si="17"/>
        <v>5</v>
      </c>
      <c r="M52" s="69">
        <f t="shared" si="18"/>
        <v>5</v>
      </c>
      <c r="N52" s="69">
        <f t="shared" si="19"/>
        <v>1</v>
      </c>
      <c r="O52" s="69">
        <f t="shared" si="20"/>
        <v>1</v>
      </c>
      <c r="P52" s="69">
        <f t="shared" si="21"/>
        <v>1</v>
      </c>
      <c r="Q52" s="69">
        <f t="shared" si="22"/>
        <v>1</v>
      </c>
      <c r="R52" s="70">
        <f t="shared" si="23"/>
        <v>1.3862943611198906</v>
      </c>
      <c r="S52" s="70">
        <f t="shared" si="24"/>
        <v>1.3862943611198906</v>
      </c>
      <c r="T52" s="70">
        <f t="shared" si="25"/>
        <v>1.4809793056851552</v>
      </c>
      <c r="U52" s="70">
        <f t="shared" si="26"/>
        <v>1.4809793056851552</v>
      </c>
      <c r="V52" s="70">
        <f t="shared" si="27"/>
        <v>1.1180339887498949</v>
      </c>
      <c r="W52" s="70">
        <f t="shared" si="28"/>
        <v>1.1180339887498949</v>
      </c>
      <c r="X52" s="70">
        <f t="shared" si="29"/>
        <v>0</v>
      </c>
      <c r="Y52" s="70">
        <f t="shared" si="30"/>
        <v>1.5811388300841898</v>
      </c>
      <c r="Z52" s="70">
        <f t="shared" si="31"/>
        <v>0</v>
      </c>
      <c r="AA52" s="69" t="str">
        <f t="shared" si="32"/>
        <v>Negligible</v>
      </c>
      <c r="AB52" s="69" t="str">
        <f t="shared" si="33"/>
        <v>Tidak Ada Indikasi Bias</v>
      </c>
    </row>
    <row r="53" spans="1:28" ht="62.5" customHeight="1" x14ac:dyDescent="0.35">
      <c r="A53" s="71" t="str">
        <f>LAD!A47</f>
        <v>43. Salah satu hal yang harus dipertimbangkan dalam menetapkan kriteria risiko adalah</v>
      </c>
      <c r="B53" s="69">
        <f>LAD!B47</f>
        <v>1</v>
      </c>
      <c r="C53" s="69">
        <f>LAD!C47</f>
        <v>1</v>
      </c>
      <c r="D53" s="69">
        <f>LAD!D47</f>
        <v>1</v>
      </c>
      <c r="E53" s="69">
        <f>LAD!E47</f>
        <v>1</v>
      </c>
      <c r="F53" s="69">
        <f>LAD!F47</f>
        <v>0</v>
      </c>
      <c r="G53" s="69">
        <f>LAD!G47</f>
        <v>1</v>
      </c>
      <c r="H53" s="69">
        <f>LAD!H47</f>
        <v>0</v>
      </c>
      <c r="I53" s="69">
        <f>LAD!I47</f>
        <v>0</v>
      </c>
      <c r="J53" s="69">
        <f>LAD!J47</f>
        <v>0</v>
      </c>
      <c r="K53" s="69">
        <f>LAD!K47</f>
        <v>1</v>
      </c>
      <c r="L53" s="69">
        <f t="shared" si="17"/>
        <v>5</v>
      </c>
      <c r="M53" s="69">
        <f t="shared" si="18"/>
        <v>5</v>
      </c>
      <c r="N53" s="69">
        <f t="shared" si="19"/>
        <v>3</v>
      </c>
      <c r="O53" s="69">
        <f t="shared" si="20"/>
        <v>3</v>
      </c>
      <c r="P53" s="69">
        <f t="shared" si="21"/>
        <v>3</v>
      </c>
      <c r="Q53" s="69">
        <f t="shared" si="22"/>
        <v>3</v>
      </c>
      <c r="R53" s="70">
        <f t="shared" si="23"/>
        <v>-0.40546510810816444</v>
      </c>
      <c r="S53" s="70">
        <f t="shared" si="24"/>
        <v>-0.40546510810816444</v>
      </c>
      <c r="T53" s="70">
        <f t="shared" si="25"/>
        <v>-0.31078016354289972</v>
      </c>
      <c r="U53" s="70">
        <f t="shared" si="26"/>
        <v>-0.31078016354289972</v>
      </c>
      <c r="V53" s="70">
        <f t="shared" si="27"/>
        <v>0.91287092917527679</v>
      </c>
      <c r="W53" s="70">
        <f t="shared" si="28"/>
        <v>0.91287092917527679</v>
      </c>
      <c r="X53" s="70">
        <f t="shared" si="29"/>
        <v>0</v>
      </c>
      <c r="Y53" s="70">
        <f t="shared" si="30"/>
        <v>1.2909944487358056</v>
      </c>
      <c r="Z53" s="70">
        <f t="shared" si="31"/>
        <v>0</v>
      </c>
      <c r="AA53" s="69" t="str">
        <f t="shared" si="32"/>
        <v>Negligible</v>
      </c>
      <c r="AB53" s="69" t="str">
        <f t="shared" si="33"/>
        <v>Tidak Ada Indikasi Bias</v>
      </c>
    </row>
    <row r="54" spans="1:28" ht="25" x14ac:dyDescent="0.35">
      <c r="A54" s="71" t="str">
        <f>LAD!A48</f>
        <v>44. Manajemen risiko harus memuat sifat-sifat berikut, kecuali …</v>
      </c>
      <c r="B54" s="69">
        <f>LAD!B48</f>
        <v>0</v>
      </c>
      <c r="C54" s="69">
        <f>LAD!C48</f>
        <v>0</v>
      </c>
      <c r="D54" s="69">
        <f>LAD!D48</f>
        <v>1</v>
      </c>
      <c r="E54" s="69">
        <f>LAD!E48</f>
        <v>1</v>
      </c>
      <c r="F54" s="69">
        <f>LAD!F48</f>
        <v>0</v>
      </c>
      <c r="G54" s="69">
        <f>LAD!G48</f>
        <v>1</v>
      </c>
      <c r="H54" s="69">
        <f>LAD!H48</f>
        <v>0</v>
      </c>
      <c r="I54" s="69">
        <f>LAD!I48</f>
        <v>0</v>
      </c>
      <c r="J54" s="69">
        <f>LAD!J48</f>
        <v>0</v>
      </c>
      <c r="K54" s="69">
        <f>LAD!K48</f>
        <v>1</v>
      </c>
      <c r="L54" s="69">
        <f t="shared" si="17"/>
        <v>5</v>
      </c>
      <c r="M54" s="69">
        <f t="shared" si="18"/>
        <v>5</v>
      </c>
      <c r="N54" s="69">
        <f t="shared" si="19"/>
        <v>2</v>
      </c>
      <c r="O54" s="69">
        <f t="shared" si="20"/>
        <v>2</v>
      </c>
      <c r="P54" s="69">
        <f t="shared" si="21"/>
        <v>2</v>
      </c>
      <c r="Q54" s="69">
        <f t="shared" si="22"/>
        <v>2</v>
      </c>
      <c r="R54" s="70">
        <f t="shared" si="23"/>
        <v>0.40546510810816438</v>
      </c>
      <c r="S54" s="70">
        <f t="shared" si="24"/>
        <v>0.40546510810816438</v>
      </c>
      <c r="T54" s="70">
        <f t="shared" si="25"/>
        <v>0.50015005267342905</v>
      </c>
      <c r="U54" s="70">
        <f t="shared" si="26"/>
        <v>0.50015005267342905</v>
      </c>
      <c r="V54" s="70">
        <f t="shared" si="27"/>
        <v>0.91287092917527679</v>
      </c>
      <c r="W54" s="70">
        <f t="shared" si="28"/>
        <v>0.91287092917527679</v>
      </c>
      <c r="X54" s="70">
        <f t="shared" si="29"/>
        <v>0</v>
      </c>
      <c r="Y54" s="70">
        <f t="shared" si="30"/>
        <v>1.2909944487358056</v>
      </c>
      <c r="Z54" s="70">
        <f t="shared" si="31"/>
        <v>0</v>
      </c>
      <c r="AA54" s="69" t="str">
        <f t="shared" si="32"/>
        <v>Negligible</v>
      </c>
      <c r="AB54" s="69" t="str">
        <f t="shared" si="33"/>
        <v>Tidak Ada Indikasi Bias</v>
      </c>
    </row>
    <row r="55" spans="1:28" ht="37.5" customHeight="1" x14ac:dyDescent="0.35">
      <c r="A55" s="71" t="str">
        <f>LAD!A49</f>
        <v>45. Berikut adalah terkait dengan persyaratan klausul 7.2 tentang penetapan kompetensi sumber daya manusia, kecuali …</v>
      </c>
      <c r="B55" s="69">
        <f>LAD!B49</f>
        <v>1</v>
      </c>
      <c r="C55" s="69">
        <f>LAD!C49</f>
        <v>1</v>
      </c>
      <c r="D55" s="69">
        <f>LAD!D49</f>
        <v>1</v>
      </c>
      <c r="E55" s="69">
        <f>LAD!E49</f>
        <v>1</v>
      </c>
      <c r="F55" s="69">
        <f>LAD!F49</f>
        <v>0</v>
      </c>
      <c r="G55" s="69">
        <f>LAD!G49</f>
        <v>1</v>
      </c>
      <c r="H55" s="69">
        <f>LAD!H49</f>
        <v>0</v>
      </c>
      <c r="I55" s="69">
        <f>LAD!I49</f>
        <v>1</v>
      </c>
      <c r="J55" s="69">
        <f>LAD!J49</f>
        <v>1</v>
      </c>
      <c r="K55" s="69">
        <f>LAD!K49</f>
        <v>1</v>
      </c>
      <c r="L55" s="69">
        <f t="shared" si="17"/>
        <v>5</v>
      </c>
      <c r="M55" s="69">
        <f t="shared" si="18"/>
        <v>5</v>
      </c>
      <c r="N55" s="69">
        <f t="shared" si="19"/>
        <v>4</v>
      </c>
      <c r="O55" s="69">
        <f t="shared" si="20"/>
        <v>4</v>
      </c>
      <c r="P55" s="69">
        <f t="shared" si="21"/>
        <v>4</v>
      </c>
      <c r="Q55" s="69">
        <f t="shared" si="22"/>
        <v>4</v>
      </c>
      <c r="R55" s="70">
        <f t="shared" si="23"/>
        <v>-1.3862943611198906</v>
      </c>
      <c r="S55" s="70">
        <f t="shared" si="24"/>
        <v>-1.3862943611198906</v>
      </c>
      <c r="T55" s="70">
        <f t="shared" si="25"/>
        <v>-1.2916094165546259</v>
      </c>
      <c r="U55" s="70">
        <f t="shared" si="26"/>
        <v>-1.2916094165546259</v>
      </c>
      <c r="V55" s="70">
        <f t="shared" si="27"/>
        <v>1.1180339887498949</v>
      </c>
      <c r="W55" s="70">
        <f t="shared" si="28"/>
        <v>1.1180339887498949</v>
      </c>
      <c r="X55" s="70">
        <f t="shared" si="29"/>
        <v>0</v>
      </c>
      <c r="Y55" s="70">
        <f t="shared" si="30"/>
        <v>1.5811388300841898</v>
      </c>
      <c r="Z55" s="70">
        <f t="shared" si="31"/>
        <v>0</v>
      </c>
      <c r="AA55" s="69" t="str">
        <f t="shared" si="32"/>
        <v>Negligible</v>
      </c>
      <c r="AB55" s="69" t="str">
        <f t="shared" si="33"/>
        <v>Tidak Ada Indikasi Bias</v>
      </c>
    </row>
    <row r="56" spans="1:28" ht="37.5" x14ac:dyDescent="0.35">
      <c r="A56" s="71" t="str">
        <f>LAD!A50</f>
        <v>46. Dalam organisasi pendidikan, fasilitas yang diatur oleh ISO 21001:2018 minimal harus mencakup berikut, kecuali …</v>
      </c>
      <c r="B56" s="69">
        <f>LAD!B50</f>
        <v>1</v>
      </c>
      <c r="C56" s="69">
        <f>LAD!C50</f>
        <v>1</v>
      </c>
      <c r="D56" s="69">
        <f>LAD!D50</f>
        <v>1</v>
      </c>
      <c r="E56" s="69">
        <f>LAD!E50</f>
        <v>1</v>
      </c>
      <c r="F56" s="69">
        <f>LAD!F50</f>
        <v>0</v>
      </c>
      <c r="G56" s="69">
        <f>LAD!G50</f>
        <v>1</v>
      </c>
      <c r="H56" s="69">
        <f>LAD!H50</f>
        <v>0</v>
      </c>
      <c r="I56" s="69">
        <f>LAD!I50</f>
        <v>0</v>
      </c>
      <c r="J56" s="69">
        <f>LAD!J50</f>
        <v>0</v>
      </c>
      <c r="K56" s="69">
        <f>LAD!K50</f>
        <v>1</v>
      </c>
      <c r="L56" s="69">
        <f t="shared" si="17"/>
        <v>5</v>
      </c>
      <c r="M56" s="69">
        <f t="shared" si="18"/>
        <v>5</v>
      </c>
      <c r="N56" s="69">
        <f t="shared" si="19"/>
        <v>3</v>
      </c>
      <c r="O56" s="69">
        <f t="shared" si="20"/>
        <v>3</v>
      </c>
      <c r="P56" s="69">
        <f t="shared" si="21"/>
        <v>3</v>
      </c>
      <c r="Q56" s="69">
        <f t="shared" si="22"/>
        <v>3</v>
      </c>
      <c r="R56" s="70">
        <f t="shared" si="23"/>
        <v>-0.40546510810816444</v>
      </c>
      <c r="S56" s="70">
        <f t="shared" si="24"/>
        <v>-0.40546510810816444</v>
      </c>
      <c r="T56" s="70">
        <f t="shared" si="25"/>
        <v>-0.31078016354289972</v>
      </c>
      <c r="U56" s="70">
        <f t="shared" si="26"/>
        <v>-0.31078016354289972</v>
      </c>
      <c r="V56" s="70">
        <f t="shared" si="27"/>
        <v>0.91287092917527679</v>
      </c>
      <c r="W56" s="70">
        <f t="shared" si="28"/>
        <v>0.91287092917527679</v>
      </c>
      <c r="X56" s="70">
        <f t="shared" si="29"/>
        <v>0</v>
      </c>
      <c r="Y56" s="70">
        <f t="shared" si="30"/>
        <v>1.2909944487358056</v>
      </c>
      <c r="Z56" s="70">
        <f t="shared" si="31"/>
        <v>0</v>
      </c>
      <c r="AA56" s="69" t="str">
        <f t="shared" si="32"/>
        <v>Negligible</v>
      </c>
      <c r="AB56" s="69" t="str">
        <f t="shared" si="33"/>
        <v>Tidak Ada Indikasi Bias</v>
      </c>
    </row>
    <row r="57" spans="1:28" ht="50" customHeight="1" x14ac:dyDescent="0.35">
      <c r="A57" s="71" t="str">
        <f>LAD!A51</f>
        <v>47. Dalam memberikan fasilitas, organisasi pendidikan diwajibkan untuk menjamin keamanan dari fasilitas tersebut. Prasyarat ini ditetapkan pada ISO 21001:2018 klausul …</v>
      </c>
      <c r="B57" s="69">
        <f>LAD!B51</f>
        <v>1</v>
      </c>
      <c r="C57" s="69">
        <f>LAD!C51</f>
        <v>1</v>
      </c>
      <c r="D57" s="69">
        <f>LAD!D51</f>
        <v>1</v>
      </c>
      <c r="E57" s="69">
        <f>LAD!E51</f>
        <v>1</v>
      </c>
      <c r="F57" s="69">
        <f>LAD!F51</f>
        <v>0</v>
      </c>
      <c r="G57" s="69">
        <f>LAD!G51</f>
        <v>0</v>
      </c>
      <c r="H57" s="69">
        <f>LAD!H51</f>
        <v>0</v>
      </c>
      <c r="I57" s="69">
        <f>LAD!I51</f>
        <v>1</v>
      </c>
      <c r="J57" s="69">
        <f>LAD!J51</f>
        <v>1</v>
      </c>
      <c r="K57" s="69">
        <f>LAD!K51</f>
        <v>0</v>
      </c>
      <c r="L57" s="69">
        <f t="shared" si="17"/>
        <v>5</v>
      </c>
      <c r="M57" s="69">
        <f t="shared" si="18"/>
        <v>5</v>
      </c>
      <c r="N57" s="69">
        <f t="shared" si="19"/>
        <v>3</v>
      </c>
      <c r="O57" s="69">
        <f t="shared" si="20"/>
        <v>3</v>
      </c>
      <c r="P57" s="69">
        <f t="shared" si="21"/>
        <v>3</v>
      </c>
      <c r="Q57" s="69">
        <f t="shared" si="22"/>
        <v>3</v>
      </c>
      <c r="R57" s="70">
        <f t="shared" si="23"/>
        <v>-0.40546510810816444</v>
      </c>
      <c r="S57" s="70">
        <f t="shared" si="24"/>
        <v>-0.40546510810816444</v>
      </c>
      <c r="T57" s="70">
        <f t="shared" si="25"/>
        <v>-0.31078016354289972</v>
      </c>
      <c r="U57" s="70">
        <f t="shared" si="26"/>
        <v>-0.31078016354289972</v>
      </c>
      <c r="V57" s="70">
        <f t="shared" si="27"/>
        <v>0.91287092917527679</v>
      </c>
      <c r="W57" s="70">
        <f t="shared" si="28"/>
        <v>0.91287092917527679</v>
      </c>
      <c r="X57" s="70">
        <f t="shared" si="29"/>
        <v>0</v>
      </c>
      <c r="Y57" s="70">
        <f t="shared" si="30"/>
        <v>1.2909944487358056</v>
      </c>
      <c r="Z57" s="70">
        <f t="shared" si="31"/>
        <v>0</v>
      </c>
      <c r="AA57" s="69" t="str">
        <f t="shared" si="32"/>
        <v>Negligible</v>
      </c>
      <c r="AB57" s="69" t="str">
        <f t="shared" si="33"/>
        <v>Tidak Ada Indikasi Bias</v>
      </c>
    </row>
    <row r="58" spans="1:28" ht="50" customHeight="1" x14ac:dyDescent="0.35">
      <c r="A58" s="71" t="str">
        <f>LAD!A52</f>
        <v>48. Lingkungan dalam organisasi pendidikan menurut ISO 21001:2018 dapat berupa lingkungan fisik maupun psikososial. Berikut merupakan contoh lingkungan fisik organisasi, kecuali …</v>
      </c>
      <c r="B58" s="69">
        <f>LAD!B52</f>
        <v>1</v>
      </c>
      <c r="C58" s="69">
        <f>LAD!C52</f>
        <v>1</v>
      </c>
      <c r="D58" s="69">
        <f>LAD!D52</f>
        <v>1</v>
      </c>
      <c r="E58" s="69">
        <f>LAD!E52</f>
        <v>1</v>
      </c>
      <c r="F58" s="69">
        <f>LAD!F52</f>
        <v>0</v>
      </c>
      <c r="G58" s="69">
        <f>LAD!G52</f>
        <v>0</v>
      </c>
      <c r="H58" s="69">
        <f>LAD!H52</f>
        <v>0</v>
      </c>
      <c r="I58" s="69">
        <f>LAD!I52</f>
        <v>0</v>
      </c>
      <c r="J58" s="69">
        <f>LAD!J52</f>
        <v>0</v>
      </c>
      <c r="K58" s="69">
        <f>LAD!K52</f>
        <v>0</v>
      </c>
      <c r="L58" s="69">
        <f t="shared" si="17"/>
        <v>5</v>
      </c>
      <c r="M58" s="69">
        <f t="shared" si="18"/>
        <v>5</v>
      </c>
      <c r="N58" s="69">
        <f t="shared" si="19"/>
        <v>2</v>
      </c>
      <c r="O58" s="69">
        <f t="shared" si="20"/>
        <v>2</v>
      </c>
      <c r="P58" s="69">
        <f t="shared" si="21"/>
        <v>2</v>
      </c>
      <c r="Q58" s="69">
        <f t="shared" si="22"/>
        <v>2</v>
      </c>
      <c r="R58" s="70">
        <f t="shared" si="23"/>
        <v>0.40546510810816438</v>
      </c>
      <c r="S58" s="70">
        <f t="shared" si="24"/>
        <v>0.40546510810816438</v>
      </c>
      <c r="T58" s="70">
        <f t="shared" si="25"/>
        <v>0.50015005267342905</v>
      </c>
      <c r="U58" s="70">
        <f t="shared" si="26"/>
        <v>0.50015005267342905</v>
      </c>
      <c r="V58" s="70">
        <f t="shared" si="27"/>
        <v>0.91287092917527679</v>
      </c>
      <c r="W58" s="70">
        <f t="shared" si="28"/>
        <v>0.91287092917527679</v>
      </c>
      <c r="X58" s="70">
        <f t="shared" si="29"/>
        <v>0</v>
      </c>
      <c r="Y58" s="70">
        <f t="shared" si="30"/>
        <v>1.2909944487358056</v>
      </c>
      <c r="Z58" s="70">
        <f t="shared" si="31"/>
        <v>0</v>
      </c>
      <c r="AA58" s="69" t="str">
        <f t="shared" si="32"/>
        <v>Negligible</v>
      </c>
      <c r="AB58" s="69" t="str">
        <f t="shared" si="33"/>
        <v>Tidak Ada Indikasi Bias</v>
      </c>
    </row>
    <row r="59" spans="1:28" ht="50" customHeight="1" x14ac:dyDescent="0.35">
      <c r="A59" s="71" t="str">
        <f>LAD!A53</f>
        <v>49. Jenis sumber pengetahuan organisasi yang diperoleh dari pengalaman adalah …</v>
      </c>
      <c r="B59" s="69">
        <f>LAD!B53</f>
        <v>0</v>
      </c>
      <c r="C59" s="69">
        <f>LAD!C53</f>
        <v>0</v>
      </c>
      <c r="D59" s="69">
        <f>LAD!D53</f>
        <v>1</v>
      </c>
      <c r="E59" s="69">
        <f>LAD!E53</f>
        <v>1</v>
      </c>
      <c r="F59" s="69">
        <f>LAD!F53</f>
        <v>1</v>
      </c>
      <c r="G59" s="69">
        <f>LAD!G53</f>
        <v>0</v>
      </c>
      <c r="H59" s="69">
        <f>LAD!H53</f>
        <v>1</v>
      </c>
      <c r="I59" s="69">
        <f>LAD!I53</f>
        <v>1</v>
      </c>
      <c r="J59" s="69">
        <f>LAD!J53</f>
        <v>1</v>
      </c>
      <c r="K59" s="69">
        <f>LAD!K53</f>
        <v>0</v>
      </c>
      <c r="L59" s="69">
        <f t="shared" si="17"/>
        <v>5</v>
      </c>
      <c r="M59" s="69">
        <f t="shared" si="18"/>
        <v>5</v>
      </c>
      <c r="N59" s="69">
        <f t="shared" si="19"/>
        <v>3</v>
      </c>
      <c r="O59" s="69">
        <f t="shared" si="20"/>
        <v>3</v>
      </c>
      <c r="P59" s="69">
        <f t="shared" si="21"/>
        <v>3</v>
      </c>
      <c r="Q59" s="69">
        <f t="shared" si="22"/>
        <v>3</v>
      </c>
      <c r="R59" s="70">
        <f t="shared" si="23"/>
        <v>-0.40546510810816444</v>
      </c>
      <c r="S59" s="70">
        <f t="shared" si="24"/>
        <v>-0.40546510810816444</v>
      </c>
      <c r="T59" s="70">
        <f t="shared" si="25"/>
        <v>-0.31078016354289972</v>
      </c>
      <c r="U59" s="70">
        <f t="shared" si="26"/>
        <v>-0.31078016354289972</v>
      </c>
      <c r="V59" s="70">
        <f t="shared" si="27"/>
        <v>0.91287092917527679</v>
      </c>
      <c r="W59" s="70">
        <f t="shared" si="28"/>
        <v>0.91287092917527679</v>
      </c>
      <c r="X59" s="70">
        <f t="shared" si="29"/>
        <v>0</v>
      </c>
      <c r="Y59" s="70">
        <f t="shared" si="30"/>
        <v>1.2909944487358056</v>
      </c>
      <c r="Z59" s="70">
        <f t="shared" si="31"/>
        <v>0</v>
      </c>
      <c r="AA59" s="69" t="str">
        <f t="shared" si="32"/>
        <v>Negligible</v>
      </c>
      <c r="AB59" s="69" t="str">
        <f t="shared" si="33"/>
        <v>Tidak Ada Indikasi Bias</v>
      </c>
    </row>
    <row r="60" spans="1:28" ht="50" x14ac:dyDescent="0.35">
      <c r="A60" s="71" t="str">
        <f>LAD!A54</f>
        <v>50. Menguasai konsep teoretis bidang pengetahuan dan keterampilan tertentu secara umum merupakan prasyarat kompetensi lulusan program studi …</v>
      </c>
      <c r="B60" s="69">
        <f>LAD!B54</f>
        <v>0</v>
      </c>
      <c r="C60" s="69">
        <f>LAD!C54</f>
        <v>0</v>
      </c>
      <c r="D60" s="69">
        <f>LAD!D54</f>
        <v>1</v>
      </c>
      <c r="E60" s="69">
        <f>LAD!E54</f>
        <v>1</v>
      </c>
      <c r="F60" s="69">
        <f>LAD!F54</f>
        <v>0</v>
      </c>
      <c r="G60" s="69">
        <f>LAD!G54</f>
        <v>1</v>
      </c>
      <c r="H60" s="69">
        <f>LAD!H54</f>
        <v>0</v>
      </c>
      <c r="I60" s="69">
        <f>LAD!I54</f>
        <v>0</v>
      </c>
      <c r="J60" s="69">
        <f>LAD!J54</f>
        <v>0</v>
      </c>
      <c r="K60" s="69">
        <f>LAD!K54</f>
        <v>1</v>
      </c>
      <c r="L60" s="69">
        <f t="shared" si="17"/>
        <v>5</v>
      </c>
      <c r="M60" s="69">
        <f t="shared" si="18"/>
        <v>5</v>
      </c>
      <c r="N60" s="69">
        <f t="shared" si="19"/>
        <v>2</v>
      </c>
      <c r="O60" s="69">
        <f t="shared" si="20"/>
        <v>2</v>
      </c>
      <c r="P60" s="69">
        <f t="shared" si="21"/>
        <v>2</v>
      </c>
      <c r="Q60" s="69">
        <f t="shared" si="22"/>
        <v>2</v>
      </c>
      <c r="R60" s="70">
        <f t="shared" si="23"/>
        <v>0.40546510810816438</v>
      </c>
      <c r="S60" s="70">
        <f t="shared" si="24"/>
        <v>0.40546510810816438</v>
      </c>
      <c r="T60" s="70">
        <f t="shared" si="25"/>
        <v>0.50015005267342905</v>
      </c>
      <c r="U60" s="70">
        <f t="shared" si="26"/>
        <v>0.50015005267342905</v>
      </c>
      <c r="V60" s="70">
        <f t="shared" si="27"/>
        <v>0.91287092917527679</v>
      </c>
      <c r="W60" s="70">
        <f t="shared" si="28"/>
        <v>0.91287092917527679</v>
      </c>
      <c r="X60" s="70">
        <f t="shared" si="29"/>
        <v>0</v>
      </c>
      <c r="Y60" s="70">
        <f t="shared" si="30"/>
        <v>1.2909944487358056</v>
      </c>
      <c r="Z60" s="70">
        <f t="shared" si="31"/>
        <v>0</v>
      </c>
      <c r="AA60" s="69" t="str">
        <f t="shared" si="32"/>
        <v>Negligible</v>
      </c>
      <c r="AB60" s="69" t="str">
        <f t="shared" si="33"/>
        <v>Tidak Ada Indikasi Bias</v>
      </c>
    </row>
    <row r="61" spans="1:28" ht="25" x14ac:dyDescent="0.35">
      <c r="A61" s="71" t="str">
        <f>LAD!A55</f>
        <v>51. Pelaksanaan proses pembelajaran harus fleksibel, apa maksudnya?</v>
      </c>
      <c r="B61" s="69">
        <f>LAD!B55</f>
        <v>1</v>
      </c>
      <c r="C61" s="69">
        <f>LAD!C55</f>
        <v>1</v>
      </c>
      <c r="D61" s="69">
        <f>LAD!D55</f>
        <v>1</v>
      </c>
      <c r="E61" s="69">
        <f>LAD!E55</f>
        <v>1</v>
      </c>
      <c r="F61" s="69">
        <f>LAD!F55</f>
        <v>0</v>
      </c>
      <c r="G61" s="69">
        <f>LAD!G55</f>
        <v>1</v>
      </c>
      <c r="H61" s="69">
        <f>LAD!H55</f>
        <v>0</v>
      </c>
      <c r="I61" s="69">
        <f>LAD!I55</f>
        <v>0</v>
      </c>
      <c r="J61" s="69">
        <f>LAD!J55</f>
        <v>0</v>
      </c>
      <c r="K61" s="69">
        <f>LAD!K55</f>
        <v>1</v>
      </c>
      <c r="L61" s="69">
        <f t="shared" si="17"/>
        <v>5</v>
      </c>
      <c r="M61" s="69">
        <f t="shared" si="18"/>
        <v>5</v>
      </c>
      <c r="N61" s="69">
        <f t="shared" si="19"/>
        <v>3</v>
      </c>
      <c r="O61" s="69">
        <f t="shared" si="20"/>
        <v>3</v>
      </c>
      <c r="P61" s="69">
        <f t="shared" si="21"/>
        <v>3</v>
      </c>
      <c r="Q61" s="69">
        <f t="shared" si="22"/>
        <v>3</v>
      </c>
      <c r="R61" s="70">
        <f t="shared" si="23"/>
        <v>-0.40546510810816444</v>
      </c>
      <c r="S61" s="70">
        <f t="shared" si="24"/>
        <v>-0.40546510810816444</v>
      </c>
      <c r="T61" s="70">
        <f t="shared" si="25"/>
        <v>-0.31078016354289972</v>
      </c>
      <c r="U61" s="70">
        <f t="shared" si="26"/>
        <v>-0.31078016354289972</v>
      </c>
      <c r="V61" s="70">
        <f t="shared" si="27"/>
        <v>0.91287092917527679</v>
      </c>
      <c r="W61" s="70">
        <f t="shared" si="28"/>
        <v>0.91287092917527679</v>
      </c>
      <c r="X61" s="70">
        <f t="shared" si="29"/>
        <v>0</v>
      </c>
      <c r="Y61" s="70">
        <f t="shared" si="30"/>
        <v>1.2909944487358056</v>
      </c>
      <c r="Z61" s="70">
        <f t="shared" si="31"/>
        <v>0</v>
      </c>
      <c r="AA61" s="69" t="str">
        <f t="shared" si="32"/>
        <v>Negligible</v>
      </c>
      <c r="AB61" s="69" t="str">
        <f t="shared" si="33"/>
        <v>Tidak Ada Indikasi Bias</v>
      </c>
    </row>
    <row r="62" spans="1:28" ht="37.5" customHeight="1" x14ac:dyDescent="0.35">
      <c r="A62" s="71" t="str">
        <f>LAD!A56</f>
        <v>52. Program studi yang dapat menerapkan kurikulum yang diselenggarakan bersama dunia usaha, dunia industri, dan dunia kerja dalam sistem ganda adalah …</v>
      </c>
      <c r="B62" s="69">
        <f>LAD!B56</f>
        <v>1</v>
      </c>
      <c r="C62" s="69">
        <f>LAD!C56</f>
        <v>1</v>
      </c>
      <c r="D62" s="69">
        <f>LAD!D56</f>
        <v>0</v>
      </c>
      <c r="E62" s="69">
        <f>LAD!E56</f>
        <v>0</v>
      </c>
      <c r="F62" s="69">
        <f>LAD!F56</f>
        <v>0</v>
      </c>
      <c r="G62" s="69">
        <f>LAD!G56</f>
        <v>1</v>
      </c>
      <c r="H62" s="69">
        <f>LAD!H56</f>
        <v>0</v>
      </c>
      <c r="I62" s="69">
        <f>LAD!I56</f>
        <v>0</v>
      </c>
      <c r="J62" s="69">
        <f>LAD!J56</f>
        <v>0</v>
      </c>
      <c r="K62" s="69">
        <f>LAD!K56</f>
        <v>1</v>
      </c>
      <c r="L62" s="69">
        <f t="shared" si="17"/>
        <v>5</v>
      </c>
      <c r="M62" s="69">
        <f t="shared" si="18"/>
        <v>5</v>
      </c>
      <c r="N62" s="69">
        <f t="shared" si="19"/>
        <v>2</v>
      </c>
      <c r="O62" s="69">
        <f t="shared" si="20"/>
        <v>2</v>
      </c>
      <c r="P62" s="69">
        <f t="shared" si="21"/>
        <v>2</v>
      </c>
      <c r="Q62" s="69">
        <f t="shared" si="22"/>
        <v>2</v>
      </c>
      <c r="R62" s="70">
        <f t="shared" si="23"/>
        <v>0.40546510810816438</v>
      </c>
      <c r="S62" s="70">
        <f t="shared" si="24"/>
        <v>0.40546510810816438</v>
      </c>
      <c r="T62" s="70">
        <f t="shared" si="25"/>
        <v>0.50015005267342905</v>
      </c>
      <c r="U62" s="70">
        <f t="shared" si="26"/>
        <v>0.50015005267342905</v>
      </c>
      <c r="V62" s="70">
        <f t="shared" si="27"/>
        <v>0.91287092917527679</v>
      </c>
      <c r="W62" s="70">
        <f t="shared" si="28"/>
        <v>0.91287092917527679</v>
      </c>
      <c r="X62" s="70">
        <f t="shared" si="29"/>
        <v>0</v>
      </c>
      <c r="Y62" s="70">
        <f t="shared" si="30"/>
        <v>1.2909944487358056</v>
      </c>
      <c r="Z62" s="70">
        <f t="shared" si="31"/>
        <v>0</v>
      </c>
      <c r="AA62" s="69" t="str">
        <f t="shared" si="32"/>
        <v>Negligible</v>
      </c>
      <c r="AB62" s="69" t="str">
        <f t="shared" si="33"/>
        <v>Tidak Ada Indikasi Bias</v>
      </c>
    </row>
    <row r="63" spans="1:28" ht="37.5" x14ac:dyDescent="0.35">
      <c r="A63" s="71" t="str">
        <f>LAD!A57</f>
        <v xml:space="preserve">53. Penyediaan akses sarana dan prasarana dilakukan dengan memenuhi ketentuan berikut, kecuali … </v>
      </c>
      <c r="B63" s="69">
        <f>LAD!B57</f>
        <v>1</v>
      </c>
      <c r="C63" s="69">
        <f>LAD!C57</f>
        <v>1</v>
      </c>
      <c r="D63" s="69">
        <f>LAD!D57</f>
        <v>0</v>
      </c>
      <c r="E63" s="69">
        <f>LAD!E57</f>
        <v>0</v>
      </c>
      <c r="F63" s="69">
        <f>LAD!F57</f>
        <v>0</v>
      </c>
      <c r="G63" s="69">
        <f>LAD!G57</f>
        <v>1</v>
      </c>
      <c r="H63" s="69">
        <f>LAD!H57</f>
        <v>0</v>
      </c>
      <c r="I63" s="69">
        <f>LAD!I57</f>
        <v>0</v>
      </c>
      <c r="J63" s="69">
        <f>LAD!J57</f>
        <v>0</v>
      </c>
      <c r="K63" s="69">
        <f>LAD!K57</f>
        <v>1</v>
      </c>
      <c r="L63" s="69">
        <f t="shared" si="17"/>
        <v>5</v>
      </c>
      <c r="M63" s="69">
        <f t="shared" si="18"/>
        <v>5</v>
      </c>
      <c r="N63" s="69">
        <f t="shared" si="19"/>
        <v>2</v>
      </c>
      <c r="O63" s="69">
        <f t="shared" si="20"/>
        <v>2</v>
      </c>
      <c r="P63" s="69">
        <f t="shared" si="21"/>
        <v>2</v>
      </c>
      <c r="Q63" s="69">
        <f t="shared" si="22"/>
        <v>2</v>
      </c>
      <c r="R63" s="70">
        <f t="shared" si="23"/>
        <v>0.40546510810816438</v>
      </c>
      <c r="S63" s="70">
        <f t="shared" si="24"/>
        <v>0.40546510810816438</v>
      </c>
      <c r="T63" s="70">
        <f t="shared" si="25"/>
        <v>0.50015005267342905</v>
      </c>
      <c r="U63" s="70">
        <f t="shared" si="26"/>
        <v>0.50015005267342905</v>
      </c>
      <c r="V63" s="70">
        <f t="shared" si="27"/>
        <v>0.91287092917527679</v>
      </c>
      <c r="W63" s="70">
        <f t="shared" si="28"/>
        <v>0.91287092917527679</v>
      </c>
      <c r="X63" s="70">
        <f t="shared" si="29"/>
        <v>0</v>
      </c>
      <c r="Y63" s="70">
        <f t="shared" si="30"/>
        <v>1.2909944487358056</v>
      </c>
      <c r="Z63" s="70">
        <f t="shared" si="31"/>
        <v>0</v>
      </c>
      <c r="AA63" s="69" t="str">
        <f t="shared" si="32"/>
        <v>Negligible</v>
      </c>
      <c r="AB63" s="69" t="str">
        <f t="shared" si="33"/>
        <v>Tidak Ada Indikasi Bias</v>
      </c>
    </row>
    <row r="64" spans="1:28" ht="37.5" customHeight="1" x14ac:dyDescent="0.35">
      <c r="A64" s="71" t="str">
        <f>LAD!A58</f>
        <v xml:space="preserve">54. Pembiayaan pendidikan meliputi biaya investasi dan biaya operasional. Berikut termasuk kedalam biaya operasional, kecuali … </v>
      </c>
      <c r="B64" s="69">
        <f>LAD!B58</f>
        <v>1</v>
      </c>
      <c r="C64" s="69">
        <f>LAD!C58</f>
        <v>1</v>
      </c>
      <c r="D64" s="69">
        <f>LAD!D58</f>
        <v>1</v>
      </c>
      <c r="E64" s="69">
        <f>LAD!E58</f>
        <v>1</v>
      </c>
      <c r="F64" s="69">
        <f>LAD!F58</f>
        <v>0</v>
      </c>
      <c r="G64" s="69">
        <f>LAD!G58</f>
        <v>1</v>
      </c>
      <c r="H64" s="69">
        <f>LAD!H58</f>
        <v>0</v>
      </c>
      <c r="I64" s="69">
        <f>LAD!I58</f>
        <v>1</v>
      </c>
      <c r="J64" s="69">
        <f>LAD!J58</f>
        <v>1</v>
      </c>
      <c r="K64" s="69">
        <f>LAD!K58</f>
        <v>1</v>
      </c>
      <c r="L64" s="69">
        <f t="shared" si="17"/>
        <v>5</v>
      </c>
      <c r="M64" s="69">
        <f t="shared" si="18"/>
        <v>5</v>
      </c>
      <c r="N64" s="69">
        <f t="shared" si="19"/>
        <v>4</v>
      </c>
      <c r="O64" s="69">
        <f t="shared" si="20"/>
        <v>4</v>
      </c>
      <c r="P64" s="69">
        <f t="shared" si="21"/>
        <v>4</v>
      </c>
      <c r="Q64" s="69">
        <f t="shared" si="22"/>
        <v>4</v>
      </c>
      <c r="R64" s="70">
        <f t="shared" si="23"/>
        <v>-1.3862943611198906</v>
      </c>
      <c r="S64" s="70">
        <f t="shared" si="24"/>
        <v>-1.3862943611198906</v>
      </c>
      <c r="T64" s="70">
        <f t="shared" si="25"/>
        <v>-1.2916094165546259</v>
      </c>
      <c r="U64" s="70">
        <f t="shared" si="26"/>
        <v>-1.2916094165546259</v>
      </c>
      <c r="V64" s="70">
        <f t="shared" si="27"/>
        <v>1.1180339887498949</v>
      </c>
      <c r="W64" s="70">
        <f t="shared" si="28"/>
        <v>1.1180339887498949</v>
      </c>
      <c r="X64" s="70">
        <f t="shared" si="29"/>
        <v>0</v>
      </c>
      <c r="Y64" s="70">
        <f t="shared" si="30"/>
        <v>1.5811388300841898</v>
      </c>
      <c r="Z64" s="70">
        <f t="shared" si="31"/>
        <v>0</v>
      </c>
      <c r="AA64" s="69" t="str">
        <f t="shared" si="32"/>
        <v>Negligible</v>
      </c>
      <c r="AB64" s="69" t="str">
        <f t="shared" si="33"/>
        <v>Tidak Ada Indikasi Bias</v>
      </c>
    </row>
    <row r="65" spans="1:28" ht="37.5" customHeight="1" x14ac:dyDescent="0.35">
      <c r="A65" s="71" t="str">
        <f>LAD!A59</f>
        <v xml:space="preserve">55. Pernyataan berikut benar terkait luaran penelitian, kecuali … </v>
      </c>
      <c r="B65" s="69">
        <f>LAD!B59</f>
        <v>1</v>
      </c>
      <c r="C65" s="69">
        <f>LAD!C59</f>
        <v>1</v>
      </c>
      <c r="D65" s="69">
        <f>LAD!D59</f>
        <v>1</v>
      </c>
      <c r="E65" s="69">
        <f>LAD!E59</f>
        <v>1</v>
      </c>
      <c r="F65" s="69">
        <f>LAD!F59</f>
        <v>0</v>
      </c>
      <c r="G65" s="69">
        <f>LAD!G59</f>
        <v>0</v>
      </c>
      <c r="H65" s="69">
        <f>LAD!H59</f>
        <v>0</v>
      </c>
      <c r="I65" s="69">
        <f>LAD!I59</f>
        <v>0</v>
      </c>
      <c r="J65" s="69">
        <f>LAD!J59</f>
        <v>0</v>
      </c>
      <c r="K65" s="69">
        <f>LAD!K59</f>
        <v>0</v>
      </c>
      <c r="L65" s="69">
        <f t="shared" si="17"/>
        <v>5</v>
      </c>
      <c r="M65" s="69">
        <f t="shared" si="18"/>
        <v>5</v>
      </c>
      <c r="N65" s="69">
        <f t="shared" si="19"/>
        <v>2</v>
      </c>
      <c r="O65" s="69">
        <f t="shared" si="20"/>
        <v>2</v>
      </c>
      <c r="P65" s="69">
        <f t="shared" si="21"/>
        <v>2</v>
      </c>
      <c r="Q65" s="69">
        <f t="shared" si="22"/>
        <v>2</v>
      </c>
      <c r="R65" s="70">
        <f t="shared" si="23"/>
        <v>0.40546510810816438</v>
      </c>
      <c r="S65" s="70">
        <f t="shared" si="24"/>
        <v>0.40546510810816438</v>
      </c>
      <c r="T65" s="70">
        <f t="shared" si="25"/>
        <v>0.50015005267342905</v>
      </c>
      <c r="U65" s="70">
        <f t="shared" si="26"/>
        <v>0.50015005267342905</v>
      </c>
      <c r="V65" s="70">
        <f t="shared" si="27"/>
        <v>0.91287092917527679</v>
      </c>
      <c r="W65" s="70">
        <f t="shared" si="28"/>
        <v>0.91287092917527679</v>
      </c>
      <c r="X65" s="70">
        <f t="shared" si="29"/>
        <v>0</v>
      </c>
      <c r="Y65" s="70">
        <f t="shared" si="30"/>
        <v>1.2909944487358056</v>
      </c>
      <c r="Z65" s="70">
        <f t="shared" si="31"/>
        <v>0</v>
      </c>
      <c r="AA65" s="69" t="str">
        <f t="shared" si="32"/>
        <v>Negligible</v>
      </c>
      <c r="AB65" s="69" t="str">
        <f t="shared" si="33"/>
        <v>Tidak Ada Indikasi Bias</v>
      </c>
    </row>
    <row r="66" spans="1:28" ht="37.5" customHeight="1" x14ac:dyDescent="0.35">
      <c r="A66" s="71" t="str">
        <f>LAD!A60</f>
        <v>56. Kegiatan tinjauan, verifikasi, dan validasi desain dan pengembangan produk dan layanan Pendidikan merupakan persyaratan ISO 21001:2018, klausul …</v>
      </c>
      <c r="B66" s="69">
        <f>LAD!B60</f>
        <v>1</v>
      </c>
      <c r="C66" s="69">
        <f>LAD!C60</f>
        <v>1</v>
      </c>
      <c r="D66" s="69">
        <f>LAD!D60</f>
        <v>1</v>
      </c>
      <c r="E66" s="69">
        <f>LAD!E60</f>
        <v>1</v>
      </c>
      <c r="F66" s="69">
        <f>LAD!F60</f>
        <v>0</v>
      </c>
      <c r="G66" s="69">
        <f>LAD!G60</f>
        <v>1</v>
      </c>
      <c r="H66" s="69">
        <f>LAD!H60</f>
        <v>0</v>
      </c>
      <c r="I66" s="69">
        <f>LAD!I60</f>
        <v>0</v>
      </c>
      <c r="J66" s="69">
        <f>LAD!J60</f>
        <v>0</v>
      </c>
      <c r="K66" s="69">
        <f>LAD!K60</f>
        <v>1</v>
      </c>
      <c r="L66" s="69">
        <f t="shared" si="17"/>
        <v>5</v>
      </c>
      <c r="M66" s="69">
        <f t="shared" si="18"/>
        <v>5</v>
      </c>
      <c r="N66" s="69">
        <f t="shared" si="19"/>
        <v>3</v>
      </c>
      <c r="O66" s="69">
        <f t="shared" si="20"/>
        <v>3</v>
      </c>
      <c r="P66" s="69">
        <f t="shared" si="21"/>
        <v>3</v>
      </c>
      <c r="Q66" s="69">
        <f t="shared" si="22"/>
        <v>3</v>
      </c>
      <c r="R66" s="70">
        <f t="shared" si="23"/>
        <v>-0.40546510810816444</v>
      </c>
      <c r="S66" s="70">
        <f t="shared" si="24"/>
        <v>-0.40546510810816444</v>
      </c>
      <c r="T66" s="70">
        <f t="shared" si="25"/>
        <v>-0.31078016354289972</v>
      </c>
      <c r="U66" s="70">
        <f t="shared" si="26"/>
        <v>-0.31078016354289972</v>
      </c>
      <c r="V66" s="70">
        <f t="shared" si="27"/>
        <v>0.91287092917527679</v>
      </c>
      <c r="W66" s="70">
        <f t="shared" si="28"/>
        <v>0.91287092917527679</v>
      </c>
      <c r="X66" s="70">
        <f t="shared" si="29"/>
        <v>0</v>
      </c>
      <c r="Y66" s="70">
        <f t="shared" si="30"/>
        <v>1.2909944487358056</v>
      </c>
      <c r="Z66" s="70">
        <f t="shared" si="31"/>
        <v>0</v>
      </c>
      <c r="AA66" s="69" t="str">
        <f t="shared" si="32"/>
        <v>Negligible</v>
      </c>
      <c r="AB66" s="69" t="str">
        <f t="shared" si="33"/>
        <v>Tidak Ada Indikasi Bias</v>
      </c>
    </row>
    <row r="67" spans="1:28" ht="37.5" customHeight="1" x14ac:dyDescent="0.35">
      <c r="A67" s="71" t="str">
        <f>LAD!A61</f>
        <v>57. Rencana Pembelajaran Semester mata kuliah XYZ belum mencantumkan keterkaitan antara Capaian Pembelajaran Mata Kuliah dengan Capaian Pembelajaran Lulusan. Hal ini tidak sesuai dengan persyaratan ISO 21001:2018 klausul …</v>
      </c>
      <c r="B67" s="69">
        <f>LAD!B61</f>
        <v>1</v>
      </c>
      <c r="C67" s="69">
        <f>LAD!C61</f>
        <v>1</v>
      </c>
      <c r="D67" s="69">
        <f>LAD!D61</f>
        <v>1</v>
      </c>
      <c r="E67" s="69">
        <f>LAD!E61</f>
        <v>1</v>
      </c>
      <c r="F67" s="69">
        <f>LAD!F61</f>
        <v>1</v>
      </c>
      <c r="G67" s="69">
        <f>LAD!G61</f>
        <v>0</v>
      </c>
      <c r="H67" s="69">
        <f>LAD!H61</f>
        <v>1</v>
      </c>
      <c r="I67" s="69">
        <f>LAD!I61</f>
        <v>0</v>
      </c>
      <c r="J67" s="69">
        <f>LAD!J61</f>
        <v>0</v>
      </c>
      <c r="K67" s="69">
        <f>LAD!K61</f>
        <v>0</v>
      </c>
      <c r="L67" s="69">
        <f t="shared" si="17"/>
        <v>5</v>
      </c>
      <c r="M67" s="69">
        <f t="shared" si="18"/>
        <v>5</v>
      </c>
      <c r="N67" s="69">
        <f t="shared" si="19"/>
        <v>3</v>
      </c>
      <c r="O67" s="69">
        <f t="shared" si="20"/>
        <v>3</v>
      </c>
      <c r="P67" s="69">
        <f t="shared" si="21"/>
        <v>3</v>
      </c>
      <c r="Q67" s="69">
        <f t="shared" si="22"/>
        <v>3</v>
      </c>
      <c r="R67" s="70">
        <f t="shared" si="23"/>
        <v>-0.40546510810816444</v>
      </c>
      <c r="S67" s="70">
        <f t="shared" si="24"/>
        <v>-0.40546510810816444</v>
      </c>
      <c r="T67" s="70">
        <f t="shared" si="25"/>
        <v>-0.31078016354289972</v>
      </c>
      <c r="U67" s="70">
        <f t="shared" si="26"/>
        <v>-0.31078016354289972</v>
      </c>
      <c r="V67" s="70">
        <f t="shared" si="27"/>
        <v>0.91287092917527679</v>
      </c>
      <c r="W67" s="70">
        <f t="shared" si="28"/>
        <v>0.91287092917527679</v>
      </c>
      <c r="X67" s="70">
        <f t="shared" si="29"/>
        <v>0</v>
      </c>
      <c r="Y67" s="70">
        <f t="shared" si="30"/>
        <v>1.2909944487358056</v>
      </c>
      <c r="Z67" s="70">
        <f t="shared" si="31"/>
        <v>0</v>
      </c>
      <c r="AA67" s="69" t="str">
        <f t="shared" si="32"/>
        <v>Negligible</v>
      </c>
      <c r="AB67" s="69" t="str">
        <f t="shared" si="33"/>
        <v>Tidak Ada Indikasi Bias</v>
      </c>
    </row>
    <row r="68" spans="1:28" ht="62.5" x14ac:dyDescent="0.35">
      <c r="A68" s="71" t="str">
        <f>LAD!A62</f>
        <v>58. Peserta didik tidak diberi akses terkait dengan penilaian dosen terhadap jawaban ujian tengah dan akhir semester. Hal ini tidak sesuai dengan persyaratan ISO 21001:2018 klausul …</v>
      </c>
      <c r="B68" s="69">
        <f>LAD!B62</f>
        <v>1</v>
      </c>
      <c r="C68" s="69">
        <f>LAD!C62</f>
        <v>1</v>
      </c>
      <c r="D68" s="69">
        <f>LAD!D62</f>
        <v>0</v>
      </c>
      <c r="E68" s="69">
        <f>LAD!E62</f>
        <v>0</v>
      </c>
      <c r="F68" s="69">
        <f>LAD!F62</f>
        <v>0</v>
      </c>
      <c r="G68" s="69">
        <f>LAD!G62</f>
        <v>0</v>
      </c>
      <c r="H68" s="69">
        <f>LAD!H62</f>
        <v>0</v>
      </c>
      <c r="I68" s="69">
        <f>LAD!I62</f>
        <v>0</v>
      </c>
      <c r="J68" s="69">
        <f>LAD!J62</f>
        <v>0</v>
      </c>
      <c r="K68" s="69">
        <f>LAD!K62</f>
        <v>0</v>
      </c>
      <c r="L68" s="69">
        <f t="shared" si="17"/>
        <v>5</v>
      </c>
      <c r="M68" s="69">
        <f t="shared" si="18"/>
        <v>5</v>
      </c>
      <c r="N68" s="69">
        <f t="shared" si="19"/>
        <v>1</v>
      </c>
      <c r="O68" s="69">
        <f t="shared" si="20"/>
        <v>1</v>
      </c>
      <c r="P68" s="69">
        <f t="shared" si="21"/>
        <v>1</v>
      </c>
      <c r="Q68" s="69">
        <f t="shared" si="22"/>
        <v>1</v>
      </c>
      <c r="R68" s="70">
        <f t="shared" si="23"/>
        <v>1.3862943611198906</v>
      </c>
      <c r="S68" s="70">
        <f t="shared" si="24"/>
        <v>1.3862943611198906</v>
      </c>
      <c r="T68" s="70">
        <f t="shared" si="25"/>
        <v>1.4809793056851552</v>
      </c>
      <c r="U68" s="70">
        <f t="shared" si="26"/>
        <v>1.4809793056851552</v>
      </c>
      <c r="V68" s="70">
        <f t="shared" si="27"/>
        <v>1.1180339887498949</v>
      </c>
      <c r="W68" s="70">
        <f t="shared" si="28"/>
        <v>1.1180339887498949</v>
      </c>
      <c r="X68" s="70">
        <f t="shared" si="29"/>
        <v>0</v>
      </c>
      <c r="Y68" s="70">
        <f t="shared" si="30"/>
        <v>1.5811388300841898</v>
      </c>
      <c r="Z68" s="70">
        <f t="shared" si="31"/>
        <v>0</v>
      </c>
      <c r="AA68" s="69" t="str">
        <f t="shared" si="32"/>
        <v>Negligible</v>
      </c>
      <c r="AB68" s="69" t="str">
        <f t="shared" si="33"/>
        <v>Tidak Ada Indikasi Bias</v>
      </c>
    </row>
    <row r="69" spans="1:28" ht="87.5" x14ac:dyDescent="0.35">
      <c r="A69" s="71" t="str">
        <f>LAD!A63</f>
        <v>59. Sebuah pendidikan vokasi memiliki dosen yang memiliki latar belakang pendidikan tidak linear dengan jurusan yang diampu. Namun, dosen tersebut merupakan praktisi perusahaan di bidang yang linear dengan jurusan yang diampu. Apakah hal tersebut diperbolehkan?</v>
      </c>
      <c r="B69" s="69">
        <f>LAD!B63</f>
        <v>1</v>
      </c>
      <c r="C69" s="69">
        <f>LAD!C63</f>
        <v>1</v>
      </c>
      <c r="D69" s="69">
        <f>LAD!D63</f>
        <v>1</v>
      </c>
      <c r="E69" s="69">
        <f>LAD!E63</f>
        <v>1</v>
      </c>
      <c r="F69" s="69">
        <f>LAD!F63</f>
        <v>0</v>
      </c>
      <c r="G69" s="69">
        <f>LAD!G63</f>
        <v>0</v>
      </c>
      <c r="H69" s="69">
        <f>LAD!H63</f>
        <v>0</v>
      </c>
      <c r="I69" s="69">
        <f>LAD!I63</f>
        <v>0</v>
      </c>
      <c r="J69" s="69">
        <f>LAD!J63</f>
        <v>0</v>
      </c>
      <c r="K69" s="69">
        <f>LAD!K63</f>
        <v>0</v>
      </c>
      <c r="L69" s="69">
        <f t="shared" si="17"/>
        <v>5</v>
      </c>
      <c r="M69" s="69">
        <f t="shared" si="18"/>
        <v>5</v>
      </c>
      <c r="N69" s="69">
        <f t="shared" si="19"/>
        <v>2</v>
      </c>
      <c r="O69" s="69">
        <f t="shared" si="20"/>
        <v>2</v>
      </c>
      <c r="P69" s="69">
        <f t="shared" si="21"/>
        <v>2</v>
      </c>
      <c r="Q69" s="69">
        <f t="shared" si="22"/>
        <v>2</v>
      </c>
      <c r="R69" s="70">
        <f t="shared" si="23"/>
        <v>0.40546510810816438</v>
      </c>
      <c r="S69" s="70">
        <f t="shared" si="24"/>
        <v>0.40546510810816438</v>
      </c>
      <c r="T69" s="70">
        <f t="shared" si="25"/>
        <v>0.50015005267342905</v>
      </c>
      <c r="U69" s="70">
        <f t="shared" si="26"/>
        <v>0.50015005267342905</v>
      </c>
      <c r="V69" s="70">
        <f t="shared" si="27"/>
        <v>0.91287092917527679</v>
      </c>
      <c r="W69" s="70">
        <f t="shared" si="28"/>
        <v>0.91287092917527679</v>
      </c>
      <c r="X69" s="70">
        <f t="shared" si="29"/>
        <v>0</v>
      </c>
      <c r="Y69" s="70">
        <f t="shared" si="30"/>
        <v>1.2909944487358056</v>
      </c>
      <c r="Z69" s="70">
        <f t="shared" si="31"/>
        <v>0</v>
      </c>
      <c r="AA69" s="69" t="str">
        <f t="shared" si="32"/>
        <v>Negligible</v>
      </c>
      <c r="AB69" s="69" t="str">
        <f t="shared" si="33"/>
        <v>Tidak Ada Indikasi Bias</v>
      </c>
    </row>
    <row r="70" spans="1:28" ht="75" x14ac:dyDescent="0.35">
      <c r="A70" s="71" t="str">
        <f>LAD!A64</f>
        <v>60. Salah satu proses yang harus diatur dalam mengelola layanan pendidikan adalah proses penerimaan peserta didik baru. Dalam menyusun proses tersebut organisasi pendidikan dapat mengacu pada klausul …</v>
      </c>
      <c r="B70" s="69">
        <f>LAD!B64</f>
        <v>1</v>
      </c>
      <c r="C70" s="69">
        <f>LAD!C64</f>
        <v>1</v>
      </c>
      <c r="D70" s="69">
        <f>LAD!D64</f>
        <v>1</v>
      </c>
      <c r="E70" s="69">
        <f>LAD!E64</f>
        <v>1</v>
      </c>
      <c r="F70" s="69">
        <f>LAD!F64</f>
        <v>0</v>
      </c>
      <c r="G70" s="69">
        <f>LAD!G64</f>
        <v>1</v>
      </c>
      <c r="H70" s="69">
        <f>LAD!H64</f>
        <v>0</v>
      </c>
      <c r="I70" s="69">
        <f>LAD!I64</f>
        <v>0</v>
      </c>
      <c r="J70" s="69">
        <f>LAD!J64</f>
        <v>0</v>
      </c>
      <c r="K70" s="69">
        <f>LAD!K64</f>
        <v>1</v>
      </c>
      <c r="L70" s="69">
        <f t="shared" si="17"/>
        <v>5</v>
      </c>
      <c r="M70" s="69">
        <f t="shared" si="18"/>
        <v>5</v>
      </c>
      <c r="N70" s="69">
        <f t="shared" si="19"/>
        <v>3</v>
      </c>
      <c r="O70" s="69">
        <f t="shared" si="20"/>
        <v>3</v>
      </c>
      <c r="P70" s="69">
        <f t="shared" si="21"/>
        <v>3</v>
      </c>
      <c r="Q70" s="69">
        <f t="shared" si="22"/>
        <v>3</v>
      </c>
      <c r="R70" s="70">
        <f t="shared" si="23"/>
        <v>-0.40546510810816444</v>
      </c>
      <c r="S70" s="70">
        <f t="shared" si="24"/>
        <v>-0.40546510810816444</v>
      </c>
      <c r="T70" s="70">
        <f t="shared" si="25"/>
        <v>-0.31078016354289972</v>
      </c>
      <c r="U70" s="70">
        <f t="shared" si="26"/>
        <v>-0.31078016354289972</v>
      </c>
      <c r="V70" s="70">
        <f t="shared" si="27"/>
        <v>0.91287092917527679</v>
      </c>
      <c r="W70" s="70">
        <f t="shared" si="28"/>
        <v>0.91287092917527679</v>
      </c>
      <c r="X70" s="70">
        <f t="shared" si="29"/>
        <v>0</v>
      </c>
      <c r="Y70" s="70">
        <f t="shared" si="30"/>
        <v>1.2909944487358056</v>
      </c>
      <c r="Z70" s="70">
        <f t="shared" si="31"/>
        <v>0</v>
      </c>
      <c r="AA70" s="69" t="str">
        <f t="shared" si="32"/>
        <v>Negligible</v>
      </c>
      <c r="AB70" s="69" t="str">
        <f t="shared" si="33"/>
        <v>Tidak Ada Indikasi Bias</v>
      </c>
    </row>
    <row r="71" spans="1:28" ht="37.5" x14ac:dyDescent="0.35">
      <c r="A71" s="71" t="str">
        <f>LAD!A65</f>
        <v>61. Rencana strategis perguruan tinggi, merupakan bentuk pemenuhan perencanaan pengembangan jangka …</v>
      </c>
      <c r="B71" s="69">
        <f>LAD!B65</f>
        <v>1</v>
      </c>
      <c r="C71" s="69">
        <f>LAD!C65</f>
        <v>1</v>
      </c>
      <c r="D71" s="69">
        <f>LAD!D65</f>
        <v>1</v>
      </c>
      <c r="E71" s="69">
        <f>LAD!E65</f>
        <v>1</v>
      </c>
      <c r="F71" s="69">
        <f>LAD!F65</f>
        <v>1</v>
      </c>
      <c r="G71" s="69">
        <f>LAD!G65</f>
        <v>1</v>
      </c>
      <c r="H71" s="69">
        <f>LAD!H65</f>
        <v>1</v>
      </c>
      <c r="I71" s="69">
        <f>LAD!I65</f>
        <v>0</v>
      </c>
      <c r="J71" s="69">
        <f>LAD!J65</f>
        <v>0</v>
      </c>
      <c r="K71" s="69">
        <f>LAD!K65</f>
        <v>1</v>
      </c>
      <c r="L71" s="69">
        <f t="shared" si="17"/>
        <v>5</v>
      </c>
      <c r="M71" s="69">
        <f t="shared" si="18"/>
        <v>5</v>
      </c>
      <c r="N71" s="69">
        <f t="shared" si="19"/>
        <v>4</v>
      </c>
      <c r="O71" s="69">
        <f t="shared" si="20"/>
        <v>4</v>
      </c>
      <c r="P71" s="69">
        <f t="shared" si="21"/>
        <v>4</v>
      </c>
      <c r="Q71" s="69">
        <f t="shared" si="22"/>
        <v>4</v>
      </c>
      <c r="R71" s="70">
        <f t="shared" si="23"/>
        <v>-1.3862943611198906</v>
      </c>
      <c r="S71" s="70">
        <f t="shared" si="24"/>
        <v>-1.3862943611198906</v>
      </c>
      <c r="T71" s="70">
        <f t="shared" si="25"/>
        <v>-1.2916094165546259</v>
      </c>
      <c r="U71" s="70">
        <f t="shared" si="26"/>
        <v>-1.2916094165546259</v>
      </c>
      <c r="V71" s="70">
        <f t="shared" si="27"/>
        <v>1.1180339887498949</v>
      </c>
      <c r="W71" s="70">
        <f t="shared" si="28"/>
        <v>1.1180339887498949</v>
      </c>
      <c r="X71" s="70">
        <f t="shared" si="29"/>
        <v>0</v>
      </c>
      <c r="Y71" s="70">
        <f t="shared" si="30"/>
        <v>1.5811388300841898</v>
      </c>
      <c r="Z71" s="70">
        <f t="shared" si="31"/>
        <v>0</v>
      </c>
      <c r="AA71" s="69" t="str">
        <f t="shared" si="32"/>
        <v>Negligible</v>
      </c>
      <c r="AB71" s="69" t="str">
        <f t="shared" si="33"/>
        <v>Tidak Ada Indikasi Bias</v>
      </c>
    </row>
    <row r="72" spans="1:28" ht="75" x14ac:dyDescent="0.35">
      <c r="A72" s="71" t="str">
        <f>LAD!A66</f>
        <v>62. Sebuah organisasi pendidikan perlu melakukan evaluasi terhadap peserta didik dengan melakukan penilaian formatif dan sumatif. Bukti bahwa organisasi pendidikan telah melakukan penilaian formatif adalah …</v>
      </c>
      <c r="B72" s="69">
        <f>LAD!B66</f>
        <v>1</v>
      </c>
      <c r="C72" s="69">
        <f>LAD!C66</f>
        <v>1</v>
      </c>
      <c r="D72" s="69">
        <f>LAD!D66</f>
        <v>1</v>
      </c>
      <c r="E72" s="69">
        <f>LAD!E66</f>
        <v>1</v>
      </c>
      <c r="F72" s="69">
        <f>LAD!F66</f>
        <v>1</v>
      </c>
      <c r="G72" s="69">
        <f>LAD!G66</f>
        <v>0</v>
      </c>
      <c r="H72" s="69">
        <f>LAD!H66</f>
        <v>1</v>
      </c>
      <c r="I72" s="69">
        <f>LAD!I66</f>
        <v>0</v>
      </c>
      <c r="J72" s="69">
        <f>LAD!J66</f>
        <v>0</v>
      </c>
      <c r="K72" s="69">
        <f>LAD!K66</f>
        <v>0</v>
      </c>
      <c r="L72" s="69">
        <f t="shared" si="17"/>
        <v>5</v>
      </c>
      <c r="M72" s="69">
        <f t="shared" si="18"/>
        <v>5</v>
      </c>
      <c r="N72" s="69">
        <f t="shared" si="19"/>
        <v>3</v>
      </c>
      <c r="O72" s="69">
        <f t="shared" si="20"/>
        <v>3</v>
      </c>
      <c r="P72" s="69">
        <f t="shared" si="21"/>
        <v>3</v>
      </c>
      <c r="Q72" s="69">
        <f t="shared" si="22"/>
        <v>3</v>
      </c>
      <c r="R72" s="70">
        <f t="shared" si="23"/>
        <v>-0.40546510810816444</v>
      </c>
      <c r="S72" s="70">
        <f t="shared" si="24"/>
        <v>-0.40546510810816444</v>
      </c>
      <c r="T72" s="70">
        <f t="shared" si="25"/>
        <v>-0.31078016354289972</v>
      </c>
      <c r="U72" s="70">
        <f t="shared" si="26"/>
        <v>-0.31078016354289972</v>
      </c>
      <c r="V72" s="70">
        <f t="shared" si="27"/>
        <v>0.91287092917527679</v>
      </c>
      <c r="W72" s="70">
        <f t="shared" si="28"/>
        <v>0.91287092917527679</v>
      </c>
      <c r="X72" s="70">
        <f t="shared" si="29"/>
        <v>0</v>
      </c>
      <c r="Y72" s="70">
        <f t="shared" si="30"/>
        <v>1.2909944487358056</v>
      </c>
      <c r="Z72" s="70">
        <f t="shared" si="31"/>
        <v>0</v>
      </c>
      <c r="AA72" s="69" t="str">
        <f t="shared" si="32"/>
        <v>Negligible</v>
      </c>
      <c r="AB72" s="69" t="str">
        <f t="shared" si="33"/>
        <v>Tidak Ada Indikasi Bias</v>
      </c>
    </row>
    <row r="73" spans="1:28" ht="75" x14ac:dyDescent="0.35">
      <c r="A73" s="71" t="str">
        <f>LAD!A67</f>
        <v>63. Prasyarat layanan pendidikan salah satunya bisa diperoleh dari analisis kebutuhan peserta didik. Bentuk upaya analisis kebutuhan peserta didik berkebutuhan khusus adalah sebagai berikut, kecuali …</v>
      </c>
      <c r="B73" s="69">
        <f>LAD!B67</f>
        <v>1</v>
      </c>
      <c r="C73" s="69">
        <f>LAD!C67</f>
        <v>1</v>
      </c>
      <c r="D73" s="69">
        <f>LAD!D67</f>
        <v>1</v>
      </c>
      <c r="E73" s="69">
        <f>LAD!E67</f>
        <v>1</v>
      </c>
      <c r="F73" s="69">
        <f>LAD!F67</f>
        <v>1</v>
      </c>
      <c r="G73" s="69">
        <f>LAD!G67</f>
        <v>0</v>
      </c>
      <c r="H73" s="69">
        <f>LAD!H67</f>
        <v>1</v>
      </c>
      <c r="I73" s="69">
        <f>LAD!I67</f>
        <v>0</v>
      </c>
      <c r="J73" s="69">
        <f>LAD!J67</f>
        <v>0</v>
      </c>
      <c r="K73" s="69">
        <f>LAD!K67</f>
        <v>0</v>
      </c>
      <c r="L73" s="69">
        <f t="shared" si="17"/>
        <v>5</v>
      </c>
      <c r="M73" s="69">
        <f t="shared" si="18"/>
        <v>5</v>
      </c>
      <c r="N73" s="69">
        <f t="shared" si="19"/>
        <v>3</v>
      </c>
      <c r="O73" s="69">
        <f t="shared" si="20"/>
        <v>3</v>
      </c>
      <c r="P73" s="69">
        <f t="shared" si="21"/>
        <v>3</v>
      </c>
      <c r="Q73" s="69">
        <f t="shared" si="22"/>
        <v>3</v>
      </c>
      <c r="R73" s="70">
        <f t="shared" si="23"/>
        <v>-0.40546510810816444</v>
      </c>
      <c r="S73" s="70">
        <f t="shared" si="24"/>
        <v>-0.40546510810816444</v>
      </c>
      <c r="T73" s="70">
        <f t="shared" si="25"/>
        <v>-0.31078016354289972</v>
      </c>
      <c r="U73" s="70">
        <f t="shared" si="26"/>
        <v>-0.31078016354289972</v>
      </c>
      <c r="V73" s="70">
        <f t="shared" si="27"/>
        <v>0.91287092917527679</v>
      </c>
      <c r="W73" s="70">
        <f t="shared" si="28"/>
        <v>0.91287092917527679</v>
      </c>
      <c r="X73" s="70">
        <f t="shared" si="29"/>
        <v>0</v>
      </c>
      <c r="Y73" s="70">
        <f t="shared" si="30"/>
        <v>1.2909944487358056</v>
      </c>
      <c r="Z73" s="70">
        <f t="shared" si="31"/>
        <v>0</v>
      </c>
      <c r="AA73" s="69" t="str">
        <f t="shared" si="32"/>
        <v>Negligible</v>
      </c>
      <c r="AB73" s="69" t="str">
        <f t="shared" si="33"/>
        <v>Tidak Ada Indikasi Bias</v>
      </c>
    </row>
    <row r="74" spans="1:28" ht="75" x14ac:dyDescent="0.35">
      <c r="A74" s="71" t="str">
        <f>LAD!A68</f>
        <v>64. ISO 21001:2018 mensyaratkan bahwa organisasi pendidikan harus menunjukkan fleksibilitas dalam memenuhi kebutuhan dari peserta didik berkebutuhan khusus dengan pendekatan sebagai berikut, kecuali …</v>
      </c>
      <c r="B74" s="69">
        <f>LAD!B68</f>
        <v>1</v>
      </c>
      <c r="C74" s="69">
        <f>LAD!C68</f>
        <v>1</v>
      </c>
      <c r="D74" s="69">
        <f>LAD!D68</f>
        <v>1</v>
      </c>
      <c r="E74" s="69">
        <f>LAD!E68</f>
        <v>1</v>
      </c>
      <c r="F74" s="69">
        <f>LAD!F68</f>
        <v>0</v>
      </c>
      <c r="G74" s="69">
        <f>LAD!G68</f>
        <v>0</v>
      </c>
      <c r="H74" s="69">
        <f>LAD!H68</f>
        <v>0</v>
      </c>
      <c r="I74" s="69">
        <f>LAD!I68</f>
        <v>0</v>
      </c>
      <c r="J74" s="69">
        <f>LAD!J68</f>
        <v>0</v>
      </c>
      <c r="K74" s="69">
        <f>LAD!K68</f>
        <v>0</v>
      </c>
      <c r="L74" s="69">
        <f t="shared" si="17"/>
        <v>5</v>
      </c>
      <c r="M74" s="69">
        <f t="shared" si="18"/>
        <v>5</v>
      </c>
      <c r="N74" s="69">
        <f t="shared" si="19"/>
        <v>2</v>
      </c>
      <c r="O74" s="69">
        <f t="shared" si="20"/>
        <v>2</v>
      </c>
      <c r="P74" s="69">
        <f t="shared" si="21"/>
        <v>2</v>
      </c>
      <c r="Q74" s="69">
        <f t="shared" si="22"/>
        <v>2</v>
      </c>
      <c r="R74" s="70">
        <f t="shared" si="23"/>
        <v>0.40546510810816438</v>
      </c>
      <c r="S74" s="70">
        <f t="shared" si="24"/>
        <v>0.40546510810816438</v>
      </c>
      <c r="T74" s="70">
        <f t="shared" si="25"/>
        <v>0.50015005267342905</v>
      </c>
      <c r="U74" s="70">
        <f t="shared" si="26"/>
        <v>0.50015005267342905</v>
      </c>
      <c r="V74" s="70">
        <f t="shared" si="27"/>
        <v>0.91287092917527679</v>
      </c>
      <c r="W74" s="70">
        <f t="shared" si="28"/>
        <v>0.91287092917527679</v>
      </c>
      <c r="X74" s="70">
        <f t="shared" si="29"/>
        <v>0</v>
      </c>
      <c r="Y74" s="70">
        <f t="shared" si="30"/>
        <v>1.2909944487358056</v>
      </c>
      <c r="Z74" s="70">
        <f t="shared" si="31"/>
        <v>0</v>
      </c>
      <c r="AA74" s="69" t="str">
        <f t="shared" si="32"/>
        <v>Negligible</v>
      </c>
      <c r="AB74" s="69" t="str">
        <f t="shared" si="33"/>
        <v>Tidak Ada Indikasi Bias</v>
      </c>
    </row>
    <row r="75" spans="1:28" ht="87.5" x14ac:dyDescent="0.35">
      <c r="A75" s="71" t="str">
        <f>LAD!A69</f>
        <v>65. ISO 21001:2018 menharuskan organisasi pendidikan untuk mengkomunikasikan persyaratan terkait produk dan layanan pendidikan kepada pihak berkepentingan. Minimal informasi berikut harus dipahami oleh pihak berkepentingan, kecuali …</v>
      </c>
      <c r="B75" s="69">
        <f>LAD!B69</f>
        <v>1</v>
      </c>
      <c r="C75" s="69">
        <f>LAD!C69</f>
        <v>1</v>
      </c>
      <c r="D75" s="69">
        <f>LAD!D69</f>
        <v>1</v>
      </c>
      <c r="E75" s="69">
        <f>LAD!E69</f>
        <v>1</v>
      </c>
      <c r="F75" s="69">
        <f>LAD!F69</f>
        <v>0</v>
      </c>
      <c r="G75" s="69">
        <f>LAD!G69</f>
        <v>1</v>
      </c>
      <c r="H75" s="69">
        <f>LAD!H69</f>
        <v>0</v>
      </c>
      <c r="I75" s="69">
        <f>LAD!I69</f>
        <v>0</v>
      </c>
      <c r="J75" s="69">
        <f>LAD!J69</f>
        <v>0</v>
      </c>
      <c r="K75" s="69">
        <f>LAD!K69</f>
        <v>1</v>
      </c>
      <c r="L75" s="69">
        <f t="shared" ref="L75:L110" si="34">COUNTIF($B$8:$K$8,"Laki-Laki")</f>
        <v>5</v>
      </c>
      <c r="M75" s="69">
        <f t="shared" ref="M75:M110" si="35">COUNTIF($B$8:$K$8,"Perempuan")</f>
        <v>5</v>
      </c>
      <c r="N75" s="69">
        <f t="shared" ref="N75:N110" si="36">SUMIF($B$8:$K$8,"Laki-Laki",B75:K75)</f>
        <v>3</v>
      </c>
      <c r="O75" s="69">
        <f t="shared" ref="O75:O110" si="37">SUMIF($B$8:$K$8,"Perempuan",B75:K75)</f>
        <v>3</v>
      </c>
      <c r="P75" s="69">
        <f t="shared" ref="P75:P110" si="38">IF(N75=0,0.3,IF(N75=L75,L75-0.3,N75))</f>
        <v>3</v>
      </c>
      <c r="Q75" s="69">
        <f t="shared" ref="Q75:Q110" si="39">IF(O75=0,0.3,IF(O75=M75,M75-0.3,O75))</f>
        <v>3</v>
      </c>
      <c r="R75" s="70">
        <f t="shared" ref="R75:R110" si="40">LN((L75-P75)/P75)</f>
        <v>-0.40546510810816444</v>
      </c>
      <c r="S75" s="70">
        <f t="shared" ref="S75:S110" si="41">LN((M75-Q75)/Q75)</f>
        <v>-0.40546510810816444</v>
      </c>
      <c r="T75" s="70">
        <f t="shared" ref="T75:T110" si="42">R75-AVERAGE($R$11:$R$110)</f>
        <v>-0.31078016354289972</v>
      </c>
      <c r="U75" s="70">
        <f t="shared" ref="U75:U110" si="43">S75-AVERAGE($S$11:$S$110)</f>
        <v>-0.31078016354289972</v>
      </c>
      <c r="V75" s="70">
        <f t="shared" ref="V75:V110" si="44">SQRT(1/P75+1/(L75-P75))</f>
        <v>0.91287092917527679</v>
      </c>
      <c r="W75" s="70">
        <f t="shared" ref="W75:W110" si="45">SQRT(1/Q75+1/(M75-Q75))</f>
        <v>0.91287092917527679</v>
      </c>
      <c r="X75" s="70">
        <f t="shared" ref="X75:X110" si="46">T75-U75</f>
        <v>0</v>
      </c>
      <c r="Y75" s="70">
        <f t="shared" ref="Y75:Y110" si="47">SQRT(V75^2+W75^2)</f>
        <v>1.2909944487358056</v>
      </c>
      <c r="Z75" s="70">
        <f t="shared" ref="Z75:Z106" si="48">X75/Y75</f>
        <v>0</v>
      </c>
      <c r="AA75" s="69" t="str">
        <f t="shared" ref="AA75:AA106" si="49">IF(AND(ABS(X75)&gt;=$B$4,ABS(Z75)&gt;=$B$5),"DIF Besar - review",IF(AND(ABS(X75)&gt;=$B$3,ABS(Z75)&gt;=$B$5),"DIF Moderat - cek","Negligible"))</f>
        <v>Negligible</v>
      </c>
      <c r="AB75" s="69" t="str">
        <f t="shared" ref="AB75:AB110" si="50">IF(ABS(X75)&gt;=$B$4,"Berpotensi Bias - Tinjau Konten",IF(ABS(X75)&gt;=$B$3,"Indikasi Ringan - Pantau","Tidak Ada Indikasi Bias"))</f>
        <v>Tidak Ada Indikasi Bias</v>
      </c>
    </row>
    <row r="76" spans="1:28" ht="50" x14ac:dyDescent="0.35">
      <c r="A76" s="71" t="str">
        <f>LAD!A70</f>
        <v>66. Ketika terdapat perubahan terhadap persyaratan pada produk dan layanan, organisasi pendidikan harus memastikan …</v>
      </c>
      <c r="B76" s="69">
        <f>LAD!B70</f>
        <v>1</v>
      </c>
      <c r="C76" s="69">
        <f>LAD!C70</f>
        <v>1</v>
      </c>
      <c r="D76" s="69">
        <f>LAD!D70</f>
        <v>1</v>
      </c>
      <c r="E76" s="69">
        <f>LAD!E70</f>
        <v>1</v>
      </c>
      <c r="F76" s="69">
        <f>LAD!F70</f>
        <v>1</v>
      </c>
      <c r="G76" s="69">
        <f>LAD!G70</f>
        <v>0</v>
      </c>
      <c r="H76" s="69">
        <f>LAD!H70</f>
        <v>1</v>
      </c>
      <c r="I76" s="69">
        <f>LAD!I70</f>
        <v>0</v>
      </c>
      <c r="J76" s="69">
        <f>LAD!J70</f>
        <v>0</v>
      </c>
      <c r="K76" s="69">
        <f>LAD!K70</f>
        <v>0</v>
      </c>
      <c r="L76" s="69">
        <f t="shared" si="34"/>
        <v>5</v>
      </c>
      <c r="M76" s="69">
        <f t="shared" si="35"/>
        <v>5</v>
      </c>
      <c r="N76" s="69">
        <f t="shared" si="36"/>
        <v>3</v>
      </c>
      <c r="O76" s="69">
        <f t="shared" si="37"/>
        <v>3</v>
      </c>
      <c r="P76" s="69">
        <f t="shared" si="38"/>
        <v>3</v>
      </c>
      <c r="Q76" s="69">
        <f t="shared" si="39"/>
        <v>3</v>
      </c>
      <c r="R76" s="70">
        <f t="shared" si="40"/>
        <v>-0.40546510810816444</v>
      </c>
      <c r="S76" s="70">
        <f t="shared" si="41"/>
        <v>-0.40546510810816444</v>
      </c>
      <c r="T76" s="70">
        <f t="shared" si="42"/>
        <v>-0.31078016354289972</v>
      </c>
      <c r="U76" s="70">
        <f t="shared" si="43"/>
        <v>-0.31078016354289972</v>
      </c>
      <c r="V76" s="70">
        <f t="shared" si="44"/>
        <v>0.91287092917527679</v>
      </c>
      <c r="W76" s="70">
        <f t="shared" si="45"/>
        <v>0.91287092917527679</v>
      </c>
      <c r="X76" s="70">
        <f t="shared" si="46"/>
        <v>0</v>
      </c>
      <c r="Y76" s="70">
        <f t="shared" si="47"/>
        <v>1.2909944487358056</v>
      </c>
      <c r="Z76" s="70">
        <f t="shared" si="48"/>
        <v>0</v>
      </c>
      <c r="AA76" s="69" t="str">
        <f t="shared" si="49"/>
        <v>Negligible</v>
      </c>
      <c r="AB76" s="69" t="str">
        <f t="shared" si="50"/>
        <v>Tidak Ada Indikasi Bias</v>
      </c>
    </row>
    <row r="77" spans="1:28" ht="75" x14ac:dyDescent="0.35">
      <c r="A77" s="71" t="str">
        <f>LAD!A71</f>
        <v>67. Klausul 8 ISO 21001:2018 mensyaratkan organsiasi pendidikan untuk menentukan proses penerimaan peserta didik baru. Dalam menenyusun proses ini, organisasi pendidikan dapat mengacu pada klausul …</v>
      </c>
      <c r="B77" s="69">
        <f>LAD!B71</f>
        <v>1</v>
      </c>
      <c r="C77" s="69">
        <f>LAD!C71</f>
        <v>1</v>
      </c>
      <c r="D77" s="69">
        <f>LAD!D71</f>
        <v>0</v>
      </c>
      <c r="E77" s="69">
        <f>LAD!E71</f>
        <v>0</v>
      </c>
      <c r="F77" s="69">
        <f>LAD!F71</f>
        <v>0</v>
      </c>
      <c r="G77" s="69">
        <f>LAD!G71</f>
        <v>1</v>
      </c>
      <c r="H77" s="69">
        <f>LAD!H71</f>
        <v>0</v>
      </c>
      <c r="I77" s="69">
        <f>LAD!I71</f>
        <v>0</v>
      </c>
      <c r="J77" s="69">
        <f>LAD!J71</f>
        <v>0</v>
      </c>
      <c r="K77" s="69">
        <f>LAD!K71</f>
        <v>1</v>
      </c>
      <c r="L77" s="69">
        <f t="shared" si="34"/>
        <v>5</v>
      </c>
      <c r="M77" s="69">
        <f t="shared" si="35"/>
        <v>5</v>
      </c>
      <c r="N77" s="69">
        <f t="shared" si="36"/>
        <v>2</v>
      </c>
      <c r="O77" s="69">
        <f t="shared" si="37"/>
        <v>2</v>
      </c>
      <c r="P77" s="69">
        <f t="shared" si="38"/>
        <v>2</v>
      </c>
      <c r="Q77" s="69">
        <f t="shared" si="39"/>
        <v>2</v>
      </c>
      <c r="R77" s="70">
        <f t="shared" si="40"/>
        <v>0.40546510810816438</v>
      </c>
      <c r="S77" s="70">
        <f t="shared" si="41"/>
        <v>0.40546510810816438</v>
      </c>
      <c r="T77" s="70">
        <f t="shared" si="42"/>
        <v>0.50015005267342905</v>
      </c>
      <c r="U77" s="70">
        <f t="shared" si="43"/>
        <v>0.50015005267342905</v>
      </c>
      <c r="V77" s="70">
        <f t="shared" si="44"/>
        <v>0.91287092917527679</v>
      </c>
      <c r="W77" s="70">
        <f t="shared" si="45"/>
        <v>0.91287092917527679</v>
      </c>
      <c r="X77" s="70">
        <f t="shared" si="46"/>
        <v>0</v>
      </c>
      <c r="Y77" s="70">
        <f t="shared" si="47"/>
        <v>1.2909944487358056</v>
      </c>
      <c r="Z77" s="70">
        <f t="shared" si="48"/>
        <v>0</v>
      </c>
      <c r="AA77" s="69" t="str">
        <f t="shared" si="49"/>
        <v>Negligible</v>
      </c>
      <c r="AB77" s="69" t="str">
        <f t="shared" si="50"/>
        <v>Tidak Ada Indikasi Bias</v>
      </c>
    </row>
    <row r="78" spans="1:28" ht="37.5" x14ac:dyDescent="0.35">
      <c r="A78" s="71" t="str">
        <f>LAD!A72</f>
        <v>68. ISO 21001:2018 mensyaratkan organisasi pendidikan untuk memastikan identifikasi dan ketertelusuran dari …</v>
      </c>
      <c r="B78" s="69">
        <f>LAD!B72</f>
        <v>1</v>
      </c>
      <c r="C78" s="69">
        <f>LAD!C72</f>
        <v>1</v>
      </c>
      <c r="D78" s="69">
        <f>LAD!D72</f>
        <v>1</v>
      </c>
      <c r="E78" s="69">
        <f>LAD!E72</f>
        <v>1</v>
      </c>
      <c r="F78" s="69">
        <f>LAD!F72</f>
        <v>0</v>
      </c>
      <c r="G78" s="69">
        <f>LAD!G72</f>
        <v>1</v>
      </c>
      <c r="H78" s="69">
        <f>LAD!H72</f>
        <v>0</v>
      </c>
      <c r="I78" s="69">
        <f>LAD!I72</f>
        <v>1</v>
      </c>
      <c r="J78" s="69">
        <f>LAD!J72</f>
        <v>1</v>
      </c>
      <c r="K78" s="69">
        <f>LAD!K72</f>
        <v>1</v>
      </c>
      <c r="L78" s="69">
        <f t="shared" si="34"/>
        <v>5</v>
      </c>
      <c r="M78" s="69">
        <f t="shared" si="35"/>
        <v>5</v>
      </c>
      <c r="N78" s="69">
        <f t="shared" si="36"/>
        <v>4</v>
      </c>
      <c r="O78" s="69">
        <f t="shared" si="37"/>
        <v>4</v>
      </c>
      <c r="P78" s="69">
        <f t="shared" si="38"/>
        <v>4</v>
      </c>
      <c r="Q78" s="69">
        <f t="shared" si="39"/>
        <v>4</v>
      </c>
      <c r="R78" s="70">
        <f t="shared" si="40"/>
        <v>-1.3862943611198906</v>
      </c>
      <c r="S78" s="70">
        <f t="shared" si="41"/>
        <v>-1.3862943611198906</v>
      </c>
      <c r="T78" s="70">
        <f t="shared" si="42"/>
        <v>-1.2916094165546259</v>
      </c>
      <c r="U78" s="70">
        <f t="shared" si="43"/>
        <v>-1.2916094165546259</v>
      </c>
      <c r="V78" s="70">
        <f t="shared" si="44"/>
        <v>1.1180339887498949</v>
      </c>
      <c r="W78" s="70">
        <f t="shared" si="45"/>
        <v>1.1180339887498949</v>
      </c>
      <c r="X78" s="70">
        <f t="shared" si="46"/>
        <v>0</v>
      </c>
      <c r="Y78" s="70">
        <f t="shared" si="47"/>
        <v>1.5811388300841898</v>
      </c>
      <c r="Z78" s="70">
        <f t="shared" si="48"/>
        <v>0</v>
      </c>
      <c r="AA78" s="69" t="str">
        <f t="shared" si="49"/>
        <v>Negligible</v>
      </c>
      <c r="AB78" s="69" t="str">
        <f t="shared" si="50"/>
        <v>Tidak Ada Indikasi Bias</v>
      </c>
    </row>
    <row r="79" spans="1:28" ht="50" x14ac:dyDescent="0.35">
      <c r="A79" s="71" t="str">
        <f>LAD!A73</f>
        <v>69. Apa yang harus dilakukan oleh organisasi pendidikan apabila terjadi kehilangan atau kerusakan pada properti milik pihak berkepentingan?</v>
      </c>
      <c r="B79" s="69">
        <f>LAD!B73</f>
        <v>0</v>
      </c>
      <c r="C79" s="69">
        <f>LAD!C73</f>
        <v>0</v>
      </c>
      <c r="D79" s="69">
        <f>LAD!D73</f>
        <v>0</v>
      </c>
      <c r="E79" s="69">
        <f>LAD!E73</f>
        <v>0</v>
      </c>
      <c r="F79" s="69">
        <f>LAD!F73</f>
        <v>1</v>
      </c>
      <c r="G79" s="69">
        <f>LAD!G73</f>
        <v>1</v>
      </c>
      <c r="H79" s="69">
        <f>LAD!H73</f>
        <v>1</v>
      </c>
      <c r="I79" s="69">
        <f>LAD!I73</f>
        <v>1</v>
      </c>
      <c r="J79" s="69">
        <f>LAD!J73</f>
        <v>1</v>
      </c>
      <c r="K79" s="69">
        <f>LAD!K73</f>
        <v>1</v>
      </c>
      <c r="L79" s="69">
        <f t="shared" si="34"/>
        <v>5</v>
      </c>
      <c r="M79" s="69">
        <f t="shared" si="35"/>
        <v>5</v>
      </c>
      <c r="N79" s="69">
        <f t="shared" si="36"/>
        <v>3</v>
      </c>
      <c r="O79" s="69">
        <f t="shared" si="37"/>
        <v>3</v>
      </c>
      <c r="P79" s="69">
        <f t="shared" si="38"/>
        <v>3</v>
      </c>
      <c r="Q79" s="69">
        <f t="shared" si="39"/>
        <v>3</v>
      </c>
      <c r="R79" s="70">
        <f t="shared" si="40"/>
        <v>-0.40546510810816444</v>
      </c>
      <c r="S79" s="70">
        <f t="shared" si="41"/>
        <v>-0.40546510810816444</v>
      </c>
      <c r="T79" s="70">
        <f t="shared" si="42"/>
        <v>-0.31078016354289972</v>
      </c>
      <c r="U79" s="70">
        <f t="shared" si="43"/>
        <v>-0.31078016354289972</v>
      </c>
      <c r="V79" s="70">
        <f t="shared" si="44"/>
        <v>0.91287092917527679</v>
      </c>
      <c r="W79" s="70">
        <f t="shared" si="45"/>
        <v>0.91287092917527679</v>
      </c>
      <c r="X79" s="70">
        <f t="shared" si="46"/>
        <v>0</v>
      </c>
      <c r="Y79" s="70">
        <f t="shared" si="47"/>
        <v>1.2909944487358056</v>
      </c>
      <c r="Z79" s="70">
        <f t="shared" si="48"/>
        <v>0</v>
      </c>
      <c r="AA79" s="69" t="str">
        <f t="shared" si="49"/>
        <v>Negligible</v>
      </c>
      <c r="AB79" s="69" t="str">
        <f t="shared" si="50"/>
        <v>Tidak Ada Indikasi Bias</v>
      </c>
    </row>
    <row r="80" spans="1:28" ht="37.5" x14ac:dyDescent="0.35">
      <c r="A80" s="71" t="str">
        <f>LAD!A74</f>
        <v>70. Apa yang harus dilakukan oleh organisasi pendidikan ketika ada ketidaksesuaian?</v>
      </c>
      <c r="B80" s="69">
        <f>LAD!B74</f>
        <v>0</v>
      </c>
      <c r="C80" s="69">
        <f>LAD!C74</f>
        <v>0</v>
      </c>
      <c r="D80" s="69">
        <f>LAD!D74</f>
        <v>1</v>
      </c>
      <c r="E80" s="69">
        <f>LAD!E74</f>
        <v>1</v>
      </c>
      <c r="F80" s="69">
        <f>LAD!F74</f>
        <v>1</v>
      </c>
      <c r="G80" s="69">
        <f>LAD!G74</f>
        <v>0</v>
      </c>
      <c r="H80" s="69">
        <f>LAD!H74</f>
        <v>1</v>
      </c>
      <c r="I80" s="69">
        <f>LAD!I74</f>
        <v>1</v>
      </c>
      <c r="J80" s="69">
        <f>LAD!J74</f>
        <v>1</v>
      </c>
      <c r="K80" s="69">
        <f>LAD!K74</f>
        <v>0</v>
      </c>
      <c r="L80" s="69">
        <f t="shared" si="34"/>
        <v>5</v>
      </c>
      <c r="M80" s="69">
        <f t="shared" si="35"/>
        <v>5</v>
      </c>
      <c r="N80" s="69">
        <f t="shared" si="36"/>
        <v>3</v>
      </c>
      <c r="O80" s="69">
        <f t="shared" si="37"/>
        <v>3</v>
      </c>
      <c r="P80" s="69">
        <f t="shared" si="38"/>
        <v>3</v>
      </c>
      <c r="Q80" s="69">
        <f t="shared" si="39"/>
        <v>3</v>
      </c>
      <c r="R80" s="70">
        <f t="shared" si="40"/>
        <v>-0.40546510810816444</v>
      </c>
      <c r="S80" s="70">
        <f t="shared" si="41"/>
        <v>-0.40546510810816444</v>
      </c>
      <c r="T80" s="70">
        <f t="shared" si="42"/>
        <v>-0.31078016354289972</v>
      </c>
      <c r="U80" s="70">
        <f t="shared" si="43"/>
        <v>-0.31078016354289972</v>
      </c>
      <c r="V80" s="70">
        <f t="shared" si="44"/>
        <v>0.91287092917527679</v>
      </c>
      <c r="W80" s="70">
        <f t="shared" si="45"/>
        <v>0.91287092917527679</v>
      </c>
      <c r="X80" s="70">
        <f t="shared" si="46"/>
        <v>0</v>
      </c>
      <c r="Y80" s="70">
        <f t="shared" si="47"/>
        <v>1.2909944487358056</v>
      </c>
      <c r="Z80" s="70">
        <f t="shared" si="48"/>
        <v>0</v>
      </c>
      <c r="AA80" s="69" t="str">
        <f t="shared" si="49"/>
        <v>Negligible</v>
      </c>
      <c r="AB80" s="69" t="str">
        <f t="shared" si="50"/>
        <v>Tidak Ada Indikasi Bias</v>
      </c>
    </row>
    <row r="81" spans="1:28" ht="50" x14ac:dyDescent="0.35">
      <c r="A81" s="71" t="str">
        <f>LAD!A75</f>
        <v>71. Hal berikut harus dipastikan oleh organisasi pendidikan ketika melakukan kontrol terhadap produk dan layanan yang disediakan oleh pihak eksternal, kecuali …</v>
      </c>
      <c r="B81" s="69">
        <f>LAD!B75</f>
        <v>0</v>
      </c>
      <c r="C81" s="69">
        <f>LAD!C75</f>
        <v>0</v>
      </c>
      <c r="D81" s="69">
        <f>LAD!D75</f>
        <v>1</v>
      </c>
      <c r="E81" s="69">
        <f>LAD!E75</f>
        <v>1</v>
      </c>
      <c r="F81" s="69">
        <f>LAD!F75</f>
        <v>0</v>
      </c>
      <c r="G81" s="69">
        <f>LAD!G75</f>
        <v>1</v>
      </c>
      <c r="H81" s="69">
        <f>LAD!H75</f>
        <v>0</v>
      </c>
      <c r="I81" s="69">
        <f>LAD!I75</f>
        <v>0</v>
      </c>
      <c r="J81" s="69">
        <f>LAD!J75</f>
        <v>0</v>
      </c>
      <c r="K81" s="69">
        <f>LAD!K75</f>
        <v>1</v>
      </c>
      <c r="L81" s="69">
        <f t="shared" si="34"/>
        <v>5</v>
      </c>
      <c r="M81" s="69">
        <f t="shared" si="35"/>
        <v>5</v>
      </c>
      <c r="N81" s="69">
        <f t="shared" si="36"/>
        <v>2</v>
      </c>
      <c r="O81" s="69">
        <f t="shared" si="37"/>
        <v>2</v>
      </c>
      <c r="P81" s="69">
        <f t="shared" si="38"/>
        <v>2</v>
      </c>
      <c r="Q81" s="69">
        <f t="shared" si="39"/>
        <v>2</v>
      </c>
      <c r="R81" s="70">
        <f t="shared" si="40"/>
        <v>0.40546510810816438</v>
      </c>
      <c r="S81" s="70">
        <f t="shared" si="41"/>
        <v>0.40546510810816438</v>
      </c>
      <c r="T81" s="70">
        <f t="shared" si="42"/>
        <v>0.50015005267342905</v>
      </c>
      <c r="U81" s="70">
        <f t="shared" si="43"/>
        <v>0.50015005267342905</v>
      </c>
      <c r="V81" s="70">
        <f t="shared" si="44"/>
        <v>0.91287092917527679</v>
      </c>
      <c r="W81" s="70">
        <f t="shared" si="45"/>
        <v>0.91287092917527679</v>
      </c>
      <c r="X81" s="70">
        <f t="shared" si="46"/>
        <v>0</v>
      </c>
      <c r="Y81" s="70">
        <f t="shared" si="47"/>
        <v>1.2909944487358056</v>
      </c>
      <c r="Z81" s="70">
        <f t="shared" si="48"/>
        <v>0</v>
      </c>
      <c r="AA81" s="69" t="str">
        <f t="shared" si="49"/>
        <v>Negligible</v>
      </c>
      <c r="AB81" s="69" t="str">
        <f t="shared" si="50"/>
        <v>Tidak Ada Indikasi Bias</v>
      </c>
    </row>
    <row r="82" spans="1:28" ht="50" x14ac:dyDescent="0.35">
      <c r="A82" s="71" t="str">
        <f>LAD!A76</f>
        <v>72. Informasi berikut harus disampaikan kepada pihak eksternal ketika organisasi pendidikan ingin menggunakan produk dan layanannya.</v>
      </c>
      <c r="B82" s="69">
        <f>LAD!B76</f>
        <v>1</v>
      </c>
      <c r="C82" s="69">
        <f>LAD!C76</f>
        <v>1</v>
      </c>
      <c r="D82" s="69">
        <f>LAD!D76</f>
        <v>1</v>
      </c>
      <c r="E82" s="69">
        <f>LAD!E76</f>
        <v>1</v>
      </c>
      <c r="F82" s="69">
        <f>LAD!F76</f>
        <v>1</v>
      </c>
      <c r="G82" s="69">
        <f>LAD!G76</f>
        <v>0</v>
      </c>
      <c r="H82" s="69">
        <f>LAD!H76</f>
        <v>1</v>
      </c>
      <c r="I82" s="69">
        <f>LAD!I76</f>
        <v>0</v>
      </c>
      <c r="J82" s="69">
        <f>LAD!J76</f>
        <v>0</v>
      </c>
      <c r="K82" s="69">
        <f>LAD!K76</f>
        <v>0</v>
      </c>
      <c r="L82" s="69">
        <f t="shared" si="34"/>
        <v>5</v>
      </c>
      <c r="M82" s="69">
        <f t="shared" si="35"/>
        <v>5</v>
      </c>
      <c r="N82" s="69">
        <f t="shared" si="36"/>
        <v>3</v>
      </c>
      <c r="O82" s="69">
        <f t="shared" si="37"/>
        <v>3</v>
      </c>
      <c r="P82" s="69">
        <f t="shared" si="38"/>
        <v>3</v>
      </c>
      <c r="Q82" s="69">
        <f t="shared" si="39"/>
        <v>3</v>
      </c>
      <c r="R82" s="70">
        <f t="shared" si="40"/>
        <v>-0.40546510810816444</v>
      </c>
      <c r="S82" s="70">
        <f t="shared" si="41"/>
        <v>-0.40546510810816444</v>
      </c>
      <c r="T82" s="70">
        <f t="shared" si="42"/>
        <v>-0.31078016354289972</v>
      </c>
      <c r="U82" s="70">
        <f t="shared" si="43"/>
        <v>-0.31078016354289972</v>
      </c>
      <c r="V82" s="70">
        <f t="shared" si="44"/>
        <v>0.91287092917527679</v>
      </c>
      <c r="W82" s="70">
        <f t="shared" si="45"/>
        <v>0.91287092917527679</v>
      </c>
      <c r="X82" s="70">
        <f t="shared" si="46"/>
        <v>0</v>
      </c>
      <c r="Y82" s="70">
        <f t="shared" si="47"/>
        <v>1.2909944487358056</v>
      </c>
      <c r="Z82" s="70">
        <f t="shared" si="48"/>
        <v>0</v>
      </c>
      <c r="AA82" s="69" t="str">
        <f t="shared" si="49"/>
        <v>Negligible</v>
      </c>
      <c r="AB82" s="69" t="str">
        <f t="shared" si="50"/>
        <v>Tidak Ada Indikasi Bias</v>
      </c>
    </row>
    <row r="83" spans="1:28" ht="25" x14ac:dyDescent="0.35">
      <c r="A83" s="71" t="str">
        <f>LAD!A77</f>
        <v>73. Tujuan dilakukan penelitian pada organisasi pendidikan tinggi adalah …</v>
      </c>
      <c r="B83" s="69">
        <f>LAD!B77</f>
        <v>0</v>
      </c>
      <c r="C83" s="69">
        <f>LAD!C77</f>
        <v>0</v>
      </c>
      <c r="D83" s="69">
        <f>LAD!D77</f>
        <v>1</v>
      </c>
      <c r="E83" s="69">
        <f>LAD!E77</f>
        <v>1</v>
      </c>
      <c r="F83" s="69">
        <f>LAD!F77</f>
        <v>0</v>
      </c>
      <c r="G83" s="69">
        <f>LAD!G77</f>
        <v>1</v>
      </c>
      <c r="H83" s="69">
        <f>LAD!H77</f>
        <v>0</v>
      </c>
      <c r="I83" s="69">
        <f>LAD!I77</f>
        <v>0</v>
      </c>
      <c r="J83" s="69">
        <f>LAD!J77</f>
        <v>0</v>
      </c>
      <c r="K83" s="69">
        <f>LAD!K77</f>
        <v>1</v>
      </c>
      <c r="L83" s="69">
        <f t="shared" si="34"/>
        <v>5</v>
      </c>
      <c r="M83" s="69">
        <f t="shared" si="35"/>
        <v>5</v>
      </c>
      <c r="N83" s="69">
        <f t="shared" si="36"/>
        <v>2</v>
      </c>
      <c r="O83" s="69">
        <f t="shared" si="37"/>
        <v>2</v>
      </c>
      <c r="P83" s="69">
        <f t="shared" si="38"/>
        <v>2</v>
      </c>
      <c r="Q83" s="69">
        <f t="shared" si="39"/>
        <v>2</v>
      </c>
      <c r="R83" s="70">
        <f t="shared" si="40"/>
        <v>0.40546510810816438</v>
      </c>
      <c r="S83" s="70">
        <f t="shared" si="41"/>
        <v>0.40546510810816438</v>
      </c>
      <c r="T83" s="70">
        <f t="shared" si="42"/>
        <v>0.50015005267342905</v>
      </c>
      <c r="U83" s="70">
        <f t="shared" si="43"/>
        <v>0.50015005267342905</v>
      </c>
      <c r="V83" s="70">
        <f t="shared" si="44"/>
        <v>0.91287092917527679</v>
      </c>
      <c r="W83" s="70">
        <f t="shared" si="45"/>
        <v>0.91287092917527679</v>
      </c>
      <c r="X83" s="70">
        <f t="shared" si="46"/>
        <v>0</v>
      </c>
      <c r="Y83" s="70">
        <f t="shared" si="47"/>
        <v>1.2909944487358056</v>
      </c>
      <c r="Z83" s="70">
        <f t="shared" si="48"/>
        <v>0</v>
      </c>
      <c r="AA83" s="69" t="str">
        <f t="shared" si="49"/>
        <v>Negligible</v>
      </c>
      <c r="AB83" s="69" t="str">
        <f t="shared" si="50"/>
        <v>Tidak Ada Indikasi Bias</v>
      </c>
    </row>
    <row r="84" spans="1:28" ht="25" x14ac:dyDescent="0.35">
      <c r="A84" s="71" t="str">
        <f>LAD!A78</f>
        <v>74. Input dari pelaksanaan penelitian pada organisasi pendidikan tinggi adalah …</v>
      </c>
      <c r="B84" s="69">
        <f>LAD!B78</f>
        <v>1</v>
      </c>
      <c r="C84" s="69">
        <f>LAD!C78</f>
        <v>1</v>
      </c>
      <c r="D84" s="69">
        <f>LAD!D78</f>
        <v>0</v>
      </c>
      <c r="E84" s="69">
        <f>LAD!E78</f>
        <v>0</v>
      </c>
      <c r="F84" s="69">
        <f>LAD!F78</f>
        <v>0</v>
      </c>
      <c r="G84" s="69">
        <f>LAD!G78</f>
        <v>0</v>
      </c>
      <c r="H84" s="69">
        <f>LAD!H78</f>
        <v>0</v>
      </c>
      <c r="I84" s="69">
        <f>LAD!I78</f>
        <v>0</v>
      </c>
      <c r="J84" s="69">
        <f>LAD!J78</f>
        <v>0</v>
      </c>
      <c r="K84" s="69">
        <f>LAD!K78</f>
        <v>0</v>
      </c>
      <c r="L84" s="69">
        <f t="shared" si="34"/>
        <v>5</v>
      </c>
      <c r="M84" s="69">
        <f t="shared" si="35"/>
        <v>5</v>
      </c>
      <c r="N84" s="69">
        <f t="shared" si="36"/>
        <v>1</v>
      </c>
      <c r="O84" s="69">
        <f t="shared" si="37"/>
        <v>1</v>
      </c>
      <c r="P84" s="69">
        <f t="shared" si="38"/>
        <v>1</v>
      </c>
      <c r="Q84" s="69">
        <f t="shared" si="39"/>
        <v>1</v>
      </c>
      <c r="R84" s="70">
        <f t="shared" si="40"/>
        <v>1.3862943611198906</v>
      </c>
      <c r="S84" s="70">
        <f t="shared" si="41"/>
        <v>1.3862943611198906</v>
      </c>
      <c r="T84" s="70">
        <f t="shared" si="42"/>
        <v>1.4809793056851552</v>
      </c>
      <c r="U84" s="70">
        <f t="shared" si="43"/>
        <v>1.4809793056851552</v>
      </c>
      <c r="V84" s="70">
        <f t="shared" si="44"/>
        <v>1.1180339887498949</v>
      </c>
      <c r="W84" s="70">
        <f t="shared" si="45"/>
        <v>1.1180339887498949</v>
      </c>
      <c r="X84" s="70">
        <f t="shared" si="46"/>
        <v>0</v>
      </c>
      <c r="Y84" s="70">
        <f t="shared" si="47"/>
        <v>1.5811388300841898</v>
      </c>
      <c r="Z84" s="70">
        <f t="shared" si="48"/>
        <v>0</v>
      </c>
      <c r="AA84" s="69" t="str">
        <f t="shared" si="49"/>
        <v>Negligible</v>
      </c>
      <c r="AB84" s="69" t="str">
        <f t="shared" si="50"/>
        <v>Tidak Ada Indikasi Bias</v>
      </c>
    </row>
    <row r="85" spans="1:28" ht="62.5" x14ac:dyDescent="0.35">
      <c r="A85" s="71" t="str">
        <f>LAD!A79</f>
        <v>75. Organisasi pendidikan diharuskan untuk dapat menangani apabila terjadi komplain. ISO yang dapat digunakan sebagai acuan penanganan komplain adalah …</v>
      </c>
      <c r="B85" s="69">
        <f>LAD!B79</f>
        <v>1</v>
      </c>
      <c r="C85" s="69">
        <f>LAD!C79</f>
        <v>1</v>
      </c>
      <c r="D85" s="69">
        <f>LAD!D79</f>
        <v>1</v>
      </c>
      <c r="E85" s="69">
        <f>LAD!E79</f>
        <v>1</v>
      </c>
      <c r="F85" s="69">
        <f>LAD!F79</f>
        <v>0</v>
      </c>
      <c r="G85" s="69">
        <f>LAD!G79</f>
        <v>0</v>
      </c>
      <c r="H85" s="69">
        <f>LAD!H79</f>
        <v>0</v>
      </c>
      <c r="I85" s="69">
        <f>LAD!I79</f>
        <v>0</v>
      </c>
      <c r="J85" s="69">
        <f>LAD!J79</f>
        <v>0</v>
      </c>
      <c r="K85" s="69">
        <f>LAD!K79</f>
        <v>0</v>
      </c>
      <c r="L85" s="69">
        <f t="shared" si="34"/>
        <v>5</v>
      </c>
      <c r="M85" s="69">
        <f t="shared" si="35"/>
        <v>5</v>
      </c>
      <c r="N85" s="69">
        <f t="shared" si="36"/>
        <v>2</v>
      </c>
      <c r="O85" s="69">
        <f t="shared" si="37"/>
        <v>2</v>
      </c>
      <c r="P85" s="69">
        <f t="shared" si="38"/>
        <v>2</v>
      </c>
      <c r="Q85" s="69">
        <f t="shared" si="39"/>
        <v>2</v>
      </c>
      <c r="R85" s="70">
        <f t="shared" si="40"/>
        <v>0.40546510810816438</v>
      </c>
      <c r="S85" s="70">
        <f t="shared" si="41"/>
        <v>0.40546510810816438</v>
      </c>
      <c r="T85" s="70">
        <f t="shared" si="42"/>
        <v>0.50015005267342905</v>
      </c>
      <c r="U85" s="70">
        <f t="shared" si="43"/>
        <v>0.50015005267342905</v>
      </c>
      <c r="V85" s="70">
        <f t="shared" si="44"/>
        <v>0.91287092917527679</v>
      </c>
      <c r="W85" s="70">
        <f t="shared" si="45"/>
        <v>0.91287092917527679</v>
      </c>
      <c r="X85" s="70">
        <f t="shared" si="46"/>
        <v>0</v>
      </c>
      <c r="Y85" s="70">
        <f t="shared" si="47"/>
        <v>1.2909944487358056</v>
      </c>
      <c r="Z85" s="70">
        <f t="shared" si="48"/>
        <v>0</v>
      </c>
      <c r="AA85" s="69" t="str">
        <f t="shared" si="49"/>
        <v>Negligible</v>
      </c>
      <c r="AB85" s="69" t="str">
        <f t="shared" si="50"/>
        <v>Tidak Ada Indikasi Bias</v>
      </c>
    </row>
    <row r="86" spans="1:28" ht="75" x14ac:dyDescent="0.35">
      <c r="A86" s="71" t="str">
        <f>LAD!A80</f>
        <v>76. Organisasi pendidikan harus menentukan proses apa saja yang perlu dievaluasi. ISO 21001:2018 menyediakan daftar proses yang terdapat dalam organisasi pendidikan yang disediakan dalam lampiran E nomor …</v>
      </c>
      <c r="B86" s="69">
        <f>LAD!B80</f>
        <v>1</v>
      </c>
      <c r="C86" s="69">
        <f>LAD!C80</f>
        <v>1</v>
      </c>
      <c r="D86" s="69">
        <f>LAD!D80</f>
        <v>1</v>
      </c>
      <c r="E86" s="69">
        <f>LAD!E80</f>
        <v>1</v>
      </c>
      <c r="F86" s="69">
        <f>LAD!F80</f>
        <v>0</v>
      </c>
      <c r="G86" s="69">
        <f>LAD!G80</f>
        <v>0</v>
      </c>
      <c r="H86" s="69">
        <f>LAD!H80</f>
        <v>0</v>
      </c>
      <c r="I86" s="69">
        <f>LAD!I80</f>
        <v>1</v>
      </c>
      <c r="J86" s="69">
        <f>LAD!J80</f>
        <v>1</v>
      </c>
      <c r="K86" s="69">
        <f>LAD!K80</f>
        <v>0</v>
      </c>
      <c r="L86" s="69">
        <f t="shared" si="34"/>
        <v>5</v>
      </c>
      <c r="M86" s="69">
        <f t="shared" si="35"/>
        <v>5</v>
      </c>
      <c r="N86" s="69">
        <f t="shared" si="36"/>
        <v>3</v>
      </c>
      <c r="O86" s="69">
        <f t="shared" si="37"/>
        <v>3</v>
      </c>
      <c r="P86" s="69">
        <f t="shared" si="38"/>
        <v>3</v>
      </c>
      <c r="Q86" s="69">
        <f t="shared" si="39"/>
        <v>3</v>
      </c>
      <c r="R86" s="70">
        <f t="shared" si="40"/>
        <v>-0.40546510810816444</v>
      </c>
      <c r="S86" s="70">
        <f t="shared" si="41"/>
        <v>-0.40546510810816444</v>
      </c>
      <c r="T86" s="70">
        <f t="shared" si="42"/>
        <v>-0.31078016354289972</v>
      </c>
      <c r="U86" s="70">
        <f t="shared" si="43"/>
        <v>-0.31078016354289972</v>
      </c>
      <c r="V86" s="70">
        <f t="shared" si="44"/>
        <v>0.91287092917527679</v>
      </c>
      <c r="W86" s="70">
        <f t="shared" si="45"/>
        <v>0.91287092917527679</v>
      </c>
      <c r="X86" s="70">
        <f t="shared" si="46"/>
        <v>0</v>
      </c>
      <c r="Y86" s="70">
        <f t="shared" si="47"/>
        <v>1.2909944487358056</v>
      </c>
      <c r="Z86" s="70">
        <f t="shared" si="48"/>
        <v>0</v>
      </c>
      <c r="AA86" s="69" t="str">
        <f t="shared" si="49"/>
        <v>Negligible</v>
      </c>
      <c r="AB86" s="69" t="str">
        <f t="shared" si="50"/>
        <v>Tidak Ada Indikasi Bias</v>
      </c>
    </row>
    <row r="87" spans="1:28" ht="37.5" x14ac:dyDescent="0.35">
      <c r="A87" s="71" t="str">
        <f>LAD!A81</f>
        <v>77. ISO 21001:2018 menyediakan daftar tools yang dapat digunakan untuk evaluasi pada lampiran E nomor …</v>
      </c>
      <c r="B87" s="69">
        <f>LAD!B81</f>
        <v>1</v>
      </c>
      <c r="C87" s="69">
        <f>LAD!C81</f>
        <v>1</v>
      </c>
      <c r="D87" s="69">
        <f>LAD!D81</f>
        <v>0</v>
      </c>
      <c r="E87" s="69">
        <f>LAD!E81</f>
        <v>0</v>
      </c>
      <c r="F87" s="69">
        <f>LAD!F81</f>
        <v>0</v>
      </c>
      <c r="G87" s="69">
        <f>LAD!G81</f>
        <v>0</v>
      </c>
      <c r="H87" s="69">
        <f>LAD!H81</f>
        <v>0</v>
      </c>
      <c r="I87" s="69">
        <f>LAD!I81</f>
        <v>0</v>
      </c>
      <c r="J87" s="69">
        <f>LAD!J81</f>
        <v>0</v>
      </c>
      <c r="K87" s="69">
        <f>LAD!K81</f>
        <v>0</v>
      </c>
      <c r="L87" s="69">
        <f t="shared" si="34"/>
        <v>5</v>
      </c>
      <c r="M87" s="69">
        <f t="shared" si="35"/>
        <v>5</v>
      </c>
      <c r="N87" s="69">
        <f t="shared" si="36"/>
        <v>1</v>
      </c>
      <c r="O87" s="69">
        <f t="shared" si="37"/>
        <v>1</v>
      </c>
      <c r="P87" s="69">
        <f t="shared" si="38"/>
        <v>1</v>
      </c>
      <c r="Q87" s="69">
        <f t="shared" si="39"/>
        <v>1</v>
      </c>
      <c r="R87" s="70">
        <f t="shared" si="40"/>
        <v>1.3862943611198906</v>
      </c>
      <c r="S87" s="70">
        <f t="shared" si="41"/>
        <v>1.3862943611198906</v>
      </c>
      <c r="T87" s="70">
        <f t="shared" si="42"/>
        <v>1.4809793056851552</v>
      </c>
      <c r="U87" s="70">
        <f t="shared" si="43"/>
        <v>1.4809793056851552</v>
      </c>
      <c r="V87" s="70">
        <f t="shared" si="44"/>
        <v>1.1180339887498949</v>
      </c>
      <c r="W87" s="70">
        <f t="shared" si="45"/>
        <v>1.1180339887498949</v>
      </c>
      <c r="X87" s="70">
        <f t="shared" si="46"/>
        <v>0</v>
      </c>
      <c r="Y87" s="70">
        <f t="shared" si="47"/>
        <v>1.5811388300841898</v>
      </c>
      <c r="Z87" s="70">
        <f t="shared" si="48"/>
        <v>0</v>
      </c>
      <c r="AA87" s="69" t="str">
        <f t="shared" si="49"/>
        <v>Negligible</v>
      </c>
      <c r="AB87" s="69" t="str">
        <f t="shared" si="50"/>
        <v>Tidak Ada Indikasi Bias</v>
      </c>
    </row>
    <row r="88" spans="1:28" ht="62.5" x14ac:dyDescent="0.35">
      <c r="A88" s="71" t="str">
        <f>LAD!A82</f>
        <v>78. Apabila organisasi pendidikan ingin memperoleh feed back lengkap terkait tingkat kepuasan melalui diskusi dengan pihak berkepentingan, maka tools apa yang lebih tepat diterapkan?</v>
      </c>
      <c r="B88" s="69">
        <f>LAD!B82</f>
        <v>0</v>
      </c>
      <c r="C88" s="69">
        <f>LAD!C82</f>
        <v>0</v>
      </c>
      <c r="D88" s="69">
        <f>LAD!D82</f>
        <v>1</v>
      </c>
      <c r="E88" s="69">
        <f>LAD!E82</f>
        <v>1</v>
      </c>
      <c r="F88" s="69">
        <f>LAD!F82</f>
        <v>1</v>
      </c>
      <c r="G88" s="69">
        <f>LAD!G82</f>
        <v>1</v>
      </c>
      <c r="H88" s="69">
        <f>LAD!H82</f>
        <v>1</v>
      </c>
      <c r="I88" s="69">
        <f>LAD!I82</f>
        <v>1</v>
      </c>
      <c r="J88" s="69">
        <f>LAD!J82</f>
        <v>1</v>
      </c>
      <c r="K88" s="69">
        <f>LAD!K82</f>
        <v>1</v>
      </c>
      <c r="L88" s="69">
        <f t="shared" si="34"/>
        <v>5</v>
      </c>
      <c r="M88" s="69">
        <f t="shared" si="35"/>
        <v>5</v>
      </c>
      <c r="N88" s="69">
        <f t="shared" si="36"/>
        <v>4</v>
      </c>
      <c r="O88" s="69">
        <f t="shared" si="37"/>
        <v>4</v>
      </c>
      <c r="P88" s="69">
        <f t="shared" si="38"/>
        <v>4</v>
      </c>
      <c r="Q88" s="69">
        <f t="shared" si="39"/>
        <v>4</v>
      </c>
      <c r="R88" s="70">
        <f t="shared" si="40"/>
        <v>-1.3862943611198906</v>
      </c>
      <c r="S88" s="70">
        <f t="shared" si="41"/>
        <v>-1.3862943611198906</v>
      </c>
      <c r="T88" s="70">
        <f t="shared" si="42"/>
        <v>-1.2916094165546259</v>
      </c>
      <c r="U88" s="70">
        <f t="shared" si="43"/>
        <v>-1.2916094165546259</v>
      </c>
      <c r="V88" s="70">
        <f t="shared" si="44"/>
        <v>1.1180339887498949</v>
      </c>
      <c r="W88" s="70">
        <f t="shared" si="45"/>
        <v>1.1180339887498949</v>
      </c>
      <c r="X88" s="70">
        <f t="shared" si="46"/>
        <v>0</v>
      </c>
      <c r="Y88" s="70">
        <f t="shared" si="47"/>
        <v>1.5811388300841898</v>
      </c>
      <c r="Z88" s="70">
        <f t="shared" si="48"/>
        <v>0</v>
      </c>
      <c r="AA88" s="69" t="str">
        <f t="shared" si="49"/>
        <v>Negligible</v>
      </c>
      <c r="AB88" s="69" t="str">
        <f t="shared" si="50"/>
        <v>Tidak Ada Indikasi Bias</v>
      </c>
    </row>
    <row r="89" spans="1:28" ht="25" x14ac:dyDescent="0.35">
      <c r="A89" s="71" t="str">
        <f>LAD!A83</f>
        <v>79. Apakah seorang auditor internal boleh mengaudit departemennya sendiri?</v>
      </c>
      <c r="B89" s="69">
        <f>LAD!B83</f>
        <v>1</v>
      </c>
      <c r="C89" s="69">
        <f>LAD!C83</f>
        <v>1</v>
      </c>
      <c r="D89" s="69">
        <f>LAD!D83</f>
        <v>1</v>
      </c>
      <c r="E89" s="69">
        <f>LAD!E83</f>
        <v>1</v>
      </c>
      <c r="F89" s="69">
        <f>LAD!F83</f>
        <v>0</v>
      </c>
      <c r="G89" s="69">
        <f>LAD!G83</f>
        <v>1</v>
      </c>
      <c r="H89" s="69">
        <f>LAD!H83</f>
        <v>0</v>
      </c>
      <c r="I89" s="69">
        <f>LAD!I83</f>
        <v>1</v>
      </c>
      <c r="J89" s="69">
        <f>LAD!J83</f>
        <v>1</v>
      </c>
      <c r="K89" s="69">
        <f>LAD!K83</f>
        <v>1</v>
      </c>
      <c r="L89" s="69">
        <f t="shared" si="34"/>
        <v>5</v>
      </c>
      <c r="M89" s="69">
        <f t="shared" si="35"/>
        <v>5</v>
      </c>
      <c r="N89" s="69">
        <f t="shared" si="36"/>
        <v>4</v>
      </c>
      <c r="O89" s="69">
        <f t="shared" si="37"/>
        <v>4</v>
      </c>
      <c r="P89" s="69">
        <f t="shared" si="38"/>
        <v>4</v>
      </c>
      <c r="Q89" s="69">
        <f t="shared" si="39"/>
        <v>4</v>
      </c>
      <c r="R89" s="70">
        <f t="shared" si="40"/>
        <v>-1.3862943611198906</v>
      </c>
      <c r="S89" s="70">
        <f t="shared" si="41"/>
        <v>-1.3862943611198906</v>
      </c>
      <c r="T89" s="70">
        <f t="shared" si="42"/>
        <v>-1.2916094165546259</v>
      </c>
      <c r="U89" s="70">
        <f t="shared" si="43"/>
        <v>-1.2916094165546259</v>
      </c>
      <c r="V89" s="70">
        <f t="shared" si="44"/>
        <v>1.1180339887498949</v>
      </c>
      <c r="W89" s="70">
        <f t="shared" si="45"/>
        <v>1.1180339887498949</v>
      </c>
      <c r="X89" s="70">
        <f t="shared" si="46"/>
        <v>0</v>
      </c>
      <c r="Y89" s="70">
        <f t="shared" si="47"/>
        <v>1.5811388300841898</v>
      </c>
      <c r="Z89" s="70">
        <f t="shared" si="48"/>
        <v>0</v>
      </c>
      <c r="AA89" s="69" t="str">
        <f t="shared" si="49"/>
        <v>Negligible</v>
      </c>
      <c r="AB89" s="69" t="str">
        <f t="shared" si="50"/>
        <v>Tidak Ada Indikasi Bias</v>
      </c>
    </row>
    <row r="90" spans="1:28" ht="37.5" x14ac:dyDescent="0.35">
      <c r="A90" s="71" t="str">
        <f>LAD!A84</f>
        <v>80. Dalam menentukan auditor internal, organisasi pendidikan harus dapat menjamin adanya …</v>
      </c>
      <c r="B90" s="69">
        <f>LAD!B84</f>
        <v>0</v>
      </c>
      <c r="C90" s="69">
        <f>LAD!C84</f>
        <v>0</v>
      </c>
      <c r="D90" s="69">
        <f>LAD!D84</f>
        <v>1</v>
      </c>
      <c r="E90" s="69">
        <f>LAD!E84</f>
        <v>1</v>
      </c>
      <c r="F90" s="69">
        <f>LAD!F84</f>
        <v>0</v>
      </c>
      <c r="G90" s="69">
        <f>LAD!G84</f>
        <v>0</v>
      </c>
      <c r="H90" s="69">
        <f>LAD!H84</f>
        <v>0</v>
      </c>
      <c r="I90" s="69">
        <f>LAD!I84</f>
        <v>0</v>
      </c>
      <c r="J90" s="69">
        <f>LAD!J84</f>
        <v>0</v>
      </c>
      <c r="K90" s="69">
        <f>LAD!K84</f>
        <v>0</v>
      </c>
      <c r="L90" s="69">
        <f t="shared" si="34"/>
        <v>5</v>
      </c>
      <c r="M90" s="69">
        <f t="shared" si="35"/>
        <v>5</v>
      </c>
      <c r="N90" s="69">
        <f t="shared" si="36"/>
        <v>1</v>
      </c>
      <c r="O90" s="69">
        <f t="shared" si="37"/>
        <v>1</v>
      </c>
      <c r="P90" s="69">
        <f t="shared" si="38"/>
        <v>1</v>
      </c>
      <c r="Q90" s="69">
        <f t="shared" si="39"/>
        <v>1</v>
      </c>
      <c r="R90" s="70">
        <f t="shared" si="40"/>
        <v>1.3862943611198906</v>
      </c>
      <c r="S90" s="70">
        <f t="shared" si="41"/>
        <v>1.3862943611198906</v>
      </c>
      <c r="T90" s="70">
        <f t="shared" si="42"/>
        <v>1.4809793056851552</v>
      </c>
      <c r="U90" s="70">
        <f t="shared" si="43"/>
        <v>1.4809793056851552</v>
      </c>
      <c r="V90" s="70">
        <f t="shared" si="44"/>
        <v>1.1180339887498949</v>
      </c>
      <c r="W90" s="70">
        <f t="shared" si="45"/>
        <v>1.1180339887498949</v>
      </c>
      <c r="X90" s="70">
        <f t="shared" si="46"/>
        <v>0</v>
      </c>
      <c r="Y90" s="70">
        <f t="shared" si="47"/>
        <v>1.5811388300841898</v>
      </c>
      <c r="Z90" s="70">
        <f t="shared" si="48"/>
        <v>0</v>
      </c>
      <c r="AA90" s="69" t="str">
        <f t="shared" si="49"/>
        <v>Negligible</v>
      </c>
      <c r="AB90" s="69" t="str">
        <f t="shared" si="50"/>
        <v>Tidak Ada Indikasi Bias</v>
      </c>
    </row>
    <row r="91" spans="1:28" ht="37.5" customHeight="1" x14ac:dyDescent="0.35">
      <c r="A91" s="71" t="str">
        <f>LAD!A85</f>
        <v>81. Dalam melaksanakan kegiatan audit, organisasi pendidikan dapat mengacu pada …</v>
      </c>
      <c r="B91" s="69">
        <f>LAD!B85</f>
        <v>1</v>
      </c>
      <c r="C91" s="69">
        <f>LAD!C85</f>
        <v>1</v>
      </c>
      <c r="D91" s="69">
        <f>LAD!D85</f>
        <v>1</v>
      </c>
      <c r="E91" s="69">
        <f>LAD!E85</f>
        <v>1</v>
      </c>
      <c r="F91" s="69">
        <f>LAD!F85</f>
        <v>1</v>
      </c>
      <c r="G91" s="69">
        <f>LAD!G85</f>
        <v>1</v>
      </c>
      <c r="H91" s="69">
        <f>LAD!H85</f>
        <v>1</v>
      </c>
      <c r="I91" s="69">
        <f>LAD!I85</f>
        <v>0</v>
      </c>
      <c r="J91" s="69">
        <f>LAD!J85</f>
        <v>0</v>
      </c>
      <c r="K91" s="69">
        <f>LAD!K85</f>
        <v>1</v>
      </c>
      <c r="L91" s="69">
        <f t="shared" si="34"/>
        <v>5</v>
      </c>
      <c r="M91" s="69">
        <f t="shared" si="35"/>
        <v>5</v>
      </c>
      <c r="N91" s="69">
        <f t="shared" si="36"/>
        <v>4</v>
      </c>
      <c r="O91" s="69">
        <f t="shared" si="37"/>
        <v>4</v>
      </c>
      <c r="P91" s="69">
        <f t="shared" si="38"/>
        <v>4</v>
      </c>
      <c r="Q91" s="69">
        <f t="shared" si="39"/>
        <v>4</v>
      </c>
      <c r="R91" s="70">
        <f t="shared" si="40"/>
        <v>-1.3862943611198906</v>
      </c>
      <c r="S91" s="70">
        <f t="shared" si="41"/>
        <v>-1.3862943611198906</v>
      </c>
      <c r="T91" s="70">
        <f t="shared" si="42"/>
        <v>-1.2916094165546259</v>
      </c>
      <c r="U91" s="70">
        <f t="shared" si="43"/>
        <v>-1.2916094165546259</v>
      </c>
      <c r="V91" s="70">
        <f t="shared" si="44"/>
        <v>1.1180339887498949</v>
      </c>
      <c r="W91" s="70">
        <f t="shared" si="45"/>
        <v>1.1180339887498949</v>
      </c>
      <c r="X91" s="70">
        <f t="shared" si="46"/>
        <v>0</v>
      </c>
      <c r="Y91" s="70">
        <f t="shared" si="47"/>
        <v>1.5811388300841898</v>
      </c>
      <c r="Z91" s="70">
        <f t="shared" si="48"/>
        <v>0</v>
      </c>
      <c r="AA91" s="69" t="str">
        <f t="shared" si="49"/>
        <v>Negligible</v>
      </c>
      <c r="AB91" s="69" t="str">
        <f t="shared" si="50"/>
        <v>Tidak Ada Indikasi Bias</v>
      </c>
    </row>
    <row r="92" spans="1:28" ht="62.5" x14ac:dyDescent="0.35">
      <c r="A92" s="71" t="str">
        <f>LAD!A86</f>
        <v>82. ISO 21001:2018 mengharuskan organisasi pendidikan melakukan rapat tinjauan manajemen. hal berikut harus dibahas dalam rapat tinjauan manajemen, kecuali …</v>
      </c>
      <c r="B92" s="69">
        <f>LAD!B86</f>
        <v>1</v>
      </c>
      <c r="C92" s="69">
        <f>LAD!C86</f>
        <v>1</v>
      </c>
      <c r="D92" s="69">
        <f>LAD!D86</f>
        <v>1</v>
      </c>
      <c r="E92" s="69">
        <f>LAD!E86</f>
        <v>1</v>
      </c>
      <c r="F92" s="69">
        <f>LAD!F86</f>
        <v>0</v>
      </c>
      <c r="G92" s="69">
        <f>LAD!G86</f>
        <v>0</v>
      </c>
      <c r="H92" s="69">
        <f>LAD!H86</f>
        <v>0</v>
      </c>
      <c r="I92" s="69">
        <f>LAD!I86</f>
        <v>0</v>
      </c>
      <c r="J92" s="69">
        <f>LAD!J86</f>
        <v>0</v>
      </c>
      <c r="K92" s="69">
        <f>LAD!K86</f>
        <v>0</v>
      </c>
      <c r="L92" s="69">
        <f t="shared" si="34"/>
        <v>5</v>
      </c>
      <c r="M92" s="69">
        <f t="shared" si="35"/>
        <v>5</v>
      </c>
      <c r="N92" s="69">
        <f t="shared" si="36"/>
        <v>2</v>
      </c>
      <c r="O92" s="69">
        <f t="shared" si="37"/>
        <v>2</v>
      </c>
      <c r="P92" s="69">
        <f t="shared" si="38"/>
        <v>2</v>
      </c>
      <c r="Q92" s="69">
        <f t="shared" si="39"/>
        <v>2</v>
      </c>
      <c r="R92" s="70">
        <f t="shared" si="40"/>
        <v>0.40546510810816438</v>
      </c>
      <c r="S92" s="70">
        <f t="shared" si="41"/>
        <v>0.40546510810816438</v>
      </c>
      <c r="T92" s="70">
        <f t="shared" si="42"/>
        <v>0.50015005267342905</v>
      </c>
      <c r="U92" s="70">
        <f t="shared" si="43"/>
        <v>0.50015005267342905</v>
      </c>
      <c r="V92" s="70">
        <f t="shared" si="44"/>
        <v>0.91287092917527679</v>
      </c>
      <c r="W92" s="70">
        <f t="shared" si="45"/>
        <v>0.91287092917527679</v>
      </c>
      <c r="X92" s="70">
        <f t="shared" si="46"/>
        <v>0</v>
      </c>
      <c r="Y92" s="70">
        <f t="shared" si="47"/>
        <v>1.2909944487358056</v>
      </c>
      <c r="Z92" s="70">
        <f t="shared" si="48"/>
        <v>0</v>
      </c>
      <c r="AA92" s="69" t="str">
        <f t="shared" si="49"/>
        <v>Negligible</v>
      </c>
      <c r="AB92" s="69" t="str">
        <f t="shared" si="50"/>
        <v>Tidak Ada Indikasi Bias</v>
      </c>
    </row>
    <row r="93" spans="1:28" ht="37.5" x14ac:dyDescent="0.35">
      <c r="A93" s="71" t="str">
        <f>LAD!A87</f>
        <v>83. Output dari rapat tinjauan manajemen paling sedikit harus mencakup hal berikut, kecuali …</v>
      </c>
      <c r="B93" s="69">
        <f>LAD!B87</f>
        <v>0</v>
      </c>
      <c r="C93" s="69">
        <f>LAD!C87</f>
        <v>0</v>
      </c>
      <c r="D93" s="69">
        <f>LAD!D87</f>
        <v>1</v>
      </c>
      <c r="E93" s="69">
        <f>LAD!E87</f>
        <v>1</v>
      </c>
      <c r="F93" s="69">
        <f>LAD!F87</f>
        <v>0</v>
      </c>
      <c r="G93" s="69">
        <f>LAD!G87</f>
        <v>1</v>
      </c>
      <c r="H93" s="69">
        <f>LAD!H87</f>
        <v>0</v>
      </c>
      <c r="I93" s="69">
        <f>LAD!I87</f>
        <v>0</v>
      </c>
      <c r="J93" s="69">
        <f>LAD!J87</f>
        <v>0</v>
      </c>
      <c r="K93" s="69">
        <f>LAD!K87</f>
        <v>1</v>
      </c>
      <c r="L93" s="69">
        <f t="shared" si="34"/>
        <v>5</v>
      </c>
      <c r="M93" s="69">
        <f t="shared" si="35"/>
        <v>5</v>
      </c>
      <c r="N93" s="69">
        <f t="shared" si="36"/>
        <v>2</v>
      </c>
      <c r="O93" s="69">
        <f t="shared" si="37"/>
        <v>2</v>
      </c>
      <c r="P93" s="69">
        <f t="shared" si="38"/>
        <v>2</v>
      </c>
      <c r="Q93" s="69">
        <f t="shared" si="39"/>
        <v>2</v>
      </c>
      <c r="R93" s="70">
        <f t="shared" si="40"/>
        <v>0.40546510810816438</v>
      </c>
      <c r="S93" s="70">
        <f t="shared" si="41"/>
        <v>0.40546510810816438</v>
      </c>
      <c r="T93" s="70">
        <f t="shared" si="42"/>
        <v>0.50015005267342905</v>
      </c>
      <c r="U93" s="70">
        <f t="shared" si="43"/>
        <v>0.50015005267342905</v>
      </c>
      <c r="V93" s="70">
        <f t="shared" si="44"/>
        <v>0.91287092917527679</v>
      </c>
      <c r="W93" s="70">
        <f t="shared" si="45"/>
        <v>0.91287092917527679</v>
      </c>
      <c r="X93" s="70">
        <f t="shared" si="46"/>
        <v>0</v>
      </c>
      <c r="Y93" s="70">
        <f t="shared" si="47"/>
        <v>1.2909944487358056</v>
      </c>
      <c r="Z93" s="70">
        <f t="shared" si="48"/>
        <v>0</v>
      </c>
      <c r="AA93" s="69" t="str">
        <f t="shared" si="49"/>
        <v>Negligible</v>
      </c>
      <c r="AB93" s="69" t="str">
        <f t="shared" si="50"/>
        <v>Tidak Ada Indikasi Bias</v>
      </c>
    </row>
    <row r="94" spans="1:28" ht="37.5" x14ac:dyDescent="0.35">
      <c r="A94" s="71" t="str">
        <f>LAD!A88</f>
        <v>84. Mengambil tindakan dan melakukan perbaikan merupakan bentuk … dari penanganan ketidaksesuaian</v>
      </c>
      <c r="B94" s="69">
        <f>LAD!B88</f>
        <v>1</v>
      </c>
      <c r="C94" s="69">
        <f>LAD!C88</f>
        <v>1</v>
      </c>
      <c r="D94" s="69">
        <f>LAD!D88</f>
        <v>1</v>
      </c>
      <c r="E94" s="69">
        <f>LAD!E88</f>
        <v>1</v>
      </c>
      <c r="F94" s="69">
        <f>LAD!F88</f>
        <v>0</v>
      </c>
      <c r="G94" s="69">
        <f>LAD!G88</f>
        <v>1</v>
      </c>
      <c r="H94" s="69">
        <f>LAD!H88</f>
        <v>0</v>
      </c>
      <c r="I94" s="69">
        <f>LAD!I88</f>
        <v>0</v>
      </c>
      <c r="J94" s="69">
        <f>LAD!J88</f>
        <v>0</v>
      </c>
      <c r="K94" s="69">
        <f>LAD!K88</f>
        <v>1</v>
      </c>
      <c r="L94" s="69">
        <f t="shared" si="34"/>
        <v>5</v>
      </c>
      <c r="M94" s="69">
        <f t="shared" si="35"/>
        <v>5</v>
      </c>
      <c r="N94" s="69">
        <f t="shared" si="36"/>
        <v>3</v>
      </c>
      <c r="O94" s="69">
        <f t="shared" si="37"/>
        <v>3</v>
      </c>
      <c r="P94" s="69">
        <f t="shared" si="38"/>
        <v>3</v>
      </c>
      <c r="Q94" s="69">
        <f t="shared" si="39"/>
        <v>3</v>
      </c>
      <c r="R94" s="70">
        <f t="shared" si="40"/>
        <v>-0.40546510810816444</v>
      </c>
      <c r="S94" s="70">
        <f t="shared" si="41"/>
        <v>-0.40546510810816444</v>
      </c>
      <c r="T94" s="70">
        <f t="shared" si="42"/>
        <v>-0.31078016354289972</v>
      </c>
      <c r="U94" s="70">
        <f t="shared" si="43"/>
        <v>-0.31078016354289972</v>
      </c>
      <c r="V94" s="70">
        <f t="shared" si="44"/>
        <v>0.91287092917527679</v>
      </c>
      <c r="W94" s="70">
        <f t="shared" si="45"/>
        <v>0.91287092917527679</v>
      </c>
      <c r="X94" s="70">
        <f t="shared" si="46"/>
        <v>0</v>
      </c>
      <c r="Y94" s="70">
        <f t="shared" si="47"/>
        <v>1.2909944487358056</v>
      </c>
      <c r="Z94" s="70">
        <f t="shared" si="48"/>
        <v>0</v>
      </c>
      <c r="AA94" s="69" t="str">
        <f t="shared" si="49"/>
        <v>Negligible</v>
      </c>
      <c r="AB94" s="69" t="str">
        <f t="shared" si="50"/>
        <v>Tidak Ada Indikasi Bias</v>
      </c>
    </row>
    <row r="95" spans="1:28" ht="37.5" x14ac:dyDescent="0.35">
      <c r="A95" s="71" t="str">
        <f>LAD!A89</f>
        <v>85. Bagaimana organisasi pendidikan membuktikan bahwa telah melakukan tindakan perbaikan pada ketidaksesuaian?</v>
      </c>
      <c r="B95" s="69">
        <f>LAD!B89</f>
        <v>1</v>
      </c>
      <c r="C95" s="69">
        <f>LAD!C89</f>
        <v>1</v>
      </c>
      <c r="D95" s="69">
        <f>LAD!D89</f>
        <v>1</v>
      </c>
      <c r="E95" s="69">
        <f>LAD!E89</f>
        <v>1</v>
      </c>
      <c r="F95" s="69">
        <f>LAD!F89</f>
        <v>0</v>
      </c>
      <c r="G95" s="69">
        <f>LAD!G89</f>
        <v>1</v>
      </c>
      <c r="H95" s="69">
        <f>LAD!H89</f>
        <v>0</v>
      </c>
      <c r="I95" s="69">
        <f>LAD!I89</f>
        <v>0</v>
      </c>
      <c r="J95" s="69">
        <f>LAD!J89</f>
        <v>0</v>
      </c>
      <c r="K95" s="69">
        <f>LAD!K89</f>
        <v>1</v>
      </c>
      <c r="L95" s="69">
        <f t="shared" si="34"/>
        <v>5</v>
      </c>
      <c r="M95" s="69">
        <f t="shared" si="35"/>
        <v>5</v>
      </c>
      <c r="N95" s="69">
        <f t="shared" si="36"/>
        <v>3</v>
      </c>
      <c r="O95" s="69">
        <f t="shared" si="37"/>
        <v>3</v>
      </c>
      <c r="P95" s="69">
        <f t="shared" si="38"/>
        <v>3</v>
      </c>
      <c r="Q95" s="69">
        <f t="shared" si="39"/>
        <v>3</v>
      </c>
      <c r="R95" s="70">
        <f t="shared" si="40"/>
        <v>-0.40546510810816444</v>
      </c>
      <c r="S95" s="70">
        <f t="shared" si="41"/>
        <v>-0.40546510810816444</v>
      </c>
      <c r="T95" s="70">
        <f t="shared" si="42"/>
        <v>-0.31078016354289972</v>
      </c>
      <c r="U95" s="70">
        <f t="shared" si="43"/>
        <v>-0.31078016354289972</v>
      </c>
      <c r="V95" s="70">
        <f t="shared" si="44"/>
        <v>0.91287092917527679</v>
      </c>
      <c r="W95" s="70">
        <f t="shared" si="45"/>
        <v>0.91287092917527679</v>
      </c>
      <c r="X95" s="70">
        <f t="shared" si="46"/>
        <v>0</v>
      </c>
      <c r="Y95" s="70">
        <f t="shared" si="47"/>
        <v>1.2909944487358056</v>
      </c>
      <c r="Z95" s="70">
        <f t="shared" si="48"/>
        <v>0</v>
      </c>
      <c r="AA95" s="69" t="str">
        <f t="shared" si="49"/>
        <v>Negligible</v>
      </c>
      <c r="AB95" s="69" t="str">
        <f t="shared" si="50"/>
        <v>Tidak Ada Indikasi Bias</v>
      </c>
    </row>
    <row r="96" spans="1:28" ht="50" x14ac:dyDescent="0.35">
      <c r="A96" s="71" t="str">
        <f>LAD!A90</f>
        <v>86. Untuk menentukan tindakan perbaikan, maka organisasi pendidikan harus mempertimbangkan input dari klausul …</v>
      </c>
      <c r="B96" s="69">
        <f>LAD!B90</f>
        <v>1</v>
      </c>
      <c r="C96" s="69">
        <f>LAD!C90</f>
        <v>1</v>
      </c>
      <c r="D96" s="69">
        <f>LAD!D90</f>
        <v>1</v>
      </c>
      <c r="E96" s="69">
        <f>LAD!E90</f>
        <v>1</v>
      </c>
      <c r="F96" s="69">
        <f>LAD!F90</f>
        <v>0</v>
      </c>
      <c r="G96" s="69">
        <f>LAD!G90</f>
        <v>1</v>
      </c>
      <c r="H96" s="69">
        <f>LAD!H90</f>
        <v>0</v>
      </c>
      <c r="I96" s="69">
        <f>LAD!I90</f>
        <v>0</v>
      </c>
      <c r="J96" s="69">
        <f>LAD!J90</f>
        <v>0</v>
      </c>
      <c r="K96" s="69">
        <f>LAD!K90</f>
        <v>1</v>
      </c>
      <c r="L96" s="69">
        <f t="shared" si="34"/>
        <v>5</v>
      </c>
      <c r="M96" s="69">
        <f t="shared" si="35"/>
        <v>5</v>
      </c>
      <c r="N96" s="69">
        <f t="shared" si="36"/>
        <v>3</v>
      </c>
      <c r="O96" s="69">
        <f t="shared" si="37"/>
        <v>3</v>
      </c>
      <c r="P96" s="69">
        <f t="shared" si="38"/>
        <v>3</v>
      </c>
      <c r="Q96" s="69">
        <f t="shared" si="39"/>
        <v>3</v>
      </c>
      <c r="R96" s="70">
        <f t="shared" si="40"/>
        <v>-0.40546510810816444</v>
      </c>
      <c r="S96" s="70">
        <f t="shared" si="41"/>
        <v>-0.40546510810816444</v>
      </c>
      <c r="T96" s="70">
        <f t="shared" si="42"/>
        <v>-0.31078016354289972</v>
      </c>
      <c r="U96" s="70">
        <f t="shared" si="43"/>
        <v>-0.31078016354289972</v>
      </c>
      <c r="V96" s="70">
        <f t="shared" si="44"/>
        <v>0.91287092917527679</v>
      </c>
      <c r="W96" s="70">
        <f t="shared" si="45"/>
        <v>0.91287092917527679</v>
      </c>
      <c r="X96" s="70">
        <f t="shared" si="46"/>
        <v>0</v>
      </c>
      <c r="Y96" s="70">
        <f t="shared" si="47"/>
        <v>1.2909944487358056</v>
      </c>
      <c r="Z96" s="70">
        <f t="shared" si="48"/>
        <v>0</v>
      </c>
      <c r="AA96" s="69" t="str">
        <f t="shared" si="49"/>
        <v>Negligible</v>
      </c>
      <c r="AB96" s="69" t="str">
        <f t="shared" si="50"/>
        <v>Tidak Ada Indikasi Bias</v>
      </c>
    </row>
    <row r="97" spans="1:28" ht="37.5" customHeight="1" x14ac:dyDescent="0.35">
      <c r="A97" s="71" t="str">
        <f>LAD!A91</f>
        <v>87. Upaya peningkatan dapat berbentuk sebagai berikut, kecuali …</v>
      </c>
      <c r="B97" s="69">
        <f>LAD!B91</f>
        <v>1</v>
      </c>
      <c r="C97" s="69">
        <f>LAD!C91</f>
        <v>1</v>
      </c>
      <c r="D97" s="69">
        <f>LAD!D91</f>
        <v>1</v>
      </c>
      <c r="E97" s="69">
        <f>LAD!E91</f>
        <v>1</v>
      </c>
      <c r="F97" s="69">
        <f>LAD!F91</f>
        <v>0</v>
      </c>
      <c r="G97" s="69">
        <f>LAD!G91</f>
        <v>1</v>
      </c>
      <c r="H97" s="69">
        <f>LAD!H91</f>
        <v>0</v>
      </c>
      <c r="I97" s="69">
        <f>LAD!I91</f>
        <v>1</v>
      </c>
      <c r="J97" s="69">
        <f>LAD!J91</f>
        <v>1</v>
      </c>
      <c r="K97" s="69">
        <f>LAD!K91</f>
        <v>1</v>
      </c>
      <c r="L97" s="69">
        <f t="shared" si="34"/>
        <v>5</v>
      </c>
      <c r="M97" s="69">
        <f t="shared" si="35"/>
        <v>5</v>
      </c>
      <c r="N97" s="69">
        <f t="shared" si="36"/>
        <v>4</v>
      </c>
      <c r="O97" s="69">
        <f t="shared" si="37"/>
        <v>4</v>
      </c>
      <c r="P97" s="69">
        <f t="shared" si="38"/>
        <v>4</v>
      </c>
      <c r="Q97" s="69">
        <f t="shared" si="39"/>
        <v>4</v>
      </c>
      <c r="R97" s="70">
        <f t="shared" si="40"/>
        <v>-1.3862943611198906</v>
      </c>
      <c r="S97" s="70">
        <f t="shared" si="41"/>
        <v>-1.3862943611198906</v>
      </c>
      <c r="T97" s="70">
        <f t="shared" si="42"/>
        <v>-1.2916094165546259</v>
      </c>
      <c r="U97" s="70">
        <f t="shared" si="43"/>
        <v>-1.2916094165546259</v>
      </c>
      <c r="V97" s="70">
        <f t="shared" si="44"/>
        <v>1.1180339887498949</v>
      </c>
      <c r="W97" s="70">
        <f t="shared" si="45"/>
        <v>1.1180339887498949</v>
      </c>
      <c r="X97" s="70">
        <f t="shared" si="46"/>
        <v>0</v>
      </c>
      <c r="Y97" s="70">
        <f t="shared" si="47"/>
        <v>1.5811388300841898</v>
      </c>
      <c r="Z97" s="70">
        <f t="shared" si="48"/>
        <v>0</v>
      </c>
      <c r="AA97" s="69" t="str">
        <f t="shared" si="49"/>
        <v>Negligible</v>
      </c>
      <c r="AB97" s="69" t="str">
        <f t="shared" si="50"/>
        <v>Tidak Ada Indikasi Bias</v>
      </c>
    </row>
    <row r="98" spans="1:28" ht="37.5" x14ac:dyDescent="0.35">
      <c r="A98" s="71" t="str">
        <f>LAD!A92</f>
        <v>88. Analisis terhadap peluang perbaikan harus dapat memenuhi kebutuhan dari pihak berikut, kecuali …</v>
      </c>
      <c r="B98" s="69">
        <f>LAD!B92</f>
        <v>0</v>
      </c>
      <c r="C98" s="69">
        <f>LAD!C92</f>
        <v>0</v>
      </c>
      <c r="D98" s="69">
        <f>LAD!D92</f>
        <v>1</v>
      </c>
      <c r="E98" s="69">
        <f>LAD!E92</f>
        <v>1</v>
      </c>
      <c r="F98" s="69">
        <f>LAD!F92</f>
        <v>0</v>
      </c>
      <c r="G98" s="69">
        <f>LAD!G92</f>
        <v>0</v>
      </c>
      <c r="H98" s="69">
        <f>LAD!H92</f>
        <v>0</v>
      </c>
      <c r="I98" s="69">
        <f>LAD!I92</f>
        <v>0</v>
      </c>
      <c r="J98" s="69">
        <f>LAD!J92</f>
        <v>0</v>
      </c>
      <c r="K98" s="69">
        <f>LAD!K92</f>
        <v>0</v>
      </c>
      <c r="L98" s="69">
        <f t="shared" si="34"/>
        <v>5</v>
      </c>
      <c r="M98" s="69">
        <f t="shared" si="35"/>
        <v>5</v>
      </c>
      <c r="N98" s="69">
        <f t="shared" si="36"/>
        <v>1</v>
      </c>
      <c r="O98" s="69">
        <f t="shared" si="37"/>
        <v>1</v>
      </c>
      <c r="P98" s="69">
        <f t="shared" si="38"/>
        <v>1</v>
      </c>
      <c r="Q98" s="69">
        <f t="shared" si="39"/>
        <v>1</v>
      </c>
      <c r="R98" s="70">
        <f t="shared" si="40"/>
        <v>1.3862943611198906</v>
      </c>
      <c r="S98" s="70">
        <f t="shared" si="41"/>
        <v>1.3862943611198906</v>
      </c>
      <c r="T98" s="70">
        <f t="shared" si="42"/>
        <v>1.4809793056851552</v>
      </c>
      <c r="U98" s="70">
        <f t="shared" si="43"/>
        <v>1.4809793056851552</v>
      </c>
      <c r="V98" s="70">
        <f t="shared" si="44"/>
        <v>1.1180339887498949</v>
      </c>
      <c r="W98" s="70">
        <f t="shared" si="45"/>
        <v>1.1180339887498949</v>
      </c>
      <c r="X98" s="70">
        <f t="shared" si="46"/>
        <v>0</v>
      </c>
      <c r="Y98" s="70">
        <f t="shared" si="47"/>
        <v>1.5811388300841898</v>
      </c>
      <c r="Z98" s="70">
        <f t="shared" si="48"/>
        <v>0</v>
      </c>
      <c r="AA98" s="69" t="str">
        <f t="shared" si="49"/>
        <v>Negligible</v>
      </c>
      <c r="AB98" s="69" t="str">
        <f t="shared" si="50"/>
        <v>Tidak Ada Indikasi Bias</v>
      </c>
    </row>
    <row r="99" spans="1:28" ht="50" x14ac:dyDescent="0.35">
      <c r="A99" s="71" t="str">
        <f>LAD!A93</f>
        <v>89. Ketika melakukan pengembangan terhadap pengembangan standar, maka prosedur apa yang digunakan sebagai acuan?</v>
      </c>
      <c r="B99" s="69">
        <f>LAD!B93</f>
        <v>1</v>
      </c>
      <c r="C99" s="69">
        <f>LAD!C93</f>
        <v>1</v>
      </c>
      <c r="D99" s="69">
        <f>LAD!D93</f>
        <v>1</v>
      </c>
      <c r="E99" s="69">
        <f>LAD!E93</f>
        <v>1</v>
      </c>
      <c r="F99" s="69">
        <f>LAD!F93</f>
        <v>0</v>
      </c>
      <c r="G99" s="69">
        <f>LAD!G93</f>
        <v>0</v>
      </c>
      <c r="H99" s="69">
        <f>LAD!H93</f>
        <v>0</v>
      </c>
      <c r="I99" s="69">
        <f>LAD!I93</f>
        <v>0</v>
      </c>
      <c r="J99" s="69">
        <f>LAD!J93</f>
        <v>0</v>
      </c>
      <c r="K99" s="69">
        <f>LAD!K93</f>
        <v>0</v>
      </c>
      <c r="L99" s="69">
        <f t="shared" si="34"/>
        <v>5</v>
      </c>
      <c r="M99" s="69">
        <f t="shared" si="35"/>
        <v>5</v>
      </c>
      <c r="N99" s="69">
        <f t="shared" si="36"/>
        <v>2</v>
      </c>
      <c r="O99" s="69">
        <f t="shared" si="37"/>
        <v>2</v>
      </c>
      <c r="P99" s="69">
        <f t="shared" si="38"/>
        <v>2</v>
      </c>
      <c r="Q99" s="69">
        <f t="shared" si="39"/>
        <v>2</v>
      </c>
      <c r="R99" s="70">
        <f t="shared" si="40"/>
        <v>0.40546510810816438</v>
      </c>
      <c r="S99" s="70">
        <f t="shared" si="41"/>
        <v>0.40546510810816438</v>
      </c>
      <c r="T99" s="70">
        <f t="shared" si="42"/>
        <v>0.50015005267342905</v>
      </c>
      <c r="U99" s="70">
        <f t="shared" si="43"/>
        <v>0.50015005267342905</v>
      </c>
      <c r="V99" s="70">
        <f t="shared" si="44"/>
        <v>0.91287092917527679</v>
      </c>
      <c r="W99" s="70">
        <f t="shared" si="45"/>
        <v>0.91287092917527679</v>
      </c>
      <c r="X99" s="70">
        <f t="shared" si="46"/>
        <v>0</v>
      </c>
      <c r="Y99" s="70">
        <f t="shared" si="47"/>
        <v>1.2909944487358056</v>
      </c>
      <c r="Z99" s="70">
        <f t="shared" si="48"/>
        <v>0</v>
      </c>
      <c r="AA99" s="69" t="str">
        <f t="shared" si="49"/>
        <v>Negligible</v>
      </c>
      <c r="AB99" s="69" t="str">
        <f t="shared" si="50"/>
        <v>Tidak Ada Indikasi Bias</v>
      </c>
    </row>
    <row r="100" spans="1:28" ht="37.5" customHeight="1" x14ac:dyDescent="0.35">
      <c r="A100" s="71" t="str">
        <f>LAD!A94</f>
        <v>Tujuan, lingkup dan jangka waktu pelaksanaan audit</v>
      </c>
      <c r="B100" s="69">
        <f>LAD!B94</f>
        <v>1</v>
      </c>
      <c r="C100" s="69">
        <f>LAD!C94</f>
        <v>1</v>
      </c>
      <c r="D100" s="69">
        <f>LAD!D94</f>
        <v>1</v>
      </c>
      <c r="E100" s="69">
        <f>LAD!E94</f>
        <v>1</v>
      </c>
      <c r="F100" s="69">
        <f>LAD!F94</f>
        <v>0</v>
      </c>
      <c r="G100" s="69">
        <f>LAD!G94</f>
        <v>0</v>
      </c>
      <c r="H100" s="69">
        <f>LAD!H94</f>
        <v>0</v>
      </c>
      <c r="I100" s="69">
        <f>LAD!I94</f>
        <v>0</v>
      </c>
      <c r="J100" s="69">
        <f>LAD!J94</f>
        <v>0</v>
      </c>
      <c r="K100" s="69">
        <f>LAD!K94</f>
        <v>0</v>
      </c>
      <c r="L100" s="69">
        <f t="shared" si="34"/>
        <v>5</v>
      </c>
      <c r="M100" s="69">
        <f t="shared" si="35"/>
        <v>5</v>
      </c>
      <c r="N100" s="69">
        <f t="shared" si="36"/>
        <v>2</v>
      </c>
      <c r="O100" s="69">
        <f t="shared" si="37"/>
        <v>2</v>
      </c>
      <c r="P100" s="69">
        <f t="shared" si="38"/>
        <v>2</v>
      </c>
      <c r="Q100" s="69">
        <f t="shared" si="39"/>
        <v>2</v>
      </c>
      <c r="R100" s="70">
        <f t="shared" si="40"/>
        <v>0.40546510810816438</v>
      </c>
      <c r="S100" s="70">
        <f t="shared" si="41"/>
        <v>0.40546510810816438</v>
      </c>
      <c r="T100" s="70">
        <f t="shared" si="42"/>
        <v>0.50015005267342905</v>
      </c>
      <c r="U100" s="70">
        <f t="shared" si="43"/>
        <v>0.50015005267342905</v>
      </c>
      <c r="V100" s="70">
        <f t="shared" si="44"/>
        <v>0.91287092917527679</v>
      </c>
      <c r="W100" s="70">
        <f t="shared" si="45"/>
        <v>0.91287092917527679</v>
      </c>
      <c r="X100" s="70">
        <f t="shared" si="46"/>
        <v>0</v>
      </c>
      <c r="Y100" s="70">
        <f t="shared" si="47"/>
        <v>1.2909944487358056</v>
      </c>
      <c r="Z100" s="70">
        <f t="shared" si="48"/>
        <v>0</v>
      </c>
      <c r="AA100" s="69" t="str">
        <f t="shared" si="49"/>
        <v>Negligible</v>
      </c>
      <c r="AB100" s="69" t="str">
        <f t="shared" si="50"/>
        <v>Tidak Ada Indikasi Bias</v>
      </c>
    </row>
    <row r="101" spans="1:28" ht="25" x14ac:dyDescent="0.35">
      <c r="A101" s="71" t="str">
        <f>LAD!A95</f>
        <v>Kriteria audit, durasi audit, alokasi sumber daya, dan ruang lingkup</v>
      </c>
      <c r="B101" s="69">
        <f>LAD!B95</f>
        <v>1</v>
      </c>
      <c r="C101" s="69">
        <f>LAD!C95</f>
        <v>1</v>
      </c>
      <c r="D101" s="69">
        <f>LAD!D95</f>
        <v>0</v>
      </c>
      <c r="E101" s="69">
        <f>LAD!E95</f>
        <v>0</v>
      </c>
      <c r="F101" s="69">
        <f>LAD!F95</f>
        <v>1</v>
      </c>
      <c r="G101" s="69">
        <f>LAD!G95</f>
        <v>1</v>
      </c>
      <c r="H101" s="69">
        <f>LAD!H95</f>
        <v>1</v>
      </c>
      <c r="I101" s="69">
        <f>LAD!I95</f>
        <v>1</v>
      </c>
      <c r="J101" s="69">
        <f>LAD!J95</f>
        <v>1</v>
      </c>
      <c r="K101" s="69">
        <f>LAD!K95</f>
        <v>1</v>
      </c>
      <c r="L101" s="69">
        <f t="shared" si="34"/>
        <v>5</v>
      </c>
      <c r="M101" s="69">
        <f t="shared" si="35"/>
        <v>5</v>
      </c>
      <c r="N101" s="69">
        <f t="shared" si="36"/>
        <v>4</v>
      </c>
      <c r="O101" s="69">
        <f t="shared" si="37"/>
        <v>4</v>
      </c>
      <c r="P101" s="69">
        <f t="shared" si="38"/>
        <v>4</v>
      </c>
      <c r="Q101" s="69">
        <f t="shared" si="39"/>
        <v>4</v>
      </c>
      <c r="R101" s="70">
        <f t="shared" si="40"/>
        <v>-1.3862943611198906</v>
      </c>
      <c r="S101" s="70">
        <f t="shared" si="41"/>
        <v>-1.3862943611198906</v>
      </c>
      <c r="T101" s="70">
        <f t="shared" si="42"/>
        <v>-1.2916094165546259</v>
      </c>
      <c r="U101" s="70">
        <f t="shared" si="43"/>
        <v>-1.2916094165546259</v>
      </c>
      <c r="V101" s="70">
        <f t="shared" si="44"/>
        <v>1.1180339887498949</v>
      </c>
      <c r="W101" s="70">
        <f t="shared" si="45"/>
        <v>1.1180339887498949</v>
      </c>
      <c r="X101" s="70">
        <f t="shared" si="46"/>
        <v>0</v>
      </c>
      <c r="Y101" s="70">
        <f t="shared" si="47"/>
        <v>1.5811388300841898</v>
      </c>
      <c r="Z101" s="70">
        <f t="shared" si="48"/>
        <v>0</v>
      </c>
      <c r="AA101" s="69" t="str">
        <f t="shared" si="49"/>
        <v>Negligible</v>
      </c>
      <c r="AB101" s="69" t="str">
        <f t="shared" si="50"/>
        <v>Tidak Ada Indikasi Bias</v>
      </c>
    </row>
    <row r="102" spans="1:28" ht="25" x14ac:dyDescent="0.35">
      <c r="A102" s="71" t="str">
        <f>LAD!A96</f>
        <v>Mengelola audit dengan lingkup besar</v>
      </c>
      <c r="B102" s="69">
        <f>LAD!B96</f>
        <v>1</v>
      </c>
      <c r="C102" s="69">
        <f>LAD!C96</f>
        <v>1</v>
      </c>
      <c r="D102" s="69">
        <f>LAD!D96</f>
        <v>1</v>
      </c>
      <c r="E102" s="69">
        <f>LAD!E96</f>
        <v>1</v>
      </c>
      <c r="F102" s="69">
        <f>LAD!F96</f>
        <v>0</v>
      </c>
      <c r="G102" s="69">
        <f>LAD!G96</f>
        <v>1</v>
      </c>
      <c r="H102" s="69">
        <f>LAD!H96</f>
        <v>0</v>
      </c>
      <c r="I102" s="69">
        <f>LAD!I96</f>
        <v>0</v>
      </c>
      <c r="J102" s="69">
        <f>LAD!J96</f>
        <v>0</v>
      </c>
      <c r="K102" s="69">
        <f>LAD!K96</f>
        <v>1</v>
      </c>
      <c r="L102" s="69">
        <f t="shared" si="34"/>
        <v>5</v>
      </c>
      <c r="M102" s="69">
        <f t="shared" si="35"/>
        <v>5</v>
      </c>
      <c r="N102" s="69">
        <f t="shared" si="36"/>
        <v>3</v>
      </c>
      <c r="O102" s="69">
        <f t="shared" si="37"/>
        <v>3</v>
      </c>
      <c r="P102" s="69">
        <f t="shared" si="38"/>
        <v>3</v>
      </c>
      <c r="Q102" s="69">
        <f t="shared" si="39"/>
        <v>3</v>
      </c>
      <c r="R102" s="70">
        <f t="shared" si="40"/>
        <v>-0.40546510810816444</v>
      </c>
      <c r="S102" s="70">
        <f t="shared" si="41"/>
        <v>-0.40546510810816444</v>
      </c>
      <c r="T102" s="70">
        <f t="shared" si="42"/>
        <v>-0.31078016354289972</v>
      </c>
      <c r="U102" s="70">
        <f t="shared" si="43"/>
        <v>-0.31078016354289972</v>
      </c>
      <c r="V102" s="70">
        <f t="shared" si="44"/>
        <v>0.91287092917527679</v>
      </c>
      <c r="W102" s="70">
        <f t="shared" si="45"/>
        <v>0.91287092917527679</v>
      </c>
      <c r="X102" s="70">
        <f t="shared" si="46"/>
        <v>0</v>
      </c>
      <c r="Y102" s="70">
        <f t="shared" si="47"/>
        <v>1.2909944487358056</v>
      </c>
      <c r="Z102" s="70">
        <f t="shared" si="48"/>
        <v>0</v>
      </c>
      <c r="AA102" s="69" t="str">
        <f t="shared" si="49"/>
        <v>Negligible</v>
      </c>
      <c r="AB102" s="69" t="str">
        <f t="shared" si="50"/>
        <v>Tidak Ada Indikasi Bias</v>
      </c>
    </row>
    <row r="103" spans="1:28" ht="37.5" customHeight="1" x14ac:dyDescent="0.35">
      <c r="A103" s="71" t="str">
        <f>LAD!A97</f>
        <v>Persiapan</v>
      </c>
      <c r="B103" s="69">
        <f>LAD!B97</f>
        <v>1</v>
      </c>
      <c r="C103" s="69">
        <f>LAD!C97</f>
        <v>1</v>
      </c>
      <c r="D103" s="69">
        <f>LAD!D97</f>
        <v>1</v>
      </c>
      <c r="E103" s="69">
        <f>LAD!E97</f>
        <v>1</v>
      </c>
      <c r="F103" s="69">
        <f>LAD!F97</f>
        <v>0</v>
      </c>
      <c r="G103" s="69">
        <f>LAD!G97</f>
        <v>0</v>
      </c>
      <c r="H103" s="69">
        <f>LAD!H97</f>
        <v>0</v>
      </c>
      <c r="I103" s="69">
        <f>LAD!I97</f>
        <v>1</v>
      </c>
      <c r="J103" s="69">
        <f>LAD!J97</f>
        <v>1</v>
      </c>
      <c r="K103" s="69">
        <f>LAD!K97</f>
        <v>0</v>
      </c>
      <c r="L103" s="69">
        <f t="shared" si="34"/>
        <v>5</v>
      </c>
      <c r="M103" s="69">
        <f t="shared" si="35"/>
        <v>5</v>
      </c>
      <c r="N103" s="69">
        <f t="shared" si="36"/>
        <v>3</v>
      </c>
      <c r="O103" s="69">
        <f t="shared" si="37"/>
        <v>3</v>
      </c>
      <c r="P103" s="69">
        <f t="shared" si="38"/>
        <v>3</v>
      </c>
      <c r="Q103" s="69">
        <f t="shared" si="39"/>
        <v>3</v>
      </c>
      <c r="R103" s="70">
        <f t="shared" si="40"/>
        <v>-0.40546510810816444</v>
      </c>
      <c r="S103" s="70">
        <f t="shared" si="41"/>
        <v>-0.40546510810816444</v>
      </c>
      <c r="T103" s="70">
        <f t="shared" si="42"/>
        <v>-0.31078016354289972</v>
      </c>
      <c r="U103" s="70">
        <f t="shared" si="43"/>
        <v>-0.31078016354289972</v>
      </c>
      <c r="V103" s="70">
        <f t="shared" si="44"/>
        <v>0.91287092917527679</v>
      </c>
      <c r="W103" s="70">
        <f t="shared" si="45"/>
        <v>0.91287092917527679</v>
      </c>
      <c r="X103" s="70">
        <f t="shared" si="46"/>
        <v>0</v>
      </c>
      <c r="Y103" s="70">
        <f t="shared" si="47"/>
        <v>1.2909944487358056</v>
      </c>
      <c r="Z103" s="70">
        <f t="shared" si="48"/>
        <v>0</v>
      </c>
      <c r="AA103" s="69" t="str">
        <f t="shared" si="49"/>
        <v>Negligible</v>
      </c>
      <c r="AB103" s="69" t="str">
        <f t="shared" si="50"/>
        <v>Tidak Ada Indikasi Bias</v>
      </c>
    </row>
    <row r="104" spans="1:28" ht="50" customHeight="1" x14ac:dyDescent="0.35">
      <c r="A104" s="71" t="str">
        <f>LAD!A98</f>
        <v>Disetujui oleh klien</v>
      </c>
      <c r="B104" s="69">
        <f>LAD!B98</f>
        <v>1</v>
      </c>
      <c r="C104" s="69">
        <f>LAD!C98</f>
        <v>1</v>
      </c>
      <c r="D104" s="69">
        <f>LAD!D98</f>
        <v>0</v>
      </c>
      <c r="E104" s="69">
        <f>LAD!E98</f>
        <v>0</v>
      </c>
      <c r="F104" s="69">
        <f>LAD!F98</f>
        <v>0</v>
      </c>
      <c r="G104" s="69">
        <f>LAD!G98</f>
        <v>1</v>
      </c>
      <c r="H104" s="69">
        <f>LAD!H98</f>
        <v>0</v>
      </c>
      <c r="I104" s="69">
        <f>LAD!I98</f>
        <v>0</v>
      </c>
      <c r="J104" s="69">
        <f>LAD!J98</f>
        <v>0</v>
      </c>
      <c r="K104" s="69">
        <f>LAD!K98</f>
        <v>1</v>
      </c>
      <c r="L104" s="69">
        <f t="shared" si="34"/>
        <v>5</v>
      </c>
      <c r="M104" s="69">
        <f t="shared" si="35"/>
        <v>5</v>
      </c>
      <c r="N104" s="69">
        <f t="shared" si="36"/>
        <v>2</v>
      </c>
      <c r="O104" s="69">
        <f t="shared" si="37"/>
        <v>2</v>
      </c>
      <c r="P104" s="69">
        <f t="shared" si="38"/>
        <v>2</v>
      </c>
      <c r="Q104" s="69">
        <f t="shared" si="39"/>
        <v>2</v>
      </c>
      <c r="R104" s="70">
        <f t="shared" si="40"/>
        <v>0.40546510810816438</v>
      </c>
      <c r="S104" s="70">
        <f t="shared" si="41"/>
        <v>0.40546510810816438</v>
      </c>
      <c r="T104" s="70">
        <f t="shared" si="42"/>
        <v>0.50015005267342905</v>
      </c>
      <c r="U104" s="70">
        <f t="shared" si="43"/>
        <v>0.50015005267342905</v>
      </c>
      <c r="V104" s="70">
        <f t="shared" si="44"/>
        <v>0.91287092917527679</v>
      </c>
      <c r="W104" s="70">
        <f t="shared" si="45"/>
        <v>0.91287092917527679</v>
      </c>
      <c r="X104" s="70">
        <f t="shared" si="46"/>
        <v>0</v>
      </c>
      <c r="Y104" s="70">
        <f t="shared" si="47"/>
        <v>1.2909944487358056</v>
      </c>
      <c r="Z104" s="70">
        <f t="shared" si="48"/>
        <v>0</v>
      </c>
      <c r="AA104" s="69" t="str">
        <f t="shared" si="49"/>
        <v>Negligible</v>
      </c>
      <c r="AB104" s="69" t="str">
        <f t="shared" si="50"/>
        <v>Tidak Ada Indikasi Bias</v>
      </c>
    </row>
    <row r="105" spans="1:28" ht="37.5" x14ac:dyDescent="0.35">
      <c r="A105" s="71" t="str">
        <f>LAD!A99</f>
        <v>Pihak yang diaudit akan memiliki satu orang yang dapat diajak berinteraksi dan memberikan komentar.</v>
      </c>
      <c r="B105" s="69">
        <f>LAD!B99</f>
        <v>0</v>
      </c>
      <c r="C105" s="69">
        <f>LAD!C99</f>
        <v>0</v>
      </c>
      <c r="D105" s="69">
        <f>LAD!D99</f>
        <v>1</v>
      </c>
      <c r="E105" s="69">
        <f>LAD!E99</f>
        <v>1</v>
      </c>
      <c r="F105" s="69">
        <f>LAD!F99</f>
        <v>0</v>
      </c>
      <c r="G105" s="69">
        <f>LAD!G99</f>
        <v>0</v>
      </c>
      <c r="H105" s="69">
        <f>LAD!H99</f>
        <v>0</v>
      </c>
      <c r="I105" s="69">
        <f>LAD!I99</f>
        <v>0</v>
      </c>
      <c r="J105" s="69">
        <f>LAD!J99</f>
        <v>0</v>
      </c>
      <c r="K105" s="69">
        <f>LAD!K99</f>
        <v>0</v>
      </c>
      <c r="L105" s="69">
        <f t="shared" si="34"/>
        <v>5</v>
      </c>
      <c r="M105" s="69">
        <f t="shared" si="35"/>
        <v>5</v>
      </c>
      <c r="N105" s="69">
        <f t="shared" si="36"/>
        <v>1</v>
      </c>
      <c r="O105" s="69">
        <f t="shared" si="37"/>
        <v>1</v>
      </c>
      <c r="P105" s="69">
        <f t="shared" si="38"/>
        <v>1</v>
      </c>
      <c r="Q105" s="69">
        <f t="shared" si="39"/>
        <v>1</v>
      </c>
      <c r="R105" s="70">
        <f t="shared" si="40"/>
        <v>1.3862943611198906</v>
      </c>
      <c r="S105" s="70">
        <f t="shared" si="41"/>
        <v>1.3862943611198906</v>
      </c>
      <c r="T105" s="70">
        <f t="shared" si="42"/>
        <v>1.4809793056851552</v>
      </c>
      <c r="U105" s="70">
        <f t="shared" si="43"/>
        <v>1.4809793056851552</v>
      </c>
      <c r="V105" s="70">
        <f t="shared" si="44"/>
        <v>1.1180339887498949</v>
      </c>
      <c r="W105" s="70">
        <f t="shared" si="45"/>
        <v>1.1180339887498949</v>
      </c>
      <c r="X105" s="70">
        <f t="shared" si="46"/>
        <v>0</v>
      </c>
      <c r="Y105" s="70">
        <f t="shared" si="47"/>
        <v>1.5811388300841898</v>
      </c>
      <c r="Z105" s="70">
        <f t="shared" si="48"/>
        <v>0</v>
      </c>
      <c r="AA105" s="69" t="str">
        <f t="shared" si="49"/>
        <v>Negligible</v>
      </c>
      <c r="AB105" s="69" t="str">
        <f t="shared" si="50"/>
        <v>Tidak Ada Indikasi Bias</v>
      </c>
    </row>
    <row r="106" spans="1:28" ht="37.5" x14ac:dyDescent="0.35">
      <c r="A106" s="71" t="str">
        <f>LAD!A100</f>
        <v>Menerbitkan jadwal audit, menerbitkan laporan audit tepat waktu, dan menilai efektivitas proses audit</v>
      </c>
      <c r="B106" s="69">
        <f>LAD!B100</f>
        <v>0</v>
      </c>
      <c r="C106" s="69">
        <f>LAD!C100</f>
        <v>0</v>
      </c>
      <c r="D106" s="69">
        <f>LAD!D100</f>
        <v>1</v>
      </c>
      <c r="E106" s="69">
        <f>LAD!E100</f>
        <v>1</v>
      </c>
      <c r="F106" s="69">
        <f>LAD!F100</f>
        <v>0</v>
      </c>
      <c r="G106" s="69">
        <f>LAD!G100</f>
        <v>1</v>
      </c>
      <c r="H106" s="69">
        <f>LAD!H100</f>
        <v>0</v>
      </c>
      <c r="I106" s="69">
        <f>LAD!I100</f>
        <v>0</v>
      </c>
      <c r="J106" s="69">
        <f>LAD!J100</f>
        <v>0</v>
      </c>
      <c r="K106" s="69">
        <f>LAD!K100</f>
        <v>1</v>
      </c>
      <c r="L106" s="69">
        <f t="shared" si="34"/>
        <v>5</v>
      </c>
      <c r="M106" s="69">
        <f t="shared" si="35"/>
        <v>5</v>
      </c>
      <c r="N106" s="69">
        <f t="shared" si="36"/>
        <v>2</v>
      </c>
      <c r="O106" s="69">
        <f t="shared" si="37"/>
        <v>2</v>
      </c>
      <c r="P106" s="69">
        <f t="shared" si="38"/>
        <v>2</v>
      </c>
      <c r="Q106" s="69">
        <f t="shared" si="39"/>
        <v>2</v>
      </c>
      <c r="R106" s="70">
        <f t="shared" si="40"/>
        <v>0.40546510810816438</v>
      </c>
      <c r="S106" s="70">
        <f t="shared" si="41"/>
        <v>0.40546510810816438</v>
      </c>
      <c r="T106" s="70">
        <f t="shared" si="42"/>
        <v>0.50015005267342905</v>
      </c>
      <c r="U106" s="70">
        <f t="shared" si="43"/>
        <v>0.50015005267342905</v>
      </c>
      <c r="V106" s="70">
        <f t="shared" si="44"/>
        <v>0.91287092917527679</v>
      </c>
      <c r="W106" s="70">
        <f t="shared" si="45"/>
        <v>0.91287092917527679</v>
      </c>
      <c r="X106" s="70">
        <f t="shared" si="46"/>
        <v>0</v>
      </c>
      <c r="Y106" s="70">
        <f t="shared" si="47"/>
        <v>1.2909944487358056</v>
      </c>
      <c r="Z106" s="70">
        <f t="shared" si="48"/>
        <v>0</v>
      </c>
      <c r="AA106" s="69" t="str">
        <f t="shared" si="49"/>
        <v>Negligible</v>
      </c>
      <c r="AB106" s="69" t="str">
        <f t="shared" si="50"/>
        <v>Tidak Ada Indikasi Bias</v>
      </c>
    </row>
    <row r="107" spans="1:28" ht="25" x14ac:dyDescent="0.35">
      <c r="A107" s="71" t="str">
        <f>LAD!A101</f>
        <v>Menyajikan ringkasan hasil audit.</v>
      </c>
      <c r="B107" s="69">
        <f>LAD!B101</f>
        <v>1</v>
      </c>
      <c r="C107" s="69">
        <f>LAD!C101</f>
        <v>1</v>
      </c>
      <c r="D107" s="69">
        <f>LAD!D101</f>
        <v>1</v>
      </c>
      <c r="E107" s="69">
        <f>LAD!E101</f>
        <v>1</v>
      </c>
      <c r="F107" s="69">
        <f>LAD!F101</f>
        <v>0</v>
      </c>
      <c r="G107" s="69">
        <f>LAD!G101</f>
        <v>0</v>
      </c>
      <c r="H107" s="69">
        <f>LAD!H101</f>
        <v>0</v>
      </c>
      <c r="I107" s="69">
        <f>LAD!I101</f>
        <v>0</v>
      </c>
      <c r="J107" s="69">
        <f>LAD!J101</f>
        <v>0</v>
      </c>
      <c r="K107" s="69">
        <f>LAD!K101</f>
        <v>0</v>
      </c>
      <c r="L107" s="69">
        <f t="shared" si="34"/>
        <v>5</v>
      </c>
      <c r="M107" s="69">
        <f t="shared" si="35"/>
        <v>5</v>
      </c>
      <c r="N107" s="69">
        <f t="shared" si="36"/>
        <v>2</v>
      </c>
      <c r="O107" s="69">
        <f t="shared" si="37"/>
        <v>2</v>
      </c>
      <c r="P107" s="69">
        <f t="shared" si="38"/>
        <v>2</v>
      </c>
      <c r="Q107" s="69">
        <f t="shared" si="39"/>
        <v>2</v>
      </c>
      <c r="R107" s="70">
        <f t="shared" si="40"/>
        <v>0.40546510810816438</v>
      </c>
      <c r="S107" s="70">
        <f t="shared" si="41"/>
        <v>0.40546510810816438</v>
      </c>
      <c r="T107" s="70">
        <f t="shared" si="42"/>
        <v>0.50015005267342905</v>
      </c>
      <c r="U107" s="70">
        <f t="shared" si="43"/>
        <v>0.50015005267342905</v>
      </c>
      <c r="V107" s="70">
        <f t="shared" si="44"/>
        <v>0.91287092917527679</v>
      </c>
      <c r="W107" s="70">
        <f t="shared" si="45"/>
        <v>0.91287092917527679</v>
      </c>
      <c r="X107" s="70">
        <f t="shared" si="46"/>
        <v>0</v>
      </c>
      <c r="Y107" s="70">
        <f t="shared" si="47"/>
        <v>1.2909944487358056</v>
      </c>
      <c r="Z107" s="70">
        <f t="shared" ref="Z107:Z110" si="51">X107/Y107</f>
        <v>0</v>
      </c>
      <c r="AA107" s="69" t="str">
        <f t="shared" ref="AA107:AA110" si="52">IF(AND(ABS(X107)&gt;=$B$4,ABS(Z107)&gt;=$B$5),"DIF Besar - review",IF(AND(ABS(X107)&gt;=$B$3,ABS(Z107)&gt;=$B$5),"DIF Moderat - cek","Negligible"))</f>
        <v>Negligible</v>
      </c>
      <c r="AB107" s="69" t="str">
        <f t="shared" si="50"/>
        <v>Tidak Ada Indikasi Bias</v>
      </c>
    </row>
    <row r="108" spans="1:28" ht="62.5" customHeight="1" x14ac:dyDescent="0.35">
      <c r="A108" s="71" t="str">
        <f>LAD!A102</f>
        <v>Risiko bawaan yang lebih tinggi dan tingkat kinerja yang lebih rendah</v>
      </c>
      <c r="B108" s="69">
        <f>LAD!B102</f>
        <v>1</v>
      </c>
      <c r="C108" s="69">
        <f>LAD!C102</f>
        <v>1</v>
      </c>
      <c r="D108" s="69">
        <f>LAD!D102</f>
        <v>1</v>
      </c>
      <c r="E108" s="69">
        <f>LAD!E102</f>
        <v>1</v>
      </c>
      <c r="F108" s="69">
        <f>LAD!F102</f>
        <v>0</v>
      </c>
      <c r="G108" s="69">
        <f>LAD!G102</f>
        <v>0</v>
      </c>
      <c r="H108" s="69">
        <f>LAD!H102</f>
        <v>0</v>
      </c>
      <c r="I108" s="69">
        <f>LAD!I102</f>
        <v>0</v>
      </c>
      <c r="J108" s="69">
        <f>LAD!J102</f>
        <v>0</v>
      </c>
      <c r="K108" s="69">
        <f>LAD!K102</f>
        <v>0</v>
      </c>
      <c r="L108" s="69">
        <f t="shared" si="34"/>
        <v>5</v>
      </c>
      <c r="M108" s="69">
        <f t="shared" si="35"/>
        <v>5</v>
      </c>
      <c r="N108" s="69">
        <f t="shared" si="36"/>
        <v>2</v>
      </c>
      <c r="O108" s="69">
        <f t="shared" si="37"/>
        <v>2</v>
      </c>
      <c r="P108" s="69">
        <f t="shared" si="38"/>
        <v>2</v>
      </c>
      <c r="Q108" s="69">
        <f t="shared" si="39"/>
        <v>2</v>
      </c>
      <c r="R108" s="70">
        <f t="shared" si="40"/>
        <v>0.40546510810816438</v>
      </c>
      <c r="S108" s="70">
        <f t="shared" si="41"/>
        <v>0.40546510810816438</v>
      </c>
      <c r="T108" s="70">
        <f t="shared" si="42"/>
        <v>0.50015005267342905</v>
      </c>
      <c r="U108" s="70">
        <f t="shared" si="43"/>
        <v>0.50015005267342905</v>
      </c>
      <c r="V108" s="70">
        <f t="shared" si="44"/>
        <v>0.91287092917527679</v>
      </c>
      <c r="W108" s="70">
        <f t="shared" si="45"/>
        <v>0.91287092917527679</v>
      </c>
      <c r="X108" s="70">
        <f t="shared" si="46"/>
        <v>0</v>
      </c>
      <c r="Y108" s="70">
        <f t="shared" si="47"/>
        <v>1.2909944487358056</v>
      </c>
      <c r="Z108" s="70">
        <f t="shared" si="51"/>
        <v>0</v>
      </c>
      <c r="AA108" s="69" t="str">
        <f t="shared" si="52"/>
        <v>Negligible</v>
      </c>
      <c r="AB108" s="69" t="str">
        <f t="shared" si="50"/>
        <v>Tidak Ada Indikasi Bias</v>
      </c>
    </row>
    <row r="109" spans="1:28" ht="25" x14ac:dyDescent="0.35">
      <c r="A109" s="71" t="str">
        <f>LAD!A103</f>
        <v>Perencanaan</v>
      </c>
      <c r="B109" s="69">
        <f>LAD!B103</f>
        <v>1</v>
      </c>
      <c r="C109" s="69">
        <f>LAD!C103</f>
        <v>1</v>
      </c>
      <c r="D109" s="69">
        <f>LAD!D103</f>
        <v>1</v>
      </c>
      <c r="E109" s="69">
        <f>LAD!E103</f>
        <v>1</v>
      </c>
      <c r="F109" s="69">
        <f>LAD!F103</f>
        <v>0</v>
      </c>
      <c r="G109" s="69">
        <f>LAD!G103</f>
        <v>1</v>
      </c>
      <c r="H109" s="69">
        <f>LAD!H103</f>
        <v>0</v>
      </c>
      <c r="I109" s="69">
        <f>LAD!I103</f>
        <v>1</v>
      </c>
      <c r="J109" s="69">
        <f>LAD!J103</f>
        <v>1</v>
      </c>
      <c r="K109" s="69">
        <f>LAD!K103</f>
        <v>1</v>
      </c>
      <c r="L109" s="69">
        <f t="shared" si="34"/>
        <v>5</v>
      </c>
      <c r="M109" s="69">
        <f t="shared" si="35"/>
        <v>5</v>
      </c>
      <c r="N109" s="69">
        <f t="shared" si="36"/>
        <v>4</v>
      </c>
      <c r="O109" s="69">
        <f t="shared" si="37"/>
        <v>4</v>
      </c>
      <c r="P109" s="69">
        <f t="shared" si="38"/>
        <v>4</v>
      </c>
      <c r="Q109" s="69">
        <f t="shared" si="39"/>
        <v>4</v>
      </c>
      <c r="R109" s="70">
        <f t="shared" si="40"/>
        <v>-1.3862943611198906</v>
      </c>
      <c r="S109" s="70">
        <f t="shared" si="41"/>
        <v>-1.3862943611198906</v>
      </c>
      <c r="T109" s="70">
        <f t="shared" si="42"/>
        <v>-1.2916094165546259</v>
      </c>
      <c r="U109" s="70">
        <f t="shared" si="43"/>
        <v>-1.2916094165546259</v>
      </c>
      <c r="V109" s="70">
        <f t="shared" si="44"/>
        <v>1.1180339887498949</v>
      </c>
      <c r="W109" s="70">
        <f t="shared" si="45"/>
        <v>1.1180339887498949</v>
      </c>
      <c r="X109" s="70">
        <f t="shared" si="46"/>
        <v>0</v>
      </c>
      <c r="Y109" s="70">
        <f t="shared" si="47"/>
        <v>1.5811388300841898</v>
      </c>
      <c r="Z109" s="70">
        <f t="shared" si="51"/>
        <v>0</v>
      </c>
      <c r="AA109" s="69" t="str">
        <f t="shared" si="52"/>
        <v>Negligible</v>
      </c>
      <c r="AB109" s="69" t="str">
        <f t="shared" si="50"/>
        <v>Tidak Ada Indikasi Bias</v>
      </c>
    </row>
    <row r="110" spans="1:28" ht="62.5" customHeight="1" x14ac:dyDescent="0.35">
      <c r="A110" s="71" t="str">
        <f>LAD!A104</f>
        <v>Dapat turut serta dalam kegiatan audit di bawah arahan dan bimbingan auditor</v>
      </c>
      <c r="B110" s="69">
        <f>LAD!B104</f>
        <v>0</v>
      </c>
      <c r="C110" s="69">
        <f>LAD!C104</f>
        <v>0</v>
      </c>
      <c r="D110" s="69">
        <f>LAD!D104</f>
        <v>1</v>
      </c>
      <c r="E110" s="69">
        <f>LAD!E104</f>
        <v>1</v>
      </c>
      <c r="F110" s="69">
        <f>LAD!F104</f>
        <v>0</v>
      </c>
      <c r="G110" s="69">
        <f>LAD!G104</f>
        <v>1</v>
      </c>
      <c r="H110" s="69">
        <f>LAD!H104</f>
        <v>0</v>
      </c>
      <c r="I110" s="69">
        <f>LAD!I104</f>
        <v>0</v>
      </c>
      <c r="J110" s="69">
        <f>LAD!J104</f>
        <v>0</v>
      </c>
      <c r="K110" s="69">
        <f>LAD!K104</f>
        <v>1</v>
      </c>
      <c r="L110" s="69">
        <f t="shared" si="34"/>
        <v>5</v>
      </c>
      <c r="M110" s="69">
        <f t="shared" si="35"/>
        <v>5</v>
      </c>
      <c r="N110" s="69">
        <f t="shared" si="36"/>
        <v>2</v>
      </c>
      <c r="O110" s="69">
        <f t="shared" si="37"/>
        <v>2</v>
      </c>
      <c r="P110" s="69">
        <f t="shared" si="38"/>
        <v>2</v>
      </c>
      <c r="Q110" s="69">
        <f t="shared" si="39"/>
        <v>2</v>
      </c>
      <c r="R110" s="70">
        <f t="shared" si="40"/>
        <v>0.40546510810816438</v>
      </c>
      <c r="S110" s="70">
        <f t="shared" si="41"/>
        <v>0.40546510810816438</v>
      </c>
      <c r="T110" s="70">
        <f t="shared" si="42"/>
        <v>0.50015005267342905</v>
      </c>
      <c r="U110" s="70">
        <f t="shared" si="43"/>
        <v>0.50015005267342905</v>
      </c>
      <c r="V110" s="70">
        <f t="shared" si="44"/>
        <v>0.91287092917527679</v>
      </c>
      <c r="W110" s="70">
        <f t="shared" si="45"/>
        <v>0.91287092917527679</v>
      </c>
      <c r="X110" s="70">
        <f t="shared" si="46"/>
        <v>0</v>
      </c>
      <c r="Y110" s="70">
        <f t="shared" si="47"/>
        <v>1.2909944487358056</v>
      </c>
      <c r="Z110" s="70">
        <f t="shared" si="51"/>
        <v>0</v>
      </c>
      <c r="AA110" s="69" t="str">
        <f t="shared" si="52"/>
        <v>Negligible</v>
      </c>
      <c r="AB110" s="69" t="str">
        <f t="shared" si="50"/>
        <v>Tidak Ada Indikasi Bias</v>
      </c>
    </row>
    <row r="111" spans="1:28" x14ac:dyDescent="0.35">
      <c r="A111" s="67"/>
      <c r="B111" s="68">
        <f t="shared" ref="B111:K111" si="53">SUM(B11:B110)</f>
        <v>81</v>
      </c>
      <c r="C111" s="68">
        <f t="shared" si="53"/>
        <v>81</v>
      </c>
      <c r="D111" s="68">
        <f t="shared" si="53"/>
        <v>82</v>
      </c>
      <c r="E111" s="68">
        <f t="shared" si="53"/>
        <v>82</v>
      </c>
      <c r="F111" s="68">
        <f t="shared" si="53"/>
        <v>20</v>
      </c>
      <c r="G111" s="68">
        <f t="shared" si="53"/>
        <v>53</v>
      </c>
      <c r="H111" s="68">
        <f t="shared" si="53"/>
        <v>20</v>
      </c>
      <c r="I111" s="68">
        <f t="shared" si="53"/>
        <v>24</v>
      </c>
      <c r="J111" s="68">
        <f t="shared" si="53"/>
        <v>24</v>
      </c>
      <c r="K111" s="68">
        <f t="shared" si="53"/>
        <v>53</v>
      </c>
      <c r="L111" s="67"/>
      <c r="M111" s="67"/>
      <c r="N111" s="67"/>
      <c r="O111" s="67"/>
      <c r="P111" s="67"/>
      <c r="Q111" s="67"/>
      <c r="R111" s="67"/>
      <c r="S111" s="67"/>
      <c r="T111" s="67"/>
      <c r="U111" s="67"/>
      <c r="V111" s="67"/>
      <c r="W111" s="67"/>
      <c r="X111" s="67"/>
      <c r="Y111" s="67"/>
      <c r="Z111" s="67"/>
      <c r="AA111" s="67"/>
      <c r="AB111" s="67"/>
    </row>
    <row r="112" spans="1:28" x14ac:dyDescent="0.35">
      <c r="A112" s="1"/>
      <c r="L112"/>
    </row>
  </sheetData>
  <mergeCells count="28">
    <mergeCell ref="AB9:AB10"/>
    <mergeCell ref="R9:R10"/>
    <mergeCell ref="S9:S10"/>
    <mergeCell ref="T9:T10"/>
    <mergeCell ref="U9:U10"/>
    <mergeCell ref="V9:V10"/>
    <mergeCell ref="X9:X10"/>
    <mergeCell ref="Y9:Y10"/>
    <mergeCell ref="Z9:Z10"/>
    <mergeCell ref="AA9:AA10"/>
    <mergeCell ref="W9:W10"/>
    <mergeCell ref="A1:AC1"/>
    <mergeCell ref="P3:S3"/>
    <mergeCell ref="K4:M4"/>
    <mergeCell ref="P4:R4"/>
    <mergeCell ref="K5:M5"/>
    <mergeCell ref="P5:S5"/>
    <mergeCell ref="K6:M6"/>
    <mergeCell ref="P6:S6"/>
    <mergeCell ref="A9:A10"/>
    <mergeCell ref="B9:K9"/>
    <mergeCell ref="L9:L10"/>
    <mergeCell ref="M9:M10"/>
    <mergeCell ref="N9:N10"/>
    <mergeCell ref="O9:O10"/>
    <mergeCell ref="J7:AA7"/>
    <mergeCell ref="P9:P10"/>
    <mergeCell ref="Q9:Q10"/>
  </mergeCells>
  <pageMargins left="0.26" right="0.16" top="0.6" bottom="0.36" header="0.3" footer="0.3"/>
  <pageSetup scale="59"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3196A-9BCC-4CEA-95D5-3FCC39CAA86C}">
  <dimension ref="A1:AG115"/>
  <sheetViews>
    <sheetView view="pageBreakPreview" zoomScale="48" zoomScaleNormal="77" zoomScaleSheetLayoutView="48" workbookViewId="0">
      <selection activeCell="L21" sqref="L21"/>
    </sheetView>
  </sheetViews>
  <sheetFormatPr defaultColWidth="9.08984375" defaultRowHeight="14" x14ac:dyDescent="0.3"/>
  <cols>
    <col min="1" max="1" width="37.90625" style="13" customWidth="1"/>
    <col min="2" max="11" width="5.54296875" style="4" customWidth="1"/>
    <col min="12" max="12" width="11.36328125" style="6" customWidth="1"/>
    <col min="13" max="13" width="9" style="6" customWidth="1"/>
    <col min="14" max="14" width="10.54296875" style="6" customWidth="1"/>
    <col min="15" max="15" width="16.54296875" style="6" customWidth="1"/>
    <col min="16" max="16" width="7.453125" style="6" customWidth="1"/>
    <col min="17" max="17" width="14.36328125" style="6" customWidth="1"/>
    <col min="18" max="27" width="7.36328125" style="6" customWidth="1"/>
    <col min="28" max="28" width="8.08984375" style="6" customWidth="1"/>
    <col min="29" max="16384" width="9.08984375" style="6"/>
  </cols>
  <sheetData>
    <row r="1" spans="1:31" ht="15" x14ac:dyDescent="0.3">
      <c r="A1" s="111" t="s">
        <v>791</v>
      </c>
      <c r="B1" s="112"/>
      <c r="C1" s="112"/>
      <c r="D1" s="112"/>
      <c r="E1" s="112"/>
      <c r="F1" s="112"/>
      <c r="G1" s="112"/>
      <c r="H1" s="112"/>
      <c r="I1" s="112"/>
      <c r="J1" s="112"/>
      <c r="K1" s="112"/>
      <c r="L1" s="112"/>
      <c r="M1" s="112"/>
      <c r="N1" s="112"/>
      <c r="O1" s="112"/>
      <c r="P1" s="33"/>
      <c r="Q1" s="33"/>
      <c r="R1" s="33"/>
      <c r="S1" s="33"/>
      <c r="T1" s="33"/>
      <c r="U1" s="33"/>
      <c r="V1" s="33"/>
      <c r="W1" s="33"/>
      <c r="X1" s="33"/>
      <c r="Y1" s="33"/>
      <c r="Z1" s="33"/>
      <c r="AA1" s="33"/>
      <c r="AB1" s="33"/>
      <c r="AC1" s="33"/>
      <c r="AD1" s="33"/>
      <c r="AE1" s="33"/>
    </row>
    <row r="2" spans="1:31" ht="42" x14ac:dyDescent="0.3">
      <c r="A2" s="51" t="s">
        <v>756</v>
      </c>
      <c r="B2" s="101" t="s">
        <v>757</v>
      </c>
      <c r="C2" s="101" t="s">
        <v>757</v>
      </c>
      <c r="D2" s="101" t="s">
        <v>758</v>
      </c>
      <c r="E2" s="101" t="s">
        <v>758</v>
      </c>
      <c r="F2" s="101" t="s">
        <v>758</v>
      </c>
      <c r="G2" s="101" t="s">
        <v>757</v>
      </c>
      <c r="H2" s="101" t="s">
        <v>757</v>
      </c>
      <c r="I2" s="101" t="s">
        <v>757</v>
      </c>
      <c r="J2" s="101" t="s">
        <v>758</v>
      </c>
      <c r="K2" s="101" t="s">
        <v>758</v>
      </c>
      <c r="L2" s="33"/>
      <c r="M2" s="33"/>
      <c r="N2" s="33"/>
      <c r="O2" s="33"/>
      <c r="P2" s="33"/>
      <c r="Q2" s="33"/>
      <c r="R2" s="33"/>
      <c r="S2" s="33"/>
      <c r="T2" s="33"/>
      <c r="U2" s="33"/>
      <c r="V2" s="33"/>
      <c r="W2" s="33"/>
      <c r="X2" s="33"/>
      <c r="Y2" s="33"/>
      <c r="Z2" s="33"/>
      <c r="AA2" s="33"/>
      <c r="AB2" s="33"/>
      <c r="AC2" s="33"/>
      <c r="AD2" s="33"/>
      <c r="AE2" s="33"/>
    </row>
    <row r="3" spans="1:31" ht="15" customHeight="1" x14ac:dyDescent="0.3">
      <c r="A3" s="114" t="s">
        <v>0</v>
      </c>
      <c r="B3" s="114" t="s">
        <v>633</v>
      </c>
      <c r="C3" s="114"/>
      <c r="D3" s="114"/>
      <c r="E3" s="114"/>
      <c r="F3" s="114"/>
      <c r="G3" s="114"/>
      <c r="H3" s="114"/>
      <c r="I3" s="114"/>
      <c r="J3" s="114"/>
      <c r="K3" s="114"/>
      <c r="L3" s="114" t="s">
        <v>101</v>
      </c>
      <c r="M3" s="114" t="s">
        <v>102</v>
      </c>
      <c r="N3" s="114" t="s">
        <v>103</v>
      </c>
      <c r="O3" s="109" t="s">
        <v>102</v>
      </c>
      <c r="P3" s="33"/>
      <c r="Q3" s="49" t="s">
        <v>106</v>
      </c>
      <c r="R3" s="33"/>
      <c r="S3" s="33"/>
      <c r="T3" s="33"/>
      <c r="U3" s="33"/>
      <c r="V3" s="33"/>
      <c r="W3" s="33"/>
      <c r="X3" s="33"/>
      <c r="Y3" s="33"/>
      <c r="Z3" s="33"/>
      <c r="AA3" s="33"/>
      <c r="AB3" s="33"/>
      <c r="AC3" s="33"/>
      <c r="AD3" s="33"/>
      <c r="AE3" s="33"/>
    </row>
    <row r="4" spans="1:31" ht="15" customHeight="1" x14ac:dyDescent="0.3">
      <c r="A4" s="114"/>
      <c r="B4" s="23">
        <v>1</v>
      </c>
      <c r="C4" s="23">
        <v>2</v>
      </c>
      <c r="D4" s="23">
        <v>3</v>
      </c>
      <c r="E4" s="23">
        <v>4</v>
      </c>
      <c r="F4" s="23">
        <v>5</v>
      </c>
      <c r="G4" s="23">
        <v>6</v>
      </c>
      <c r="H4" s="23">
        <v>7</v>
      </c>
      <c r="I4" s="23">
        <v>8</v>
      </c>
      <c r="J4" s="23">
        <v>9</v>
      </c>
      <c r="K4" s="23">
        <v>10</v>
      </c>
      <c r="L4" s="114"/>
      <c r="M4" s="114"/>
      <c r="N4" s="114"/>
      <c r="O4" s="109"/>
      <c r="P4" s="33"/>
      <c r="Q4" s="109" t="s">
        <v>108</v>
      </c>
      <c r="R4" s="113" t="s">
        <v>633</v>
      </c>
      <c r="S4" s="113"/>
      <c r="T4" s="113"/>
      <c r="U4" s="113"/>
      <c r="V4" s="113"/>
      <c r="W4" s="113"/>
      <c r="X4" s="113"/>
      <c r="Y4" s="113"/>
      <c r="Z4" s="113"/>
      <c r="AA4" s="113"/>
      <c r="AB4" s="109" t="s">
        <v>107</v>
      </c>
      <c r="AC4" s="109" t="s">
        <v>109</v>
      </c>
      <c r="AD4" s="109" t="s">
        <v>110</v>
      </c>
      <c r="AE4" s="33"/>
    </row>
    <row r="5" spans="1:31" x14ac:dyDescent="0.3">
      <c r="A5" s="52" t="s">
        <v>231</v>
      </c>
      <c r="B5" s="25">
        <v>1</v>
      </c>
      <c r="C5" s="25">
        <v>1</v>
      </c>
      <c r="D5" s="25">
        <v>0</v>
      </c>
      <c r="E5" s="25">
        <v>1</v>
      </c>
      <c r="F5" s="25">
        <v>1</v>
      </c>
      <c r="G5" s="25">
        <v>0</v>
      </c>
      <c r="H5" s="25">
        <v>0</v>
      </c>
      <c r="I5" s="25">
        <v>1</v>
      </c>
      <c r="J5" s="25">
        <v>1</v>
      </c>
      <c r="K5" s="25">
        <v>0</v>
      </c>
      <c r="L5" s="3">
        <f>SUM(B5:K5)/10</f>
        <v>0.6</v>
      </c>
      <c r="M5" s="26" t="str">
        <f>IF(L5&lt;0.31,"sukar",IF(L5&lt;0.71,"sedang","mudah"))</f>
        <v>sedang</v>
      </c>
      <c r="N5" s="3">
        <f>ABS((SUM(B5:F5)-SUM(G5:K5))*2/10)</f>
        <v>0.4</v>
      </c>
      <c r="O5" s="26" t="str">
        <f>IF(N5&lt;0.2,"soal dibuang",IF(N5&lt;0.3,"soal diperbaiki",IF(N5&lt;0.4,"soal diterima tapi perlu diperbaiki","soal diterima baik")))</f>
        <v>soal diterima baik</v>
      </c>
      <c r="P5" s="33"/>
      <c r="Q5" s="109"/>
      <c r="R5" s="27">
        <v>1</v>
      </c>
      <c r="S5" s="27">
        <v>2</v>
      </c>
      <c r="T5" s="27">
        <v>3</v>
      </c>
      <c r="U5" s="27">
        <v>4</v>
      </c>
      <c r="V5" s="27">
        <v>5</v>
      </c>
      <c r="W5" s="27">
        <v>6</v>
      </c>
      <c r="X5" s="27">
        <v>7</v>
      </c>
      <c r="Y5" s="27">
        <v>8</v>
      </c>
      <c r="Z5" s="27">
        <v>9</v>
      </c>
      <c r="AA5" s="27">
        <v>10</v>
      </c>
      <c r="AB5" s="109"/>
      <c r="AC5" s="109"/>
      <c r="AD5" s="109"/>
      <c r="AE5" s="33"/>
    </row>
    <row r="6" spans="1:31" ht="28" x14ac:dyDescent="0.3">
      <c r="A6" s="53" t="s">
        <v>232</v>
      </c>
      <c r="B6" s="25">
        <v>1</v>
      </c>
      <c r="C6" s="25">
        <v>1</v>
      </c>
      <c r="D6" s="25">
        <v>0</v>
      </c>
      <c r="E6" s="25">
        <v>1</v>
      </c>
      <c r="F6" s="25">
        <v>1</v>
      </c>
      <c r="G6" s="25">
        <v>0</v>
      </c>
      <c r="H6" s="25">
        <v>0</v>
      </c>
      <c r="I6" s="25">
        <v>0</v>
      </c>
      <c r="J6" s="25">
        <v>0</v>
      </c>
      <c r="K6" s="25">
        <v>0</v>
      </c>
      <c r="L6" s="3">
        <f t="shared" ref="L6:L69" si="0">SUM(B6:K6)/10</f>
        <v>0.4</v>
      </c>
      <c r="M6" s="26" t="str">
        <f t="shared" ref="M6:M69" si="1">IF(L6&lt;0.31,"sukar",IF(L6&lt;0.71,"sedang","mudah"))</f>
        <v>sedang</v>
      </c>
      <c r="N6" s="3">
        <f t="shared" ref="N6:N69" si="2">ABS((SUM(B6:F6)-SUM(G6:K6))*2/10)</f>
        <v>0.8</v>
      </c>
      <c r="O6" s="26" t="str">
        <f t="shared" ref="O6:O69" si="3">IF(N6&lt;0.2,"soal dibuang",IF(N6&lt;0.3,"soal diperbaiki",IF(N6&lt;0.4,"soal diterima tapi perlu diperbaiki","soal diterima baik")))</f>
        <v>soal diterima baik</v>
      </c>
      <c r="P6" s="33"/>
      <c r="Q6" s="26">
        <v>1</v>
      </c>
      <c r="R6" s="25">
        <f>B5</f>
        <v>1</v>
      </c>
      <c r="S6" s="25">
        <f t="shared" ref="S6:AA21" si="4">C5</f>
        <v>1</v>
      </c>
      <c r="T6" s="25">
        <f t="shared" si="4"/>
        <v>0</v>
      </c>
      <c r="U6" s="25">
        <f t="shared" si="4"/>
        <v>1</v>
      </c>
      <c r="V6" s="25">
        <f t="shared" si="4"/>
        <v>1</v>
      </c>
      <c r="W6" s="25">
        <f t="shared" si="4"/>
        <v>0</v>
      </c>
      <c r="X6" s="25">
        <f t="shared" si="4"/>
        <v>0</v>
      </c>
      <c r="Y6" s="25">
        <f t="shared" si="4"/>
        <v>1</v>
      </c>
      <c r="Z6" s="25">
        <f t="shared" si="4"/>
        <v>1</v>
      </c>
      <c r="AA6" s="25">
        <f t="shared" si="4"/>
        <v>0</v>
      </c>
      <c r="AB6" s="3">
        <f>SUM(R6:AA6)/COUNT(R6:AA6)</f>
        <v>0.6</v>
      </c>
      <c r="AC6" s="3">
        <f>1-AB6</f>
        <v>0.4</v>
      </c>
      <c r="AD6" s="3">
        <f>AB6*AC6</f>
        <v>0.24</v>
      </c>
      <c r="AE6" s="33"/>
    </row>
    <row r="7" spans="1:31" ht="42" x14ac:dyDescent="0.3">
      <c r="A7" s="52" t="s">
        <v>233</v>
      </c>
      <c r="B7" s="25">
        <v>1</v>
      </c>
      <c r="C7" s="25">
        <v>0</v>
      </c>
      <c r="D7" s="25">
        <v>0</v>
      </c>
      <c r="E7" s="25">
        <v>1</v>
      </c>
      <c r="F7" s="25">
        <v>1</v>
      </c>
      <c r="G7" s="25">
        <v>0</v>
      </c>
      <c r="H7" s="25">
        <v>0</v>
      </c>
      <c r="I7" s="25">
        <v>1</v>
      </c>
      <c r="J7" s="25">
        <v>0</v>
      </c>
      <c r="K7" s="25">
        <v>0</v>
      </c>
      <c r="L7" s="3">
        <f t="shared" si="0"/>
        <v>0.4</v>
      </c>
      <c r="M7" s="26" t="str">
        <f t="shared" si="1"/>
        <v>sedang</v>
      </c>
      <c r="N7" s="3">
        <f t="shared" si="2"/>
        <v>0.4</v>
      </c>
      <c r="O7" s="26" t="str">
        <f t="shared" si="3"/>
        <v>soal diterima baik</v>
      </c>
      <c r="P7" s="33"/>
      <c r="Q7" s="26">
        <v>2</v>
      </c>
      <c r="R7" s="25">
        <f t="shared" ref="R7:AA45" si="5">B6</f>
        <v>1</v>
      </c>
      <c r="S7" s="25">
        <f t="shared" si="4"/>
        <v>1</v>
      </c>
      <c r="T7" s="25">
        <f t="shared" si="4"/>
        <v>0</v>
      </c>
      <c r="U7" s="25">
        <f t="shared" si="4"/>
        <v>1</v>
      </c>
      <c r="V7" s="25">
        <f t="shared" si="4"/>
        <v>1</v>
      </c>
      <c r="W7" s="25">
        <f t="shared" si="4"/>
        <v>0</v>
      </c>
      <c r="X7" s="25">
        <f t="shared" si="4"/>
        <v>0</v>
      </c>
      <c r="Y7" s="25">
        <f t="shared" si="4"/>
        <v>0</v>
      </c>
      <c r="Z7" s="25">
        <f t="shared" si="4"/>
        <v>0</v>
      </c>
      <c r="AA7" s="25">
        <f t="shared" si="4"/>
        <v>0</v>
      </c>
      <c r="AB7" s="3">
        <f t="shared" ref="AB7:AB70" si="6">SUM(R7:AA7)/COUNT(R7:AA7)</f>
        <v>0.4</v>
      </c>
      <c r="AC7" s="3">
        <f t="shared" ref="AC7:AC70" si="7">1-AB7</f>
        <v>0.6</v>
      </c>
      <c r="AD7" s="3">
        <f t="shared" ref="AD7:AD70" si="8">AB7*AC7</f>
        <v>0.24</v>
      </c>
      <c r="AE7" s="33"/>
    </row>
    <row r="8" spans="1:31" ht="28" x14ac:dyDescent="0.3">
      <c r="A8" s="53" t="s">
        <v>234</v>
      </c>
      <c r="B8" s="25">
        <v>1</v>
      </c>
      <c r="C8" s="25">
        <v>1</v>
      </c>
      <c r="D8" s="25">
        <v>0</v>
      </c>
      <c r="E8" s="25">
        <v>1</v>
      </c>
      <c r="F8" s="25">
        <v>0</v>
      </c>
      <c r="G8" s="25">
        <v>0</v>
      </c>
      <c r="H8" s="25">
        <v>0</v>
      </c>
      <c r="I8" s="25">
        <v>0</v>
      </c>
      <c r="J8" s="25">
        <v>1</v>
      </c>
      <c r="K8" s="25">
        <v>0</v>
      </c>
      <c r="L8" s="3">
        <f t="shared" si="0"/>
        <v>0.4</v>
      </c>
      <c r="M8" s="26" t="str">
        <f t="shared" si="1"/>
        <v>sedang</v>
      </c>
      <c r="N8" s="3">
        <f t="shared" si="2"/>
        <v>0.4</v>
      </c>
      <c r="O8" s="26" t="str">
        <f t="shared" si="3"/>
        <v>soal diterima baik</v>
      </c>
      <c r="P8" s="33"/>
      <c r="Q8" s="26">
        <v>3</v>
      </c>
      <c r="R8" s="25">
        <f t="shared" si="5"/>
        <v>1</v>
      </c>
      <c r="S8" s="25">
        <f t="shared" si="4"/>
        <v>0</v>
      </c>
      <c r="T8" s="25">
        <f t="shared" si="4"/>
        <v>0</v>
      </c>
      <c r="U8" s="25">
        <f t="shared" si="4"/>
        <v>1</v>
      </c>
      <c r="V8" s="25">
        <f t="shared" si="4"/>
        <v>1</v>
      </c>
      <c r="W8" s="25">
        <f t="shared" si="4"/>
        <v>0</v>
      </c>
      <c r="X8" s="25">
        <f t="shared" si="4"/>
        <v>0</v>
      </c>
      <c r="Y8" s="25">
        <f t="shared" si="4"/>
        <v>1</v>
      </c>
      <c r="Z8" s="25">
        <f t="shared" si="4"/>
        <v>0</v>
      </c>
      <c r="AA8" s="25">
        <f t="shared" si="4"/>
        <v>0</v>
      </c>
      <c r="AB8" s="3">
        <f t="shared" si="6"/>
        <v>0.4</v>
      </c>
      <c r="AC8" s="3">
        <f t="shared" si="7"/>
        <v>0.6</v>
      </c>
      <c r="AD8" s="3">
        <f t="shared" si="8"/>
        <v>0.24</v>
      </c>
      <c r="AE8" s="33"/>
    </row>
    <row r="9" spans="1:31" ht="28" x14ac:dyDescent="0.3">
      <c r="A9" s="52" t="s">
        <v>311</v>
      </c>
      <c r="B9" s="25">
        <v>0</v>
      </c>
      <c r="C9" s="25">
        <v>0</v>
      </c>
      <c r="D9" s="25">
        <v>0</v>
      </c>
      <c r="E9" s="25">
        <v>1</v>
      </c>
      <c r="F9" s="25">
        <v>0</v>
      </c>
      <c r="G9" s="25">
        <v>0</v>
      </c>
      <c r="H9" s="25">
        <v>1</v>
      </c>
      <c r="I9" s="25">
        <v>1</v>
      </c>
      <c r="J9" s="25">
        <v>0</v>
      </c>
      <c r="K9" s="25">
        <v>1</v>
      </c>
      <c r="L9" s="3">
        <f t="shared" si="0"/>
        <v>0.4</v>
      </c>
      <c r="M9" s="26" t="str">
        <f t="shared" si="1"/>
        <v>sedang</v>
      </c>
      <c r="N9" s="3">
        <f t="shared" si="2"/>
        <v>0.4</v>
      </c>
      <c r="O9" s="26" t="str">
        <f t="shared" si="3"/>
        <v>soal diterima baik</v>
      </c>
      <c r="P9" s="33"/>
      <c r="Q9" s="26">
        <v>4</v>
      </c>
      <c r="R9" s="25">
        <f t="shared" si="5"/>
        <v>1</v>
      </c>
      <c r="S9" s="25">
        <f t="shared" si="4"/>
        <v>1</v>
      </c>
      <c r="T9" s="25">
        <f t="shared" si="4"/>
        <v>0</v>
      </c>
      <c r="U9" s="25">
        <f t="shared" si="4"/>
        <v>1</v>
      </c>
      <c r="V9" s="25">
        <f t="shared" si="4"/>
        <v>0</v>
      </c>
      <c r="W9" s="25">
        <f t="shared" si="4"/>
        <v>0</v>
      </c>
      <c r="X9" s="25">
        <f t="shared" si="4"/>
        <v>0</v>
      </c>
      <c r="Y9" s="25">
        <f t="shared" si="4"/>
        <v>0</v>
      </c>
      <c r="Z9" s="25">
        <f t="shared" si="4"/>
        <v>1</v>
      </c>
      <c r="AA9" s="25">
        <f t="shared" si="4"/>
        <v>0</v>
      </c>
      <c r="AB9" s="3">
        <f t="shared" si="6"/>
        <v>0.4</v>
      </c>
      <c r="AC9" s="3">
        <f t="shared" si="7"/>
        <v>0.6</v>
      </c>
      <c r="AD9" s="3">
        <f t="shared" si="8"/>
        <v>0.24</v>
      </c>
      <c r="AE9" s="33"/>
    </row>
    <row r="10" spans="1:31" ht="70" x14ac:dyDescent="0.3">
      <c r="A10" s="54" t="s">
        <v>312</v>
      </c>
      <c r="B10" s="25">
        <v>1</v>
      </c>
      <c r="C10" s="25">
        <v>1</v>
      </c>
      <c r="D10" s="25">
        <v>1</v>
      </c>
      <c r="E10" s="25">
        <v>1</v>
      </c>
      <c r="F10" s="25">
        <v>1</v>
      </c>
      <c r="G10" s="25">
        <v>1</v>
      </c>
      <c r="H10" s="25">
        <v>0</v>
      </c>
      <c r="I10" s="25">
        <v>0</v>
      </c>
      <c r="J10" s="25">
        <v>0</v>
      </c>
      <c r="K10" s="25">
        <v>0</v>
      </c>
      <c r="L10" s="3">
        <f t="shared" si="0"/>
        <v>0.6</v>
      </c>
      <c r="M10" s="26" t="str">
        <f t="shared" si="1"/>
        <v>sedang</v>
      </c>
      <c r="N10" s="3">
        <f t="shared" si="2"/>
        <v>0.8</v>
      </c>
      <c r="O10" s="26" t="str">
        <f t="shared" si="3"/>
        <v>soal diterima baik</v>
      </c>
      <c r="P10" s="33"/>
      <c r="Q10" s="26">
        <v>5</v>
      </c>
      <c r="R10" s="25">
        <f t="shared" si="5"/>
        <v>0</v>
      </c>
      <c r="S10" s="25">
        <f t="shared" si="4"/>
        <v>0</v>
      </c>
      <c r="T10" s="25">
        <f t="shared" si="4"/>
        <v>0</v>
      </c>
      <c r="U10" s="25">
        <f t="shared" si="4"/>
        <v>1</v>
      </c>
      <c r="V10" s="25">
        <f t="shared" si="4"/>
        <v>0</v>
      </c>
      <c r="W10" s="25">
        <f t="shared" si="4"/>
        <v>0</v>
      </c>
      <c r="X10" s="25">
        <f t="shared" si="4"/>
        <v>1</v>
      </c>
      <c r="Y10" s="25">
        <f t="shared" si="4"/>
        <v>1</v>
      </c>
      <c r="Z10" s="25">
        <f t="shared" si="4"/>
        <v>0</v>
      </c>
      <c r="AA10" s="25">
        <f t="shared" si="4"/>
        <v>1</v>
      </c>
      <c r="AB10" s="3">
        <f t="shared" si="6"/>
        <v>0.4</v>
      </c>
      <c r="AC10" s="3">
        <f t="shared" si="7"/>
        <v>0.6</v>
      </c>
      <c r="AD10" s="3">
        <f t="shared" si="8"/>
        <v>0.24</v>
      </c>
      <c r="AE10" s="33"/>
    </row>
    <row r="11" spans="1:31" ht="84" x14ac:dyDescent="0.3">
      <c r="A11" s="53" t="s">
        <v>313</v>
      </c>
      <c r="B11" s="25">
        <v>1</v>
      </c>
      <c r="C11" s="25">
        <v>1</v>
      </c>
      <c r="D11" s="25">
        <v>0</v>
      </c>
      <c r="E11" s="25">
        <v>0</v>
      </c>
      <c r="F11" s="25">
        <v>1</v>
      </c>
      <c r="G11" s="25">
        <v>0</v>
      </c>
      <c r="H11" s="25">
        <v>0</v>
      </c>
      <c r="I11" s="25">
        <v>0</v>
      </c>
      <c r="J11" s="25">
        <v>1</v>
      </c>
      <c r="K11" s="25">
        <v>0</v>
      </c>
      <c r="L11" s="3">
        <f t="shared" si="0"/>
        <v>0.4</v>
      </c>
      <c r="M11" s="26" t="str">
        <f t="shared" si="1"/>
        <v>sedang</v>
      </c>
      <c r="N11" s="3">
        <f t="shared" si="2"/>
        <v>0.4</v>
      </c>
      <c r="O11" s="26" t="str">
        <f t="shared" si="3"/>
        <v>soal diterima baik</v>
      </c>
      <c r="P11" s="33"/>
      <c r="Q11" s="26">
        <v>6</v>
      </c>
      <c r="R11" s="25">
        <f t="shared" si="5"/>
        <v>1</v>
      </c>
      <c r="S11" s="25">
        <f t="shared" si="4"/>
        <v>1</v>
      </c>
      <c r="T11" s="25">
        <f t="shared" si="4"/>
        <v>1</v>
      </c>
      <c r="U11" s="25">
        <f t="shared" si="4"/>
        <v>1</v>
      </c>
      <c r="V11" s="25">
        <f t="shared" si="4"/>
        <v>1</v>
      </c>
      <c r="W11" s="25">
        <f t="shared" si="4"/>
        <v>1</v>
      </c>
      <c r="X11" s="25">
        <f t="shared" si="4"/>
        <v>0</v>
      </c>
      <c r="Y11" s="25">
        <f t="shared" si="4"/>
        <v>0</v>
      </c>
      <c r="Z11" s="25">
        <f t="shared" si="4"/>
        <v>0</v>
      </c>
      <c r="AA11" s="25">
        <f t="shared" si="4"/>
        <v>0</v>
      </c>
      <c r="AB11" s="3">
        <f t="shared" si="6"/>
        <v>0.6</v>
      </c>
      <c r="AC11" s="3">
        <f t="shared" si="7"/>
        <v>0.4</v>
      </c>
      <c r="AD11" s="3">
        <f t="shared" si="8"/>
        <v>0.24</v>
      </c>
      <c r="AE11" s="33"/>
    </row>
    <row r="12" spans="1:31" ht="42" x14ac:dyDescent="0.3">
      <c r="A12" s="52" t="s">
        <v>235</v>
      </c>
      <c r="B12" s="25">
        <v>0</v>
      </c>
      <c r="C12" s="25">
        <v>0</v>
      </c>
      <c r="D12" s="25">
        <v>0</v>
      </c>
      <c r="E12" s="25">
        <v>1</v>
      </c>
      <c r="F12" s="25">
        <v>1</v>
      </c>
      <c r="G12" s="25">
        <v>1</v>
      </c>
      <c r="H12" s="25">
        <v>1</v>
      </c>
      <c r="I12" s="25">
        <v>1</v>
      </c>
      <c r="J12" s="25">
        <v>1</v>
      </c>
      <c r="K12" s="25">
        <v>0</v>
      </c>
      <c r="L12" s="3">
        <f t="shared" si="0"/>
        <v>0.6</v>
      </c>
      <c r="M12" s="26" t="str">
        <f t="shared" si="1"/>
        <v>sedang</v>
      </c>
      <c r="N12" s="3">
        <f t="shared" si="2"/>
        <v>0.4</v>
      </c>
      <c r="O12" s="26" t="str">
        <f t="shared" si="3"/>
        <v>soal diterima baik</v>
      </c>
      <c r="P12" s="33"/>
      <c r="Q12" s="26">
        <v>7</v>
      </c>
      <c r="R12" s="25">
        <f t="shared" si="5"/>
        <v>1</v>
      </c>
      <c r="S12" s="25">
        <f t="shared" si="4"/>
        <v>1</v>
      </c>
      <c r="T12" s="25">
        <f t="shared" si="4"/>
        <v>0</v>
      </c>
      <c r="U12" s="25">
        <f t="shared" si="4"/>
        <v>0</v>
      </c>
      <c r="V12" s="25">
        <f t="shared" si="4"/>
        <v>1</v>
      </c>
      <c r="W12" s="25">
        <f t="shared" si="4"/>
        <v>0</v>
      </c>
      <c r="X12" s="25">
        <f t="shared" si="4"/>
        <v>0</v>
      </c>
      <c r="Y12" s="25">
        <f t="shared" si="4"/>
        <v>0</v>
      </c>
      <c r="Z12" s="25">
        <f t="shared" si="4"/>
        <v>1</v>
      </c>
      <c r="AA12" s="25">
        <f t="shared" si="4"/>
        <v>0</v>
      </c>
      <c r="AB12" s="3">
        <f t="shared" si="6"/>
        <v>0.4</v>
      </c>
      <c r="AC12" s="3">
        <f t="shared" si="7"/>
        <v>0.6</v>
      </c>
      <c r="AD12" s="3">
        <f t="shared" si="8"/>
        <v>0.24</v>
      </c>
      <c r="AE12" s="33"/>
    </row>
    <row r="13" spans="1:31" ht="56" x14ac:dyDescent="0.3">
      <c r="A13" s="53" t="s">
        <v>236</v>
      </c>
      <c r="B13" s="25">
        <v>1</v>
      </c>
      <c r="C13" s="25">
        <v>1</v>
      </c>
      <c r="D13" s="25">
        <v>0</v>
      </c>
      <c r="E13" s="25">
        <v>1</v>
      </c>
      <c r="F13" s="25">
        <v>0</v>
      </c>
      <c r="G13" s="25">
        <v>0</v>
      </c>
      <c r="H13" s="25">
        <v>0</v>
      </c>
      <c r="I13" s="25">
        <v>0</v>
      </c>
      <c r="J13" s="25">
        <v>0</v>
      </c>
      <c r="K13" s="25">
        <v>1</v>
      </c>
      <c r="L13" s="3">
        <f t="shared" si="0"/>
        <v>0.4</v>
      </c>
      <c r="M13" s="26" t="str">
        <f t="shared" si="1"/>
        <v>sedang</v>
      </c>
      <c r="N13" s="3">
        <f t="shared" si="2"/>
        <v>0.4</v>
      </c>
      <c r="O13" s="26" t="str">
        <f t="shared" si="3"/>
        <v>soal diterima baik</v>
      </c>
      <c r="P13" s="33"/>
      <c r="Q13" s="26">
        <v>8</v>
      </c>
      <c r="R13" s="25">
        <f t="shared" si="5"/>
        <v>0</v>
      </c>
      <c r="S13" s="25">
        <f t="shared" si="4"/>
        <v>0</v>
      </c>
      <c r="T13" s="25">
        <f t="shared" si="4"/>
        <v>0</v>
      </c>
      <c r="U13" s="25">
        <f t="shared" si="4"/>
        <v>1</v>
      </c>
      <c r="V13" s="25">
        <f t="shared" si="4"/>
        <v>1</v>
      </c>
      <c r="W13" s="25">
        <f t="shared" si="4"/>
        <v>1</v>
      </c>
      <c r="X13" s="25">
        <f t="shared" si="4"/>
        <v>1</v>
      </c>
      <c r="Y13" s="25">
        <f t="shared" si="4"/>
        <v>1</v>
      </c>
      <c r="Z13" s="25">
        <f t="shared" si="4"/>
        <v>1</v>
      </c>
      <c r="AA13" s="25">
        <f t="shared" si="4"/>
        <v>0</v>
      </c>
      <c r="AB13" s="3">
        <f t="shared" si="6"/>
        <v>0.6</v>
      </c>
      <c r="AC13" s="3">
        <f t="shared" si="7"/>
        <v>0.4</v>
      </c>
      <c r="AD13" s="3">
        <f t="shared" si="8"/>
        <v>0.24</v>
      </c>
      <c r="AE13" s="33"/>
    </row>
    <row r="14" spans="1:31" ht="42" x14ac:dyDescent="0.3">
      <c r="A14" s="54" t="s">
        <v>237</v>
      </c>
      <c r="B14" s="25">
        <v>0</v>
      </c>
      <c r="C14" s="25">
        <v>0</v>
      </c>
      <c r="D14" s="25">
        <v>1</v>
      </c>
      <c r="E14" s="25">
        <v>0</v>
      </c>
      <c r="F14" s="25">
        <v>0</v>
      </c>
      <c r="G14" s="25">
        <v>1</v>
      </c>
      <c r="H14" s="25">
        <v>1</v>
      </c>
      <c r="I14" s="25">
        <v>1</v>
      </c>
      <c r="J14" s="25">
        <v>1</v>
      </c>
      <c r="K14" s="25">
        <v>1</v>
      </c>
      <c r="L14" s="3">
        <f t="shared" si="0"/>
        <v>0.6</v>
      </c>
      <c r="M14" s="26" t="str">
        <f t="shared" si="1"/>
        <v>sedang</v>
      </c>
      <c r="N14" s="3">
        <f t="shared" si="2"/>
        <v>0.8</v>
      </c>
      <c r="O14" s="26" t="str">
        <f t="shared" si="3"/>
        <v>soal diterima baik</v>
      </c>
      <c r="P14" s="33"/>
      <c r="Q14" s="26">
        <v>9</v>
      </c>
      <c r="R14" s="25">
        <f t="shared" si="5"/>
        <v>1</v>
      </c>
      <c r="S14" s="25">
        <f t="shared" si="4"/>
        <v>1</v>
      </c>
      <c r="T14" s="25">
        <f t="shared" si="4"/>
        <v>0</v>
      </c>
      <c r="U14" s="25">
        <f t="shared" si="4"/>
        <v>1</v>
      </c>
      <c r="V14" s="25">
        <f t="shared" si="4"/>
        <v>0</v>
      </c>
      <c r="W14" s="25">
        <f t="shared" si="4"/>
        <v>0</v>
      </c>
      <c r="X14" s="25">
        <f t="shared" si="4"/>
        <v>0</v>
      </c>
      <c r="Y14" s="25">
        <f t="shared" si="4"/>
        <v>0</v>
      </c>
      <c r="Z14" s="25">
        <f t="shared" si="4"/>
        <v>0</v>
      </c>
      <c r="AA14" s="25">
        <f t="shared" si="4"/>
        <v>1</v>
      </c>
      <c r="AB14" s="3">
        <f t="shared" si="6"/>
        <v>0.4</v>
      </c>
      <c r="AC14" s="3">
        <f t="shared" si="7"/>
        <v>0.6</v>
      </c>
      <c r="AD14" s="3">
        <f t="shared" si="8"/>
        <v>0.24</v>
      </c>
      <c r="AE14" s="33"/>
    </row>
    <row r="15" spans="1:31" ht="56" x14ac:dyDescent="0.3">
      <c r="A15" s="52" t="s">
        <v>314</v>
      </c>
      <c r="B15" s="25">
        <v>1</v>
      </c>
      <c r="C15" s="25">
        <v>1</v>
      </c>
      <c r="D15" s="25">
        <v>1</v>
      </c>
      <c r="E15" s="25">
        <v>1</v>
      </c>
      <c r="F15" s="25">
        <v>0</v>
      </c>
      <c r="G15" s="25">
        <v>0</v>
      </c>
      <c r="H15" s="25">
        <v>0</v>
      </c>
      <c r="I15" s="25">
        <v>0</v>
      </c>
      <c r="J15" s="25">
        <v>0</v>
      </c>
      <c r="K15" s="25">
        <v>0</v>
      </c>
      <c r="L15" s="3">
        <f t="shared" si="0"/>
        <v>0.4</v>
      </c>
      <c r="M15" s="26" t="str">
        <f t="shared" si="1"/>
        <v>sedang</v>
      </c>
      <c r="N15" s="3">
        <f t="shared" si="2"/>
        <v>0.8</v>
      </c>
      <c r="O15" s="26" t="str">
        <f t="shared" si="3"/>
        <v>soal diterima baik</v>
      </c>
      <c r="P15" s="33"/>
      <c r="Q15" s="26">
        <v>10</v>
      </c>
      <c r="R15" s="25">
        <f t="shared" si="5"/>
        <v>0</v>
      </c>
      <c r="S15" s="25">
        <f t="shared" si="4"/>
        <v>0</v>
      </c>
      <c r="T15" s="25">
        <f t="shared" si="4"/>
        <v>1</v>
      </c>
      <c r="U15" s="25">
        <f t="shared" si="4"/>
        <v>0</v>
      </c>
      <c r="V15" s="25">
        <f t="shared" si="4"/>
        <v>0</v>
      </c>
      <c r="W15" s="25">
        <f t="shared" si="4"/>
        <v>1</v>
      </c>
      <c r="X15" s="25">
        <f t="shared" si="4"/>
        <v>1</v>
      </c>
      <c r="Y15" s="25">
        <f t="shared" si="4"/>
        <v>1</v>
      </c>
      <c r="Z15" s="25">
        <f t="shared" si="4"/>
        <v>1</v>
      </c>
      <c r="AA15" s="25">
        <f t="shared" si="4"/>
        <v>1</v>
      </c>
      <c r="AB15" s="3">
        <f t="shared" si="6"/>
        <v>0.6</v>
      </c>
      <c r="AC15" s="3">
        <f t="shared" si="7"/>
        <v>0.4</v>
      </c>
      <c r="AD15" s="3">
        <f t="shared" si="8"/>
        <v>0.24</v>
      </c>
      <c r="AE15" s="33"/>
    </row>
    <row r="16" spans="1:31" ht="84" x14ac:dyDescent="0.3">
      <c r="A16" s="52" t="s">
        <v>238</v>
      </c>
      <c r="B16" s="25">
        <v>0</v>
      </c>
      <c r="C16" s="25">
        <v>0</v>
      </c>
      <c r="D16" s="25">
        <v>0</v>
      </c>
      <c r="E16" s="25">
        <v>0</v>
      </c>
      <c r="F16" s="25">
        <v>1</v>
      </c>
      <c r="G16" s="25">
        <v>1</v>
      </c>
      <c r="H16" s="25">
        <v>1</v>
      </c>
      <c r="I16" s="25">
        <v>1</v>
      </c>
      <c r="J16" s="25">
        <v>1</v>
      </c>
      <c r="K16" s="25">
        <v>1</v>
      </c>
      <c r="L16" s="3">
        <f t="shared" si="0"/>
        <v>0.6</v>
      </c>
      <c r="M16" s="26" t="str">
        <f t="shared" si="1"/>
        <v>sedang</v>
      </c>
      <c r="N16" s="3">
        <f t="shared" si="2"/>
        <v>0.8</v>
      </c>
      <c r="O16" s="26" t="str">
        <f t="shared" si="3"/>
        <v>soal diterima baik</v>
      </c>
      <c r="P16" s="33"/>
      <c r="Q16" s="26">
        <v>11</v>
      </c>
      <c r="R16" s="25">
        <f t="shared" si="5"/>
        <v>1</v>
      </c>
      <c r="S16" s="25">
        <f t="shared" si="4"/>
        <v>1</v>
      </c>
      <c r="T16" s="25">
        <f t="shared" si="4"/>
        <v>1</v>
      </c>
      <c r="U16" s="25">
        <f t="shared" si="4"/>
        <v>1</v>
      </c>
      <c r="V16" s="25">
        <f t="shared" si="4"/>
        <v>0</v>
      </c>
      <c r="W16" s="25">
        <f t="shared" si="4"/>
        <v>0</v>
      </c>
      <c r="X16" s="25">
        <f t="shared" si="4"/>
        <v>0</v>
      </c>
      <c r="Y16" s="25">
        <f t="shared" si="4"/>
        <v>0</v>
      </c>
      <c r="Z16" s="25">
        <f t="shared" si="4"/>
        <v>0</v>
      </c>
      <c r="AA16" s="25">
        <f t="shared" si="4"/>
        <v>0</v>
      </c>
      <c r="AB16" s="3">
        <f t="shared" si="6"/>
        <v>0.4</v>
      </c>
      <c r="AC16" s="3">
        <f t="shared" si="7"/>
        <v>0.6</v>
      </c>
      <c r="AD16" s="3">
        <f t="shared" si="8"/>
        <v>0.24</v>
      </c>
      <c r="AE16" s="33"/>
    </row>
    <row r="17" spans="1:31" ht="42" x14ac:dyDescent="0.3">
      <c r="A17" s="54" t="s">
        <v>239</v>
      </c>
      <c r="B17" s="25">
        <v>0</v>
      </c>
      <c r="C17" s="25">
        <v>0</v>
      </c>
      <c r="D17" s="25">
        <v>0</v>
      </c>
      <c r="E17" s="25">
        <v>0</v>
      </c>
      <c r="F17" s="25">
        <v>0</v>
      </c>
      <c r="G17" s="25">
        <v>1</v>
      </c>
      <c r="H17" s="25">
        <v>0</v>
      </c>
      <c r="I17" s="25">
        <v>0</v>
      </c>
      <c r="J17" s="25">
        <v>1</v>
      </c>
      <c r="K17" s="25">
        <v>0</v>
      </c>
      <c r="L17" s="3">
        <f t="shared" si="0"/>
        <v>0.2</v>
      </c>
      <c r="M17" s="26" t="str">
        <f t="shared" si="1"/>
        <v>sukar</v>
      </c>
      <c r="N17" s="3">
        <f t="shared" si="2"/>
        <v>0.4</v>
      </c>
      <c r="O17" s="26" t="str">
        <f t="shared" si="3"/>
        <v>soal diterima baik</v>
      </c>
      <c r="P17" s="33"/>
      <c r="Q17" s="26">
        <v>12</v>
      </c>
      <c r="R17" s="25">
        <f t="shared" si="5"/>
        <v>0</v>
      </c>
      <c r="S17" s="25">
        <f t="shared" si="4"/>
        <v>0</v>
      </c>
      <c r="T17" s="25">
        <f t="shared" si="4"/>
        <v>0</v>
      </c>
      <c r="U17" s="25">
        <f t="shared" si="4"/>
        <v>0</v>
      </c>
      <c r="V17" s="25">
        <f t="shared" si="4"/>
        <v>1</v>
      </c>
      <c r="W17" s="25">
        <f t="shared" si="4"/>
        <v>1</v>
      </c>
      <c r="X17" s="25">
        <f t="shared" si="4"/>
        <v>1</v>
      </c>
      <c r="Y17" s="25">
        <f t="shared" si="4"/>
        <v>1</v>
      </c>
      <c r="Z17" s="25">
        <f t="shared" si="4"/>
        <v>1</v>
      </c>
      <c r="AA17" s="25">
        <f t="shared" si="4"/>
        <v>1</v>
      </c>
      <c r="AB17" s="3">
        <f t="shared" si="6"/>
        <v>0.6</v>
      </c>
      <c r="AC17" s="3">
        <f t="shared" si="7"/>
        <v>0.4</v>
      </c>
      <c r="AD17" s="3">
        <f t="shared" si="8"/>
        <v>0.24</v>
      </c>
      <c r="AE17" s="33"/>
    </row>
    <row r="18" spans="1:31" ht="56" x14ac:dyDescent="0.3">
      <c r="A18" s="52" t="s">
        <v>240</v>
      </c>
      <c r="B18" s="25">
        <v>1</v>
      </c>
      <c r="C18" s="25">
        <v>0</v>
      </c>
      <c r="D18" s="25">
        <v>1</v>
      </c>
      <c r="E18" s="25">
        <v>1</v>
      </c>
      <c r="F18" s="25">
        <v>0</v>
      </c>
      <c r="G18" s="25">
        <v>1</v>
      </c>
      <c r="H18" s="25">
        <v>1</v>
      </c>
      <c r="I18" s="25">
        <v>1</v>
      </c>
      <c r="J18" s="25">
        <v>1</v>
      </c>
      <c r="K18" s="25">
        <v>1</v>
      </c>
      <c r="L18" s="3">
        <f t="shared" si="0"/>
        <v>0.8</v>
      </c>
      <c r="M18" s="26" t="str">
        <f t="shared" si="1"/>
        <v>mudah</v>
      </c>
      <c r="N18" s="3">
        <f t="shared" si="2"/>
        <v>0.4</v>
      </c>
      <c r="O18" s="26" t="str">
        <f t="shared" si="3"/>
        <v>soal diterima baik</v>
      </c>
      <c r="P18" s="33"/>
      <c r="Q18" s="26">
        <v>13</v>
      </c>
      <c r="R18" s="25">
        <f t="shared" si="5"/>
        <v>0</v>
      </c>
      <c r="S18" s="25">
        <f t="shared" si="4"/>
        <v>0</v>
      </c>
      <c r="T18" s="25">
        <f t="shared" si="4"/>
        <v>0</v>
      </c>
      <c r="U18" s="25">
        <f t="shared" si="4"/>
        <v>0</v>
      </c>
      <c r="V18" s="25">
        <f t="shared" si="4"/>
        <v>0</v>
      </c>
      <c r="W18" s="25">
        <f t="shared" si="4"/>
        <v>1</v>
      </c>
      <c r="X18" s="25">
        <f t="shared" si="4"/>
        <v>0</v>
      </c>
      <c r="Y18" s="25">
        <f t="shared" si="4"/>
        <v>0</v>
      </c>
      <c r="Z18" s="25">
        <f t="shared" si="4"/>
        <v>1</v>
      </c>
      <c r="AA18" s="25">
        <f t="shared" si="4"/>
        <v>0</v>
      </c>
      <c r="AB18" s="3">
        <f t="shared" si="6"/>
        <v>0.2</v>
      </c>
      <c r="AC18" s="3">
        <f t="shared" si="7"/>
        <v>0.8</v>
      </c>
      <c r="AD18" s="3">
        <f t="shared" si="8"/>
        <v>0.16000000000000003</v>
      </c>
      <c r="AE18" s="33"/>
    </row>
    <row r="19" spans="1:31" ht="56" x14ac:dyDescent="0.3">
      <c r="A19" s="53" t="s">
        <v>241</v>
      </c>
      <c r="B19" s="25">
        <v>1</v>
      </c>
      <c r="C19" s="25">
        <v>1</v>
      </c>
      <c r="D19" s="25">
        <v>1</v>
      </c>
      <c r="E19" s="25">
        <v>1</v>
      </c>
      <c r="F19" s="25">
        <v>0</v>
      </c>
      <c r="G19" s="25">
        <v>0</v>
      </c>
      <c r="H19" s="25">
        <v>0</v>
      </c>
      <c r="I19" s="25">
        <v>0</v>
      </c>
      <c r="J19" s="25">
        <v>0</v>
      </c>
      <c r="K19" s="25">
        <v>0</v>
      </c>
      <c r="L19" s="3">
        <f t="shared" si="0"/>
        <v>0.4</v>
      </c>
      <c r="M19" s="26" t="str">
        <f t="shared" si="1"/>
        <v>sedang</v>
      </c>
      <c r="N19" s="3">
        <f t="shared" si="2"/>
        <v>0.8</v>
      </c>
      <c r="O19" s="26" t="str">
        <f t="shared" si="3"/>
        <v>soal diterima baik</v>
      </c>
      <c r="P19" s="33"/>
      <c r="Q19" s="26">
        <v>14</v>
      </c>
      <c r="R19" s="25">
        <f t="shared" si="5"/>
        <v>1</v>
      </c>
      <c r="S19" s="25">
        <f t="shared" si="4"/>
        <v>0</v>
      </c>
      <c r="T19" s="25">
        <f t="shared" si="4"/>
        <v>1</v>
      </c>
      <c r="U19" s="25">
        <f t="shared" si="4"/>
        <v>1</v>
      </c>
      <c r="V19" s="25">
        <f t="shared" si="4"/>
        <v>0</v>
      </c>
      <c r="W19" s="25">
        <f t="shared" si="4"/>
        <v>1</v>
      </c>
      <c r="X19" s="25">
        <f t="shared" si="4"/>
        <v>1</v>
      </c>
      <c r="Y19" s="25">
        <f t="shared" si="4"/>
        <v>1</v>
      </c>
      <c r="Z19" s="25">
        <f t="shared" si="4"/>
        <v>1</v>
      </c>
      <c r="AA19" s="25">
        <f t="shared" si="4"/>
        <v>1</v>
      </c>
      <c r="AB19" s="3">
        <f t="shared" si="6"/>
        <v>0.8</v>
      </c>
      <c r="AC19" s="3">
        <f t="shared" si="7"/>
        <v>0.19999999999999996</v>
      </c>
      <c r="AD19" s="3">
        <f t="shared" si="8"/>
        <v>0.15999999999999998</v>
      </c>
      <c r="AE19" s="33"/>
    </row>
    <row r="20" spans="1:31" ht="56" x14ac:dyDescent="0.3">
      <c r="A20" s="52" t="s">
        <v>315</v>
      </c>
      <c r="B20" s="25">
        <v>0</v>
      </c>
      <c r="C20" s="25">
        <v>0</v>
      </c>
      <c r="D20" s="25">
        <v>0</v>
      </c>
      <c r="E20" s="25">
        <v>0</v>
      </c>
      <c r="F20" s="25">
        <v>0</v>
      </c>
      <c r="G20" s="25">
        <v>1</v>
      </c>
      <c r="H20" s="25">
        <v>0</v>
      </c>
      <c r="I20" s="25">
        <v>0</v>
      </c>
      <c r="J20" s="25">
        <v>1</v>
      </c>
      <c r="K20" s="25">
        <v>0</v>
      </c>
      <c r="L20" s="3">
        <f t="shared" si="0"/>
        <v>0.2</v>
      </c>
      <c r="M20" s="26" t="str">
        <f t="shared" si="1"/>
        <v>sukar</v>
      </c>
      <c r="N20" s="3">
        <f t="shared" si="2"/>
        <v>0.4</v>
      </c>
      <c r="O20" s="26" t="str">
        <f t="shared" si="3"/>
        <v>soal diterima baik</v>
      </c>
      <c r="P20" s="33"/>
      <c r="Q20" s="26">
        <v>15</v>
      </c>
      <c r="R20" s="25">
        <f t="shared" si="5"/>
        <v>1</v>
      </c>
      <c r="S20" s="25">
        <f t="shared" si="4"/>
        <v>1</v>
      </c>
      <c r="T20" s="25">
        <f t="shared" si="4"/>
        <v>1</v>
      </c>
      <c r="U20" s="25">
        <f t="shared" si="4"/>
        <v>1</v>
      </c>
      <c r="V20" s="25">
        <f t="shared" si="4"/>
        <v>0</v>
      </c>
      <c r="W20" s="25">
        <f t="shared" si="4"/>
        <v>0</v>
      </c>
      <c r="X20" s="25">
        <f t="shared" si="4"/>
        <v>0</v>
      </c>
      <c r="Y20" s="25">
        <f t="shared" si="4"/>
        <v>0</v>
      </c>
      <c r="Z20" s="25">
        <f t="shared" si="4"/>
        <v>0</v>
      </c>
      <c r="AA20" s="25">
        <f t="shared" si="4"/>
        <v>0</v>
      </c>
      <c r="AB20" s="3">
        <f t="shared" si="6"/>
        <v>0.4</v>
      </c>
      <c r="AC20" s="3">
        <f t="shared" si="7"/>
        <v>0.6</v>
      </c>
      <c r="AD20" s="3">
        <f t="shared" si="8"/>
        <v>0.24</v>
      </c>
      <c r="AE20" s="33"/>
    </row>
    <row r="21" spans="1:31" ht="42" x14ac:dyDescent="0.3">
      <c r="A21" s="54" t="s">
        <v>242</v>
      </c>
      <c r="B21" s="25">
        <v>1</v>
      </c>
      <c r="C21" s="25">
        <v>1</v>
      </c>
      <c r="D21" s="25">
        <v>1</v>
      </c>
      <c r="E21" s="25">
        <v>1</v>
      </c>
      <c r="F21" s="25">
        <v>1</v>
      </c>
      <c r="G21" s="25">
        <v>0</v>
      </c>
      <c r="H21" s="25">
        <v>1</v>
      </c>
      <c r="I21" s="25">
        <v>0</v>
      </c>
      <c r="J21" s="25">
        <v>0</v>
      </c>
      <c r="K21" s="25">
        <v>0</v>
      </c>
      <c r="L21" s="3">
        <f t="shared" si="0"/>
        <v>0.6</v>
      </c>
      <c r="M21" s="26" t="str">
        <f t="shared" si="1"/>
        <v>sedang</v>
      </c>
      <c r="N21" s="3">
        <f t="shared" si="2"/>
        <v>0.8</v>
      </c>
      <c r="O21" s="26" t="str">
        <f t="shared" si="3"/>
        <v>soal diterima baik</v>
      </c>
      <c r="P21" s="33"/>
      <c r="Q21" s="26">
        <v>16</v>
      </c>
      <c r="R21" s="25">
        <f t="shared" si="5"/>
        <v>0</v>
      </c>
      <c r="S21" s="25">
        <f t="shared" si="4"/>
        <v>0</v>
      </c>
      <c r="T21" s="25">
        <f t="shared" si="4"/>
        <v>0</v>
      </c>
      <c r="U21" s="25">
        <f t="shared" si="4"/>
        <v>0</v>
      </c>
      <c r="V21" s="25">
        <f t="shared" si="4"/>
        <v>0</v>
      </c>
      <c r="W21" s="25">
        <f t="shared" si="4"/>
        <v>1</v>
      </c>
      <c r="X21" s="25">
        <f t="shared" si="4"/>
        <v>0</v>
      </c>
      <c r="Y21" s="25">
        <f t="shared" si="4"/>
        <v>0</v>
      </c>
      <c r="Z21" s="25">
        <f t="shared" si="4"/>
        <v>1</v>
      </c>
      <c r="AA21" s="25">
        <f t="shared" si="4"/>
        <v>0</v>
      </c>
      <c r="AB21" s="3">
        <f t="shared" si="6"/>
        <v>0.2</v>
      </c>
      <c r="AC21" s="3">
        <f t="shared" si="7"/>
        <v>0.8</v>
      </c>
      <c r="AD21" s="3">
        <f t="shared" si="8"/>
        <v>0.16000000000000003</v>
      </c>
      <c r="AE21" s="33"/>
    </row>
    <row r="22" spans="1:31" ht="42" x14ac:dyDescent="0.3">
      <c r="A22" s="52" t="s">
        <v>243</v>
      </c>
      <c r="B22" s="25">
        <v>0</v>
      </c>
      <c r="C22" s="25">
        <v>1</v>
      </c>
      <c r="D22" s="25">
        <v>1</v>
      </c>
      <c r="E22" s="25">
        <v>0</v>
      </c>
      <c r="F22" s="25">
        <v>0</v>
      </c>
      <c r="G22" s="25">
        <v>0</v>
      </c>
      <c r="H22" s="25">
        <v>0</v>
      </c>
      <c r="I22" s="25">
        <v>0</v>
      </c>
      <c r="J22" s="25">
        <v>0</v>
      </c>
      <c r="K22" s="25">
        <v>0</v>
      </c>
      <c r="L22" s="3">
        <f t="shared" si="0"/>
        <v>0.2</v>
      </c>
      <c r="M22" s="26" t="str">
        <f t="shared" si="1"/>
        <v>sukar</v>
      </c>
      <c r="N22" s="3">
        <f t="shared" si="2"/>
        <v>0.4</v>
      </c>
      <c r="O22" s="26" t="str">
        <f t="shared" si="3"/>
        <v>soal diterima baik</v>
      </c>
      <c r="P22" s="33"/>
      <c r="Q22" s="26">
        <v>17</v>
      </c>
      <c r="R22" s="25">
        <f t="shared" si="5"/>
        <v>1</v>
      </c>
      <c r="S22" s="25">
        <f t="shared" si="5"/>
        <v>1</v>
      </c>
      <c r="T22" s="25">
        <f t="shared" si="5"/>
        <v>1</v>
      </c>
      <c r="U22" s="25">
        <f t="shared" si="5"/>
        <v>1</v>
      </c>
      <c r="V22" s="25">
        <f t="shared" si="5"/>
        <v>1</v>
      </c>
      <c r="W22" s="25">
        <f t="shared" si="5"/>
        <v>0</v>
      </c>
      <c r="X22" s="25">
        <f t="shared" si="5"/>
        <v>1</v>
      </c>
      <c r="Y22" s="25">
        <f t="shared" si="5"/>
        <v>0</v>
      </c>
      <c r="Z22" s="25">
        <f t="shared" si="5"/>
        <v>0</v>
      </c>
      <c r="AA22" s="25">
        <f t="shared" si="5"/>
        <v>0</v>
      </c>
      <c r="AB22" s="3">
        <f t="shared" si="6"/>
        <v>0.6</v>
      </c>
      <c r="AC22" s="3">
        <f t="shared" si="7"/>
        <v>0.4</v>
      </c>
      <c r="AD22" s="3">
        <f t="shared" si="8"/>
        <v>0.24</v>
      </c>
      <c r="AE22" s="33"/>
    </row>
    <row r="23" spans="1:31" ht="42" x14ac:dyDescent="0.3">
      <c r="A23" s="54" t="s">
        <v>244</v>
      </c>
      <c r="B23" s="25">
        <v>1</v>
      </c>
      <c r="C23" s="25">
        <v>0</v>
      </c>
      <c r="D23" s="25">
        <v>1</v>
      </c>
      <c r="E23" s="25">
        <v>0</v>
      </c>
      <c r="F23" s="25">
        <v>0</v>
      </c>
      <c r="G23" s="25">
        <v>0</v>
      </c>
      <c r="H23" s="25">
        <v>0</v>
      </c>
      <c r="I23" s="25">
        <v>0</v>
      </c>
      <c r="J23" s="25">
        <v>0</v>
      </c>
      <c r="K23" s="25">
        <v>0</v>
      </c>
      <c r="L23" s="3">
        <f t="shared" si="0"/>
        <v>0.2</v>
      </c>
      <c r="M23" s="26" t="str">
        <f t="shared" si="1"/>
        <v>sukar</v>
      </c>
      <c r="N23" s="3">
        <f t="shared" si="2"/>
        <v>0.4</v>
      </c>
      <c r="O23" s="26" t="str">
        <f t="shared" si="3"/>
        <v>soal diterima baik</v>
      </c>
      <c r="P23" s="33"/>
      <c r="Q23" s="26">
        <v>18</v>
      </c>
      <c r="R23" s="25">
        <f t="shared" si="5"/>
        <v>0</v>
      </c>
      <c r="S23" s="25">
        <f t="shared" si="5"/>
        <v>1</v>
      </c>
      <c r="T23" s="25">
        <f t="shared" si="5"/>
        <v>1</v>
      </c>
      <c r="U23" s="25">
        <f t="shared" si="5"/>
        <v>0</v>
      </c>
      <c r="V23" s="25">
        <f t="shared" si="5"/>
        <v>0</v>
      </c>
      <c r="W23" s="25">
        <f t="shared" si="5"/>
        <v>0</v>
      </c>
      <c r="X23" s="25">
        <f t="shared" si="5"/>
        <v>0</v>
      </c>
      <c r="Y23" s="25">
        <f t="shared" si="5"/>
        <v>0</v>
      </c>
      <c r="Z23" s="25">
        <f t="shared" si="5"/>
        <v>0</v>
      </c>
      <c r="AA23" s="25">
        <f t="shared" si="5"/>
        <v>0</v>
      </c>
      <c r="AB23" s="3">
        <f t="shared" si="6"/>
        <v>0.2</v>
      </c>
      <c r="AC23" s="3">
        <f t="shared" si="7"/>
        <v>0.8</v>
      </c>
      <c r="AD23" s="3">
        <f t="shared" si="8"/>
        <v>0.16000000000000003</v>
      </c>
      <c r="AE23" s="33"/>
    </row>
    <row r="24" spans="1:31" ht="28" x14ac:dyDescent="0.3">
      <c r="A24" s="52" t="s">
        <v>245</v>
      </c>
      <c r="B24" s="25">
        <v>1</v>
      </c>
      <c r="C24" s="25">
        <v>1</v>
      </c>
      <c r="D24" s="25">
        <v>1</v>
      </c>
      <c r="E24" s="25">
        <v>0</v>
      </c>
      <c r="F24" s="25">
        <v>1</v>
      </c>
      <c r="G24" s="25">
        <v>1</v>
      </c>
      <c r="H24" s="25">
        <v>0</v>
      </c>
      <c r="I24" s="25">
        <v>0</v>
      </c>
      <c r="J24" s="25">
        <v>1</v>
      </c>
      <c r="K24" s="25">
        <v>0</v>
      </c>
      <c r="L24" s="3">
        <f t="shared" si="0"/>
        <v>0.6</v>
      </c>
      <c r="M24" s="26" t="str">
        <f t="shared" si="1"/>
        <v>sedang</v>
      </c>
      <c r="N24" s="3">
        <f t="shared" si="2"/>
        <v>0.4</v>
      </c>
      <c r="O24" s="26" t="str">
        <f t="shared" si="3"/>
        <v>soal diterima baik</v>
      </c>
      <c r="P24" s="33"/>
      <c r="Q24" s="26">
        <v>19</v>
      </c>
      <c r="R24" s="25">
        <f t="shared" si="5"/>
        <v>1</v>
      </c>
      <c r="S24" s="25">
        <f t="shared" si="5"/>
        <v>0</v>
      </c>
      <c r="T24" s="25">
        <f t="shared" si="5"/>
        <v>1</v>
      </c>
      <c r="U24" s="25">
        <f t="shared" si="5"/>
        <v>0</v>
      </c>
      <c r="V24" s="25">
        <f t="shared" si="5"/>
        <v>0</v>
      </c>
      <c r="W24" s="25">
        <f t="shared" si="5"/>
        <v>0</v>
      </c>
      <c r="X24" s="25">
        <f t="shared" si="5"/>
        <v>0</v>
      </c>
      <c r="Y24" s="25">
        <f t="shared" si="5"/>
        <v>0</v>
      </c>
      <c r="Z24" s="25">
        <f t="shared" si="5"/>
        <v>0</v>
      </c>
      <c r="AA24" s="25">
        <f t="shared" si="5"/>
        <v>0</v>
      </c>
      <c r="AB24" s="3">
        <f t="shared" si="6"/>
        <v>0.2</v>
      </c>
      <c r="AC24" s="3">
        <f t="shared" si="7"/>
        <v>0.8</v>
      </c>
      <c r="AD24" s="3">
        <f t="shared" si="8"/>
        <v>0.16000000000000003</v>
      </c>
      <c r="AE24" s="33"/>
    </row>
    <row r="25" spans="1:31" ht="42" x14ac:dyDescent="0.3">
      <c r="A25" s="52" t="s">
        <v>246</v>
      </c>
      <c r="B25" s="25">
        <v>1</v>
      </c>
      <c r="C25" s="25">
        <v>1</v>
      </c>
      <c r="D25" s="25">
        <v>1</v>
      </c>
      <c r="E25" s="25">
        <v>1</v>
      </c>
      <c r="F25" s="25">
        <v>0</v>
      </c>
      <c r="G25" s="25">
        <v>0</v>
      </c>
      <c r="H25" s="25">
        <v>0</v>
      </c>
      <c r="I25" s="25">
        <v>0</v>
      </c>
      <c r="J25" s="25">
        <v>0</v>
      </c>
      <c r="K25" s="25">
        <v>0</v>
      </c>
      <c r="L25" s="3">
        <f t="shared" si="0"/>
        <v>0.4</v>
      </c>
      <c r="M25" s="26" t="str">
        <f t="shared" si="1"/>
        <v>sedang</v>
      </c>
      <c r="N25" s="3">
        <f t="shared" si="2"/>
        <v>0.8</v>
      </c>
      <c r="O25" s="26" t="str">
        <f t="shared" si="3"/>
        <v>soal diterima baik</v>
      </c>
      <c r="P25" s="33"/>
      <c r="Q25" s="26">
        <v>20</v>
      </c>
      <c r="R25" s="25">
        <f t="shared" si="5"/>
        <v>1</v>
      </c>
      <c r="S25" s="25">
        <f t="shared" si="5"/>
        <v>1</v>
      </c>
      <c r="T25" s="25">
        <f t="shared" si="5"/>
        <v>1</v>
      </c>
      <c r="U25" s="25">
        <f t="shared" si="5"/>
        <v>0</v>
      </c>
      <c r="V25" s="25">
        <f t="shared" si="5"/>
        <v>1</v>
      </c>
      <c r="W25" s="25">
        <f t="shared" si="5"/>
        <v>1</v>
      </c>
      <c r="X25" s="25">
        <f t="shared" si="5"/>
        <v>0</v>
      </c>
      <c r="Y25" s="25">
        <f t="shared" si="5"/>
        <v>0</v>
      </c>
      <c r="Z25" s="25">
        <f t="shared" si="5"/>
        <v>1</v>
      </c>
      <c r="AA25" s="25">
        <f t="shared" si="5"/>
        <v>0</v>
      </c>
      <c r="AB25" s="3">
        <f t="shared" si="6"/>
        <v>0.6</v>
      </c>
      <c r="AC25" s="3">
        <f t="shared" si="7"/>
        <v>0.4</v>
      </c>
      <c r="AD25" s="3">
        <f t="shared" si="8"/>
        <v>0.24</v>
      </c>
      <c r="AE25" s="33"/>
    </row>
    <row r="26" spans="1:31" ht="28" x14ac:dyDescent="0.3">
      <c r="A26" s="52" t="s">
        <v>247</v>
      </c>
      <c r="B26" s="25">
        <v>1</v>
      </c>
      <c r="C26" s="25">
        <v>0</v>
      </c>
      <c r="D26" s="25">
        <v>1</v>
      </c>
      <c r="E26" s="25">
        <v>0</v>
      </c>
      <c r="F26" s="25">
        <v>0</v>
      </c>
      <c r="G26" s="25">
        <v>1</v>
      </c>
      <c r="H26" s="25">
        <v>1</v>
      </c>
      <c r="I26" s="25">
        <v>0</v>
      </c>
      <c r="J26" s="25">
        <v>1</v>
      </c>
      <c r="K26" s="25">
        <v>1</v>
      </c>
      <c r="L26" s="3">
        <f t="shared" si="0"/>
        <v>0.6</v>
      </c>
      <c r="M26" s="26" t="str">
        <f t="shared" si="1"/>
        <v>sedang</v>
      </c>
      <c r="N26" s="3">
        <f t="shared" si="2"/>
        <v>0.4</v>
      </c>
      <c r="O26" s="26" t="str">
        <f t="shared" si="3"/>
        <v>soal diterima baik</v>
      </c>
      <c r="P26" s="33"/>
      <c r="Q26" s="26">
        <v>21</v>
      </c>
      <c r="R26" s="25">
        <f t="shared" si="5"/>
        <v>1</v>
      </c>
      <c r="S26" s="25">
        <f t="shared" si="5"/>
        <v>1</v>
      </c>
      <c r="T26" s="25">
        <f t="shared" si="5"/>
        <v>1</v>
      </c>
      <c r="U26" s="25">
        <f t="shared" si="5"/>
        <v>1</v>
      </c>
      <c r="V26" s="25">
        <f t="shared" si="5"/>
        <v>0</v>
      </c>
      <c r="W26" s="25">
        <f t="shared" si="5"/>
        <v>0</v>
      </c>
      <c r="X26" s="25">
        <f t="shared" si="5"/>
        <v>0</v>
      </c>
      <c r="Y26" s="25">
        <f t="shared" si="5"/>
        <v>0</v>
      </c>
      <c r="Z26" s="25">
        <f t="shared" si="5"/>
        <v>0</v>
      </c>
      <c r="AA26" s="25">
        <f t="shared" si="5"/>
        <v>0</v>
      </c>
      <c r="AB26" s="3">
        <f t="shared" si="6"/>
        <v>0.4</v>
      </c>
      <c r="AC26" s="3">
        <f t="shared" si="7"/>
        <v>0.6</v>
      </c>
      <c r="AD26" s="3">
        <f t="shared" si="8"/>
        <v>0.24</v>
      </c>
      <c r="AE26" s="33"/>
    </row>
    <row r="27" spans="1:31" ht="28" x14ac:dyDescent="0.3">
      <c r="A27" s="53" t="s">
        <v>248</v>
      </c>
      <c r="B27" s="25">
        <v>1</v>
      </c>
      <c r="C27" s="25">
        <v>1</v>
      </c>
      <c r="D27" s="25">
        <v>0</v>
      </c>
      <c r="E27" s="25">
        <v>1</v>
      </c>
      <c r="F27" s="25">
        <v>1</v>
      </c>
      <c r="G27" s="25">
        <v>1</v>
      </c>
      <c r="H27" s="25">
        <v>0</v>
      </c>
      <c r="I27" s="25">
        <v>0</v>
      </c>
      <c r="J27" s="25">
        <v>0</v>
      </c>
      <c r="K27" s="25">
        <v>1</v>
      </c>
      <c r="L27" s="3">
        <f t="shared" si="0"/>
        <v>0.6</v>
      </c>
      <c r="M27" s="26" t="str">
        <f t="shared" si="1"/>
        <v>sedang</v>
      </c>
      <c r="N27" s="3">
        <f t="shared" si="2"/>
        <v>0.4</v>
      </c>
      <c r="O27" s="26" t="str">
        <f t="shared" si="3"/>
        <v>soal diterima baik</v>
      </c>
      <c r="P27" s="33"/>
      <c r="Q27" s="26">
        <v>22</v>
      </c>
      <c r="R27" s="25">
        <f t="shared" si="5"/>
        <v>1</v>
      </c>
      <c r="S27" s="25">
        <f t="shared" si="5"/>
        <v>0</v>
      </c>
      <c r="T27" s="25">
        <f t="shared" si="5"/>
        <v>1</v>
      </c>
      <c r="U27" s="25">
        <f t="shared" si="5"/>
        <v>0</v>
      </c>
      <c r="V27" s="25">
        <f t="shared" si="5"/>
        <v>0</v>
      </c>
      <c r="W27" s="25">
        <f t="shared" si="5"/>
        <v>1</v>
      </c>
      <c r="X27" s="25">
        <f t="shared" si="5"/>
        <v>1</v>
      </c>
      <c r="Y27" s="25">
        <f t="shared" si="5"/>
        <v>0</v>
      </c>
      <c r="Z27" s="25">
        <f t="shared" si="5"/>
        <v>1</v>
      </c>
      <c r="AA27" s="25">
        <f t="shared" si="5"/>
        <v>1</v>
      </c>
      <c r="AB27" s="3">
        <f t="shared" si="6"/>
        <v>0.6</v>
      </c>
      <c r="AC27" s="3">
        <f t="shared" si="7"/>
        <v>0.4</v>
      </c>
      <c r="AD27" s="3">
        <f t="shared" si="8"/>
        <v>0.24</v>
      </c>
      <c r="AE27" s="33"/>
    </row>
    <row r="28" spans="1:31" ht="42" x14ac:dyDescent="0.3">
      <c r="A28" s="54" t="s">
        <v>249</v>
      </c>
      <c r="B28" s="25">
        <v>0</v>
      </c>
      <c r="C28" s="25">
        <v>1</v>
      </c>
      <c r="D28" s="25">
        <v>0</v>
      </c>
      <c r="E28" s="25">
        <v>0</v>
      </c>
      <c r="F28" s="25">
        <v>1</v>
      </c>
      <c r="G28" s="25">
        <v>1</v>
      </c>
      <c r="H28" s="25">
        <v>1</v>
      </c>
      <c r="I28" s="25">
        <v>0</v>
      </c>
      <c r="J28" s="25">
        <v>1</v>
      </c>
      <c r="K28" s="25">
        <v>1</v>
      </c>
      <c r="L28" s="3">
        <f t="shared" si="0"/>
        <v>0.6</v>
      </c>
      <c r="M28" s="26" t="str">
        <f t="shared" si="1"/>
        <v>sedang</v>
      </c>
      <c r="N28" s="3">
        <f t="shared" si="2"/>
        <v>0.4</v>
      </c>
      <c r="O28" s="26" t="str">
        <f t="shared" si="3"/>
        <v>soal diterima baik</v>
      </c>
      <c r="P28" s="33"/>
      <c r="Q28" s="26">
        <v>23</v>
      </c>
      <c r="R28" s="25">
        <f t="shared" si="5"/>
        <v>1</v>
      </c>
      <c r="S28" s="25">
        <f t="shared" si="5"/>
        <v>1</v>
      </c>
      <c r="T28" s="25">
        <f t="shared" si="5"/>
        <v>0</v>
      </c>
      <c r="U28" s="25">
        <f t="shared" si="5"/>
        <v>1</v>
      </c>
      <c r="V28" s="25">
        <f t="shared" si="5"/>
        <v>1</v>
      </c>
      <c r="W28" s="25">
        <f t="shared" si="5"/>
        <v>1</v>
      </c>
      <c r="X28" s="25">
        <f t="shared" si="5"/>
        <v>0</v>
      </c>
      <c r="Y28" s="25">
        <f t="shared" si="5"/>
        <v>0</v>
      </c>
      <c r="Z28" s="25">
        <f t="shared" si="5"/>
        <v>0</v>
      </c>
      <c r="AA28" s="25">
        <f t="shared" si="5"/>
        <v>1</v>
      </c>
      <c r="AB28" s="3">
        <f t="shared" si="6"/>
        <v>0.6</v>
      </c>
      <c r="AC28" s="3">
        <f t="shared" si="7"/>
        <v>0.4</v>
      </c>
      <c r="AD28" s="3">
        <f t="shared" si="8"/>
        <v>0.24</v>
      </c>
      <c r="AE28" s="33"/>
    </row>
    <row r="29" spans="1:31" ht="28" x14ac:dyDescent="0.3">
      <c r="A29" s="53" t="s">
        <v>250</v>
      </c>
      <c r="B29" s="25">
        <v>1</v>
      </c>
      <c r="C29" s="25">
        <v>0</v>
      </c>
      <c r="D29" s="25">
        <v>0</v>
      </c>
      <c r="E29" s="25">
        <v>1</v>
      </c>
      <c r="F29" s="25">
        <v>0</v>
      </c>
      <c r="G29" s="25">
        <v>0</v>
      </c>
      <c r="H29" s="25">
        <v>1</v>
      </c>
      <c r="I29" s="25">
        <v>1</v>
      </c>
      <c r="J29" s="25">
        <v>1</v>
      </c>
      <c r="K29" s="25">
        <v>1</v>
      </c>
      <c r="L29" s="3">
        <f t="shared" si="0"/>
        <v>0.6</v>
      </c>
      <c r="M29" s="26" t="str">
        <f t="shared" si="1"/>
        <v>sedang</v>
      </c>
      <c r="N29" s="3">
        <f t="shared" si="2"/>
        <v>0.4</v>
      </c>
      <c r="O29" s="26" t="str">
        <f t="shared" si="3"/>
        <v>soal diterima baik</v>
      </c>
      <c r="P29" s="33"/>
      <c r="Q29" s="26">
        <v>24</v>
      </c>
      <c r="R29" s="25">
        <f t="shared" si="5"/>
        <v>0</v>
      </c>
      <c r="S29" s="25">
        <f t="shared" si="5"/>
        <v>1</v>
      </c>
      <c r="T29" s="25">
        <f t="shared" si="5"/>
        <v>0</v>
      </c>
      <c r="U29" s="25">
        <f t="shared" si="5"/>
        <v>0</v>
      </c>
      <c r="V29" s="25">
        <f t="shared" si="5"/>
        <v>1</v>
      </c>
      <c r="W29" s="25">
        <f t="shared" si="5"/>
        <v>1</v>
      </c>
      <c r="X29" s="25">
        <f t="shared" si="5"/>
        <v>1</v>
      </c>
      <c r="Y29" s="25">
        <f t="shared" si="5"/>
        <v>0</v>
      </c>
      <c r="Z29" s="25">
        <f t="shared" si="5"/>
        <v>1</v>
      </c>
      <c r="AA29" s="25">
        <f t="shared" si="5"/>
        <v>1</v>
      </c>
      <c r="AB29" s="3">
        <f t="shared" si="6"/>
        <v>0.6</v>
      </c>
      <c r="AC29" s="3">
        <f t="shared" si="7"/>
        <v>0.4</v>
      </c>
      <c r="AD29" s="3">
        <f t="shared" si="8"/>
        <v>0.24</v>
      </c>
      <c r="AE29" s="33"/>
    </row>
    <row r="30" spans="1:31" ht="28" x14ac:dyDescent="0.3">
      <c r="A30" s="52" t="s">
        <v>251</v>
      </c>
      <c r="B30" s="25">
        <v>0</v>
      </c>
      <c r="C30" s="25">
        <v>0</v>
      </c>
      <c r="D30" s="25">
        <v>0</v>
      </c>
      <c r="E30" s="25">
        <v>0</v>
      </c>
      <c r="F30" s="25">
        <v>0</v>
      </c>
      <c r="G30" s="25">
        <v>0</v>
      </c>
      <c r="H30" s="25">
        <v>1</v>
      </c>
      <c r="I30" s="25">
        <v>0</v>
      </c>
      <c r="J30" s="25">
        <v>0</v>
      </c>
      <c r="K30" s="25">
        <v>1</v>
      </c>
      <c r="L30" s="3">
        <f t="shared" si="0"/>
        <v>0.2</v>
      </c>
      <c r="M30" s="26" t="str">
        <f t="shared" si="1"/>
        <v>sukar</v>
      </c>
      <c r="N30" s="3">
        <f t="shared" si="2"/>
        <v>0.4</v>
      </c>
      <c r="O30" s="26" t="str">
        <f t="shared" si="3"/>
        <v>soal diterima baik</v>
      </c>
      <c r="P30" s="33"/>
      <c r="Q30" s="26">
        <v>25</v>
      </c>
      <c r="R30" s="25">
        <f t="shared" si="5"/>
        <v>1</v>
      </c>
      <c r="S30" s="25">
        <f t="shared" si="5"/>
        <v>0</v>
      </c>
      <c r="T30" s="25">
        <f t="shared" si="5"/>
        <v>0</v>
      </c>
      <c r="U30" s="25">
        <f t="shared" si="5"/>
        <v>1</v>
      </c>
      <c r="V30" s="25">
        <f t="shared" si="5"/>
        <v>0</v>
      </c>
      <c r="W30" s="25">
        <f t="shared" si="5"/>
        <v>0</v>
      </c>
      <c r="X30" s="25">
        <f t="shared" si="5"/>
        <v>1</v>
      </c>
      <c r="Y30" s="25">
        <f t="shared" si="5"/>
        <v>1</v>
      </c>
      <c r="Z30" s="25">
        <f t="shared" si="5"/>
        <v>1</v>
      </c>
      <c r="AA30" s="25">
        <f t="shared" si="5"/>
        <v>1</v>
      </c>
      <c r="AB30" s="3">
        <f t="shared" si="6"/>
        <v>0.6</v>
      </c>
      <c r="AC30" s="3">
        <f t="shared" si="7"/>
        <v>0.4</v>
      </c>
      <c r="AD30" s="3">
        <f t="shared" si="8"/>
        <v>0.24</v>
      </c>
      <c r="AE30" s="33"/>
    </row>
    <row r="31" spans="1:31" ht="56" x14ac:dyDescent="0.3">
      <c r="A31" s="52" t="s">
        <v>252</v>
      </c>
      <c r="B31" s="25">
        <v>1</v>
      </c>
      <c r="C31" s="25">
        <v>1</v>
      </c>
      <c r="D31" s="25">
        <v>1</v>
      </c>
      <c r="E31" s="25">
        <v>1</v>
      </c>
      <c r="F31" s="25">
        <v>1</v>
      </c>
      <c r="G31" s="25">
        <v>0</v>
      </c>
      <c r="H31" s="25">
        <v>1</v>
      </c>
      <c r="I31" s="25">
        <v>0</v>
      </c>
      <c r="J31" s="25">
        <v>0</v>
      </c>
      <c r="K31" s="25">
        <v>0</v>
      </c>
      <c r="L31" s="3">
        <f t="shared" si="0"/>
        <v>0.6</v>
      </c>
      <c r="M31" s="26" t="str">
        <f t="shared" si="1"/>
        <v>sedang</v>
      </c>
      <c r="N31" s="3">
        <f t="shared" si="2"/>
        <v>0.8</v>
      </c>
      <c r="O31" s="26" t="str">
        <f t="shared" si="3"/>
        <v>soal diterima baik</v>
      </c>
      <c r="P31" s="33"/>
      <c r="Q31" s="26">
        <v>26</v>
      </c>
      <c r="R31" s="25">
        <f t="shared" si="5"/>
        <v>0</v>
      </c>
      <c r="S31" s="25">
        <f t="shared" si="5"/>
        <v>0</v>
      </c>
      <c r="T31" s="25">
        <f t="shared" si="5"/>
        <v>0</v>
      </c>
      <c r="U31" s="25">
        <f t="shared" si="5"/>
        <v>0</v>
      </c>
      <c r="V31" s="25">
        <f t="shared" si="5"/>
        <v>0</v>
      </c>
      <c r="W31" s="25">
        <f t="shared" si="5"/>
        <v>0</v>
      </c>
      <c r="X31" s="25">
        <f t="shared" si="5"/>
        <v>1</v>
      </c>
      <c r="Y31" s="25">
        <f t="shared" si="5"/>
        <v>0</v>
      </c>
      <c r="Z31" s="25">
        <f t="shared" si="5"/>
        <v>0</v>
      </c>
      <c r="AA31" s="25">
        <f t="shared" si="5"/>
        <v>1</v>
      </c>
      <c r="AB31" s="3">
        <f t="shared" si="6"/>
        <v>0.2</v>
      </c>
      <c r="AC31" s="3">
        <f t="shared" si="7"/>
        <v>0.8</v>
      </c>
      <c r="AD31" s="3">
        <f t="shared" si="8"/>
        <v>0.16000000000000003</v>
      </c>
      <c r="AE31" s="33"/>
    </row>
    <row r="32" spans="1:31" ht="42" x14ac:dyDescent="0.3">
      <c r="A32" s="52" t="s">
        <v>253</v>
      </c>
      <c r="B32" s="25">
        <v>1</v>
      </c>
      <c r="C32" s="25">
        <v>1</v>
      </c>
      <c r="D32" s="25">
        <v>1</v>
      </c>
      <c r="E32" s="25">
        <v>1</v>
      </c>
      <c r="F32" s="25">
        <v>1</v>
      </c>
      <c r="G32" s="25">
        <v>1</v>
      </c>
      <c r="H32" s="25">
        <v>1</v>
      </c>
      <c r="I32" s="25">
        <v>0</v>
      </c>
      <c r="J32" s="25">
        <v>1</v>
      </c>
      <c r="K32" s="25">
        <v>0</v>
      </c>
      <c r="L32" s="3">
        <f t="shared" si="0"/>
        <v>0.8</v>
      </c>
      <c r="M32" s="26" t="str">
        <f t="shared" si="1"/>
        <v>mudah</v>
      </c>
      <c r="N32" s="3">
        <f t="shared" si="2"/>
        <v>0.4</v>
      </c>
      <c r="O32" s="26" t="str">
        <f t="shared" si="3"/>
        <v>soal diterima baik</v>
      </c>
      <c r="P32" s="33"/>
      <c r="Q32" s="26">
        <v>27</v>
      </c>
      <c r="R32" s="25">
        <f t="shared" si="5"/>
        <v>1</v>
      </c>
      <c r="S32" s="25">
        <f t="shared" si="5"/>
        <v>1</v>
      </c>
      <c r="T32" s="25">
        <f t="shared" si="5"/>
        <v>1</v>
      </c>
      <c r="U32" s="25">
        <f t="shared" si="5"/>
        <v>1</v>
      </c>
      <c r="V32" s="25">
        <f t="shared" si="5"/>
        <v>1</v>
      </c>
      <c r="W32" s="25">
        <f t="shared" si="5"/>
        <v>0</v>
      </c>
      <c r="X32" s="25">
        <f t="shared" si="5"/>
        <v>1</v>
      </c>
      <c r="Y32" s="25">
        <f t="shared" si="5"/>
        <v>0</v>
      </c>
      <c r="Z32" s="25">
        <f t="shared" si="5"/>
        <v>0</v>
      </c>
      <c r="AA32" s="25">
        <f t="shared" si="5"/>
        <v>0</v>
      </c>
      <c r="AB32" s="3">
        <f t="shared" si="6"/>
        <v>0.6</v>
      </c>
      <c r="AC32" s="3">
        <f t="shared" si="7"/>
        <v>0.4</v>
      </c>
      <c r="AD32" s="3">
        <f t="shared" si="8"/>
        <v>0.24</v>
      </c>
      <c r="AE32" s="33"/>
    </row>
    <row r="33" spans="1:31" ht="28" x14ac:dyDescent="0.3">
      <c r="A33" s="52" t="s">
        <v>254</v>
      </c>
      <c r="B33" s="25">
        <v>0</v>
      </c>
      <c r="C33" s="25">
        <v>1</v>
      </c>
      <c r="D33" s="25">
        <v>0</v>
      </c>
      <c r="E33" s="25">
        <v>1</v>
      </c>
      <c r="F33" s="25">
        <v>0</v>
      </c>
      <c r="G33" s="25">
        <v>0</v>
      </c>
      <c r="H33" s="25">
        <v>0</v>
      </c>
      <c r="I33" s="25">
        <v>0</v>
      </c>
      <c r="J33" s="25">
        <v>0</v>
      </c>
      <c r="K33" s="25">
        <v>0</v>
      </c>
      <c r="L33" s="3">
        <f t="shared" si="0"/>
        <v>0.2</v>
      </c>
      <c r="M33" s="26" t="str">
        <f t="shared" si="1"/>
        <v>sukar</v>
      </c>
      <c r="N33" s="3">
        <f t="shared" si="2"/>
        <v>0.4</v>
      </c>
      <c r="O33" s="26" t="str">
        <f t="shared" si="3"/>
        <v>soal diterima baik</v>
      </c>
      <c r="P33" s="33"/>
      <c r="Q33" s="26">
        <v>28</v>
      </c>
      <c r="R33" s="25">
        <f t="shared" si="5"/>
        <v>1</v>
      </c>
      <c r="S33" s="25">
        <f t="shared" si="5"/>
        <v>1</v>
      </c>
      <c r="T33" s="25">
        <f t="shared" si="5"/>
        <v>1</v>
      </c>
      <c r="U33" s="25">
        <f t="shared" si="5"/>
        <v>1</v>
      </c>
      <c r="V33" s="25">
        <f t="shared" si="5"/>
        <v>1</v>
      </c>
      <c r="W33" s="25">
        <f t="shared" si="5"/>
        <v>1</v>
      </c>
      <c r="X33" s="25">
        <f t="shared" si="5"/>
        <v>1</v>
      </c>
      <c r="Y33" s="25">
        <f t="shared" si="5"/>
        <v>0</v>
      </c>
      <c r="Z33" s="25">
        <f t="shared" si="5"/>
        <v>1</v>
      </c>
      <c r="AA33" s="25">
        <f t="shared" si="5"/>
        <v>0</v>
      </c>
      <c r="AB33" s="3">
        <f t="shared" si="6"/>
        <v>0.8</v>
      </c>
      <c r="AC33" s="3">
        <f t="shared" si="7"/>
        <v>0.19999999999999996</v>
      </c>
      <c r="AD33" s="3">
        <f t="shared" si="8"/>
        <v>0.15999999999999998</v>
      </c>
      <c r="AE33" s="33"/>
    </row>
    <row r="34" spans="1:31" ht="28" x14ac:dyDescent="0.3">
      <c r="A34" s="53" t="s">
        <v>255</v>
      </c>
      <c r="B34" s="25">
        <v>1</v>
      </c>
      <c r="C34" s="25">
        <v>1</v>
      </c>
      <c r="D34" s="25">
        <v>0</v>
      </c>
      <c r="E34" s="25">
        <v>1</v>
      </c>
      <c r="F34" s="25">
        <v>1</v>
      </c>
      <c r="G34" s="25">
        <v>0</v>
      </c>
      <c r="H34" s="25">
        <v>1</v>
      </c>
      <c r="I34" s="25">
        <v>0</v>
      </c>
      <c r="J34" s="25">
        <v>1</v>
      </c>
      <c r="K34" s="25">
        <v>0</v>
      </c>
      <c r="L34" s="3">
        <f t="shared" si="0"/>
        <v>0.6</v>
      </c>
      <c r="M34" s="26" t="str">
        <f t="shared" si="1"/>
        <v>sedang</v>
      </c>
      <c r="N34" s="3">
        <f t="shared" si="2"/>
        <v>0.4</v>
      </c>
      <c r="O34" s="26" t="str">
        <f t="shared" si="3"/>
        <v>soal diterima baik</v>
      </c>
      <c r="P34" s="33"/>
      <c r="Q34" s="26">
        <v>29</v>
      </c>
      <c r="R34" s="25">
        <f t="shared" si="5"/>
        <v>0</v>
      </c>
      <c r="S34" s="25">
        <f t="shared" si="5"/>
        <v>1</v>
      </c>
      <c r="T34" s="25">
        <f t="shared" si="5"/>
        <v>0</v>
      </c>
      <c r="U34" s="25">
        <f t="shared" si="5"/>
        <v>1</v>
      </c>
      <c r="V34" s="25">
        <f t="shared" si="5"/>
        <v>0</v>
      </c>
      <c r="W34" s="25">
        <f t="shared" si="5"/>
        <v>0</v>
      </c>
      <c r="X34" s="25">
        <f t="shared" si="5"/>
        <v>0</v>
      </c>
      <c r="Y34" s="25">
        <f t="shared" si="5"/>
        <v>0</v>
      </c>
      <c r="Z34" s="25">
        <f t="shared" si="5"/>
        <v>0</v>
      </c>
      <c r="AA34" s="25">
        <f t="shared" si="5"/>
        <v>0</v>
      </c>
      <c r="AB34" s="3">
        <f t="shared" si="6"/>
        <v>0.2</v>
      </c>
      <c r="AC34" s="3">
        <f t="shared" si="7"/>
        <v>0.8</v>
      </c>
      <c r="AD34" s="3">
        <f t="shared" si="8"/>
        <v>0.16000000000000003</v>
      </c>
      <c r="AE34" s="33"/>
    </row>
    <row r="35" spans="1:31" ht="42" x14ac:dyDescent="0.3">
      <c r="A35" s="53" t="s">
        <v>256</v>
      </c>
      <c r="B35" s="25">
        <v>0</v>
      </c>
      <c r="C35" s="25">
        <v>1</v>
      </c>
      <c r="D35" s="25">
        <v>0</v>
      </c>
      <c r="E35" s="25">
        <v>0</v>
      </c>
      <c r="F35" s="25">
        <v>0</v>
      </c>
      <c r="G35" s="25">
        <v>1</v>
      </c>
      <c r="H35" s="25">
        <v>0</v>
      </c>
      <c r="I35" s="25">
        <v>0</v>
      </c>
      <c r="J35" s="25">
        <v>1</v>
      </c>
      <c r="K35" s="25">
        <v>1</v>
      </c>
      <c r="L35" s="3">
        <f t="shared" si="0"/>
        <v>0.4</v>
      </c>
      <c r="M35" s="26" t="str">
        <f t="shared" si="1"/>
        <v>sedang</v>
      </c>
      <c r="N35" s="3">
        <f t="shared" si="2"/>
        <v>0.4</v>
      </c>
      <c r="O35" s="26" t="str">
        <f t="shared" si="3"/>
        <v>soal diterima baik</v>
      </c>
      <c r="P35" s="33"/>
      <c r="Q35" s="26">
        <v>30</v>
      </c>
      <c r="R35" s="25">
        <f t="shared" si="5"/>
        <v>1</v>
      </c>
      <c r="S35" s="25">
        <f t="shared" si="5"/>
        <v>1</v>
      </c>
      <c r="T35" s="25">
        <f t="shared" si="5"/>
        <v>0</v>
      </c>
      <c r="U35" s="25">
        <f t="shared" si="5"/>
        <v>1</v>
      </c>
      <c r="V35" s="25">
        <f t="shared" si="5"/>
        <v>1</v>
      </c>
      <c r="W35" s="25">
        <f t="shared" si="5"/>
        <v>0</v>
      </c>
      <c r="X35" s="25">
        <f t="shared" si="5"/>
        <v>1</v>
      </c>
      <c r="Y35" s="25">
        <f t="shared" si="5"/>
        <v>0</v>
      </c>
      <c r="Z35" s="25">
        <f t="shared" si="5"/>
        <v>1</v>
      </c>
      <c r="AA35" s="25">
        <f t="shared" si="5"/>
        <v>0</v>
      </c>
      <c r="AB35" s="3">
        <f t="shared" si="6"/>
        <v>0.6</v>
      </c>
      <c r="AC35" s="3">
        <f t="shared" si="7"/>
        <v>0.4</v>
      </c>
      <c r="AD35" s="3">
        <f t="shared" si="8"/>
        <v>0.24</v>
      </c>
      <c r="AE35" s="33"/>
    </row>
    <row r="36" spans="1:31" ht="28" x14ac:dyDescent="0.3">
      <c r="A36" s="52" t="s">
        <v>257</v>
      </c>
      <c r="B36" s="25">
        <v>1</v>
      </c>
      <c r="C36" s="25">
        <v>1</v>
      </c>
      <c r="D36" s="25">
        <v>1</v>
      </c>
      <c r="E36" s="25">
        <v>1</v>
      </c>
      <c r="F36" s="25">
        <v>1</v>
      </c>
      <c r="G36" s="25">
        <v>0</v>
      </c>
      <c r="H36" s="25">
        <v>1</v>
      </c>
      <c r="I36" s="25">
        <v>1</v>
      </c>
      <c r="J36" s="25">
        <v>0</v>
      </c>
      <c r="K36" s="25">
        <v>1</v>
      </c>
      <c r="L36" s="3">
        <f t="shared" si="0"/>
        <v>0.8</v>
      </c>
      <c r="M36" s="26" t="str">
        <f t="shared" si="1"/>
        <v>mudah</v>
      </c>
      <c r="N36" s="3">
        <f t="shared" si="2"/>
        <v>0.4</v>
      </c>
      <c r="O36" s="26" t="str">
        <f t="shared" si="3"/>
        <v>soal diterima baik</v>
      </c>
      <c r="P36" s="33"/>
      <c r="Q36" s="26">
        <v>31</v>
      </c>
      <c r="R36" s="25">
        <f t="shared" si="5"/>
        <v>0</v>
      </c>
      <c r="S36" s="25">
        <f t="shared" si="5"/>
        <v>1</v>
      </c>
      <c r="T36" s="25">
        <f t="shared" si="5"/>
        <v>0</v>
      </c>
      <c r="U36" s="25">
        <f t="shared" si="5"/>
        <v>0</v>
      </c>
      <c r="V36" s="25">
        <f t="shared" si="5"/>
        <v>0</v>
      </c>
      <c r="W36" s="25">
        <f t="shared" si="5"/>
        <v>1</v>
      </c>
      <c r="X36" s="25">
        <f t="shared" si="5"/>
        <v>0</v>
      </c>
      <c r="Y36" s="25">
        <f t="shared" si="5"/>
        <v>0</v>
      </c>
      <c r="Z36" s="25">
        <f t="shared" si="5"/>
        <v>1</v>
      </c>
      <c r="AA36" s="25">
        <f t="shared" si="5"/>
        <v>1</v>
      </c>
      <c r="AB36" s="3">
        <f t="shared" si="6"/>
        <v>0.4</v>
      </c>
      <c r="AC36" s="3">
        <f t="shared" si="7"/>
        <v>0.6</v>
      </c>
      <c r="AD36" s="3">
        <f t="shared" si="8"/>
        <v>0.24</v>
      </c>
      <c r="AE36" s="33"/>
    </row>
    <row r="37" spans="1:31" ht="42" x14ac:dyDescent="0.3">
      <c r="A37" s="52" t="s">
        <v>258</v>
      </c>
      <c r="B37" s="25">
        <v>0</v>
      </c>
      <c r="C37" s="25">
        <v>0</v>
      </c>
      <c r="D37" s="25">
        <v>0</v>
      </c>
      <c r="E37" s="25">
        <v>1</v>
      </c>
      <c r="F37" s="25">
        <v>0</v>
      </c>
      <c r="G37" s="25">
        <v>1</v>
      </c>
      <c r="H37" s="25">
        <v>1</v>
      </c>
      <c r="I37" s="25">
        <v>1</v>
      </c>
      <c r="J37" s="25">
        <v>1</v>
      </c>
      <c r="K37" s="25">
        <v>1</v>
      </c>
      <c r="L37" s="3">
        <f t="shared" si="0"/>
        <v>0.6</v>
      </c>
      <c r="M37" s="26" t="str">
        <f t="shared" si="1"/>
        <v>sedang</v>
      </c>
      <c r="N37" s="3">
        <f t="shared" si="2"/>
        <v>0.8</v>
      </c>
      <c r="O37" s="26" t="str">
        <f t="shared" si="3"/>
        <v>soal diterima baik</v>
      </c>
      <c r="P37" s="33"/>
      <c r="Q37" s="26">
        <v>32</v>
      </c>
      <c r="R37" s="25">
        <f t="shared" si="5"/>
        <v>1</v>
      </c>
      <c r="S37" s="25">
        <f t="shared" si="5"/>
        <v>1</v>
      </c>
      <c r="T37" s="25">
        <f t="shared" si="5"/>
        <v>1</v>
      </c>
      <c r="U37" s="25">
        <f t="shared" si="5"/>
        <v>1</v>
      </c>
      <c r="V37" s="25">
        <f t="shared" si="5"/>
        <v>1</v>
      </c>
      <c r="W37" s="25">
        <f t="shared" si="5"/>
        <v>0</v>
      </c>
      <c r="X37" s="25">
        <f t="shared" si="5"/>
        <v>1</v>
      </c>
      <c r="Y37" s="25">
        <f t="shared" si="5"/>
        <v>1</v>
      </c>
      <c r="Z37" s="25">
        <f t="shared" si="5"/>
        <v>0</v>
      </c>
      <c r="AA37" s="25">
        <f t="shared" si="5"/>
        <v>1</v>
      </c>
      <c r="AB37" s="3">
        <f t="shared" si="6"/>
        <v>0.8</v>
      </c>
      <c r="AC37" s="3">
        <f t="shared" si="7"/>
        <v>0.19999999999999996</v>
      </c>
      <c r="AD37" s="3">
        <f t="shared" si="8"/>
        <v>0.15999999999999998</v>
      </c>
      <c r="AE37" s="33"/>
    </row>
    <row r="38" spans="1:31" ht="98" x14ac:dyDescent="0.3">
      <c r="A38" s="53" t="s">
        <v>259</v>
      </c>
      <c r="B38" s="25">
        <v>0</v>
      </c>
      <c r="C38" s="25">
        <v>1</v>
      </c>
      <c r="D38" s="25">
        <v>1</v>
      </c>
      <c r="E38" s="25">
        <v>0</v>
      </c>
      <c r="F38" s="25">
        <v>1</v>
      </c>
      <c r="G38" s="25">
        <v>0</v>
      </c>
      <c r="H38" s="25">
        <v>0</v>
      </c>
      <c r="I38" s="25">
        <v>1</v>
      </c>
      <c r="J38" s="25">
        <v>0</v>
      </c>
      <c r="K38" s="25">
        <v>0</v>
      </c>
      <c r="L38" s="3">
        <f t="shared" si="0"/>
        <v>0.4</v>
      </c>
      <c r="M38" s="26" t="str">
        <f t="shared" si="1"/>
        <v>sedang</v>
      </c>
      <c r="N38" s="3">
        <f t="shared" si="2"/>
        <v>0.4</v>
      </c>
      <c r="O38" s="26" t="str">
        <f t="shared" si="3"/>
        <v>soal diterima baik</v>
      </c>
      <c r="P38" s="33"/>
      <c r="Q38" s="26">
        <v>33</v>
      </c>
      <c r="R38" s="25">
        <f t="shared" si="5"/>
        <v>0</v>
      </c>
      <c r="S38" s="25">
        <f t="shared" si="5"/>
        <v>0</v>
      </c>
      <c r="T38" s="25">
        <f t="shared" si="5"/>
        <v>0</v>
      </c>
      <c r="U38" s="25">
        <f t="shared" si="5"/>
        <v>1</v>
      </c>
      <c r="V38" s="25">
        <f t="shared" si="5"/>
        <v>0</v>
      </c>
      <c r="W38" s="25">
        <f t="shared" si="5"/>
        <v>1</v>
      </c>
      <c r="X38" s="25">
        <f t="shared" si="5"/>
        <v>1</v>
      </c>
      <c r="Y38" s="25">
        <f t="shared" si="5"/>
        <v>1</v>
      </c>
      <c r="Z38" s="25">
        <f t="shared" si="5"/>
        <v>1</v>
      </c>
      <c r="AA38" s="25">
        <f t="shared" si="5"/>
        <v>1</v>
      </c>
      <c r="AB38" s="3">
        <f t="shared" si="6"/>
        <v>0.6</v>
      </c>
      <c r="AC38" s="3">
        <f t="shared" si="7"/>
        <v>0.4</v>
      </c>
      <c r="AD38" s="3">
        <f t="shared" si="8"/>
        <v>0.24</v>
      </c>
      <c r="AE38" s="33"/>
    </row>
    <row r="39" spans="1:31" ht="42" x14ac:dyDescent="0.3">
      <c r="A39" s="54" t="s">
        <v>260</v>
      </c>
      <c r="B39" s="25">
        <v>1</v>
      </c>
      <c r="C39" s="25">
        <v>0</v>
      </c>
      <c r="D39" s="25">
        <v>1</v>
      </c>
      <c r="E39" s="25">
        <v>0</v>
      </c>
      <c r="F39" s="25">
        <v>0</v>
      </c>
      <c r="G39" s="25">
        <v>1</v>
      </c>
      <c r="H39" s="25">
        <v>1</v>
      </c>
      <c r="I39" s="25">
        <v>0</v>
      </c>
      <c r="J39" s="25">
        <v>1</v>
      </c>
      <c r="K39" s="25">
        <v>1</v>
      </c>
      <c r="L39" s="3">
        <f t="shared" si="0"/>
        <v>0.6</v>
      </c>
      <c r="M39" s="26" t="str">
        <f t="shared" si="1"/>
        <v>sedang</v>
      </c>
      <c r="N39" s="3">
        <f t="shared" si="2"/>
        <v>0.4</v>
      </c>
      <c r="O39" s="26" t="str">
        <f t="shared" si="3"/>
        <v>soal diterima baik</v>
      </c>
      <c r="P39" s="33"/>
      <c r="Q39" s="26">
        <v>34</v>
      </c>
      <c r="R39" s="25">
        <f t="shared" si="5"/>
        <v>0</v>
      </c>
      <c r="S39" s="25">
        <f t="shared" si="5"/>
        <v>1</v>
      </c>
      <c r="T39" s="25">
        <f t="shared" si="5"/>
        <v>1</v>
      </c>
      <c r="U39" s="25">
        <f t="shared" si="5"/>
        <v>0</v>
      </c>
      <c r="V39" s="25">
        <f t="shared" si="5"/>
        <v>1</v>
      </c>
      <c r="W39" s="25">
        <f t="shared" si="5"/>
        <v>0</v>
      </c>
      <c r="X39" s="25">
        <f t="shared" si="5"/>
        <v>0</v>
      </c>
      <c r="Y39" s="25">
        <f t="shared" si="5"/>
        <v>1</v>
      </c>
      <c r="Z39" s="25">
        <f t="shared" si="5"/>
        <v>0</v>
      </c>
      <c r="AA39" s="25">
        <f t="shared" si="5"/>
        <v>0</v>
      </c>
      <c r="AB39" s="3">
        <f t="shared" si="6"/>
        <v>0.4</v>
      </c>
      <c r="AC39" s="3">
        <f t="shared" si="7"/>
        <v>0.6</v>
      </c>
      <c r="AD39" s="3">
        <f t="shared" si="8"/>
        <v>0.24</v>
      </c>
      <c r="AE39" s="33"/>
    </row>
    <row r="40" spans="1:31" ht="28" x14ac:dyDescent="0.3">
      <c r="A40" s="52" t="s">
        <v>261</v>
      </c>
      <c r="B40" s="25">
        <v>0</v>
      </c>
      <c r="C40" s="25">
        <v>1</v>
      </c>
      <c r="D40" s="25">
        <v>1</v>
      </c>
      <c r="E40" s="25">
        <v>0</v>
      </c>
      <c r="F40" s="25">
        <v>1</v>
      </c>
      <c r="G40" s="25">
        <v>1</v>
      </c>
      <c r="H40" s="25">
        <v>0</v>
      </c>
      <c r="I40" s="25">
        <v>0</v>
      </c>
      <c r="J40" s="25">
        <v>0</v>
      </c>
      <c r="K40" s="25">
        <v>0</v>
      </c>
      <c r="L40" s="3">
        <f t="shared" si="0"/>
        <v>0.4</v>
      </c>
      <c r="M40" s="26" t="str">
        <f t="shared" si="1"/>
        <v>sedang</v>
      </c>
      <c r="N40" s="3">
        <f t="shared" si="2"/>
        <v>0.4</v>
      </c>
      <c r="O40" s="26" t="str">
        <f t="shared" si="3"/>
        <v>soal diterima baik</v>
      </c>
      <c r="P40" s="33"/>
      <c r="Q40" s="26">
        <v>35</v>
      </c>
      <c r="R40" s="25">
        <f t="shared" si="5"/>
        <v>1</v>
      </c>
      <c r="S40" s="25">
        <f t="shared" si="5"/>
        <v>0</v>
      </c>
      <c r="T40" s="25">
        <f t="shared" si="5"/>
        <v>1</v>
      </c>
      <c r="U40" s="25">
        <f t="shared" si="5"/>
        <v>0</v>
      </c>
      <c r="V40" s="25">
        <f t="shared" si="5"/>
        <v>0</v>
      </c>
      <c r="W40" s="25">
        <f t="shared" si="5"/>
        <v>1</v>
      </c>
      <c r="X40" s="25">
        <f t="shared" si="5"/>
        <v>1</v>
      </c>
      <c r="Y40" s="25">
        <f t="shared" si="5"/>
        <v>0</v>
      </c>
      <c r="Z40" s="25">
        <f t="shared" si="5"/>
        <v>1</v>
      </c>
      <c r="AA40" s="25">
        <f t="shared" si="5"/>
        <v>1</v>
      </c>
      <c r="AB40" s="3">
        <f t="shared" si="6"/>
        <v>0.6</v>
      </c>
      <c r="AC40" s="3">
        <f t="shared" si="7"/>
        <v>0.4</v>
      </c>
      <c r="AD40" s="3">
        <f t="shared" si="8"/>
        <v>0.24</v>
      </c>
      <c r="AE40" s="33"/>
    </row>
    <row r="41" spans="1:31" ht="28" x14ac:dyDescent="0.3">
      <c r="A41" s="52" t="s">
        <v>262</v>
      </c>
      <c r="B41" s="25">
        <v>0</v>
      </c>
      <c r="C41" s="25">
        <v>0</v>
      </c>
      <c r="D41" s="25">
        <v>0</v>
      </c>
      <c r="E41" s="25">
        <v>0</v>
      </c>
      <c r="F41" s="25">
        <v>0</v>
      </c>
      <c r="G41" s="25">
        <v>0</v>
      </c>
      <c r="H41" s="25">
        <v>1</v>
      </c>
      <c r="I41" s="25">
        <v>1</v>
      </c>
      <c r="J41" s="25">
        <v>1</v>
      </c>
      <c r="K41" s="25">
        <v>1</v>
      </c>
      <c r="L41" s="3">
        <f t="shared" si="0"/>
        <v>0.4</v>
      </c>
      <c r="M41" s="26" t="str">
        <f t="shared" si="1"/>
        <v>sedang</v>
      </c>
      <c r="N41" s="3">
        <f t="shared" si="2"/>
        <v>0.8</v>
      </c>
      <c r="O41" s="26" t="str">
        <f t="shared" si="3"/>
        <v>soal diterima baik</v>
      </c>
      <c r="P41" s="33"/>
      <c r="Q41" s="26">
        <v>36</v>
      </c>
      <c r="R41" s="25">
        <f t="shared" si="5"/>
        <v>0</v>
      </c>
      <c r="S41" s="25">
        <f t="shared" si="5"/>
        <v>1</v>
      </c>
      <c r="T41" s="25">
        <f t="shared" si="5"/>
        <v>1</v>
      </c>
      <c r="U41" s="25">
        <f t="shared" si="5"/>
        <v>0</v>
      </c>
      <c r="V41" s="25">
        <f t="shared" si="5"/>
        <v>1</v>
      </c>
      <c r="W41" s="25">
        <f t="shared" si="5"/>
        <v>1</v>
      </c>
      <c r="X41" s="25">
        <f t="shared" si="5"/>
        <v>0</v>
      </c>
      <c r="Y41" s="25">
        <f t="shared" si="5"/>
        <v>0</v>
      </c>
      <c r="Z41" s="25">
        <f t="shared" si="5"/>
        <v>0</v>
      </c>
      <c r="AA41" s="25">
        <f t="shared" si="5"/>
        <v>0</v>
      </c>
      <c r="AB41" s="3">
        <f t="shared" si="6"/>
        <v>0.4</v>
      </c>
      <c r="AC41" s="3">
        <f t="shared" si="7"/>
        <v>0.6</v>
      </c>
      <c r="AD41" s="3">
        <f t="shared" si="8"/>
        <v>0.24</v>
      </c>
      <c r="AE41" s="33"/>
    </row>
    <row r="42" spans="1:31" ht="28" x14ac:dyDescent="0.3">
      <c r="A42" s="54" t="s">
        <v>263</v>
      </c>
      <c r="B42" s="25">
        <v>0</v>
      </c>
      <c r="C42" s="25">
        <v>0</v>
      </c>
      <c r="D42" s="25">
        <v>0</v>
      </c>
      <c r="E42" s="25">
        <v>0</v>
      </c>
      <c r="F42" s="25">
        <v>1</v>
      </c>
      <c r="G42" s="25">
        <v>0</v>
      </c>
      <c r="H42" s="25">
        <v>1</v>
      </c>
      <c r="I42" s="25">
        <v>1</v>
      </c>
      <c r="J42" s="25">
        <v>1</v>
      </c>
      <c r="K42" s="25">
        <v>0</v>
      </c>
      <c r="L42" s="3">
        <f t="shared" si="0"/>
        <v>0.4</v>
      </c>
      <c r="M42" s="26" t="str">
        <f t="shared" si="1"/>
        <v>sedang</v>
      </c>
      <c r="N42" s="3">
        <f t="shared" si="2"/>
        <v>0.4</v>
      </c>
      <c r="O42" s="26" t="str">
        <f t="shared" si="3"/>
        <v>soal diterima baik</v>
      </c>
      <c r="P42" s="33"/>
      <c r="Q42" s="26">
        <v>37</v>
      </c>
      <c r="R42" s="25">
        <f t="shared" si="5"/>
        <v>0</v>
      </c>
      <c r="S42" s="25">
        <f t="shared" si="5"/>
        <v>0</v>
      </c>
      <c r="T42" s="25">
        <f t="shared" si="5"/>
        <v>0</v>
      </c>
      <c r="U42" s="25">
        <f t="shared" si="5"/>
        <v>0</v>
      </c>
      <c r="V42" s="25">
        <f t="shared" si="5"/>
        <v>0</v>
      </c>
      <c r="W42" s="25">
        <f t="shared" si="5"/>
        <v>0</v>
      </c>
      <c r="X42" s="25">
        <f t="shared" si="5"/>
        <v>1</v>
      </c>
      <c r="Y42" s="25">
        <f t="shared" si="5"/>
        <v>1</v>
      </c>
      <c r="Z42" s="25">
        <f t="shared" si="5"/>
        <v>1</v>
      </c>
      <c r="AA42" s="25">
        <f t="shared" si="5"/>
        <v>1</v>
      </c>
      <c r="AB42" s="3">
        <f t="shared" si="6"/>
        <v>0.4</v>
      </c>
      <c r="AC42" s="3">
        <f t="shared" si="7"/>
        <v>0.6</v>
      </c>
      <c r="AD42" s="3">
        <f t="shared" si="8"/>
        <v>0.24</v>
      </c>
      <c r="AE42" s="33"/>
    </row>
    <row r="43" spans="1:31" ht="42" x14ac:dyDescent="0.3">
      <c r="A43" s="53" t="s">
        <v>264</v>
      </c>
      <c r="B43" s="25">
        <v>0</v>
      </c>
      <c r="C43" s="25">
        <v>1</v>
      </c>
      <c r="D43" s="25">
        <v>0</v>
      </c>
      <c r="E43" s="25">
        <v>1</v>
      </c>
      <c r="F43" s="25">
        <v>0</v>
      </c>
      <c r="G43" s="25">
        <v>1</v>
      </c>
      <c r="H43" s="25">
        <v>1</v>
      </c>
      <c r="I43" s="25">
        <v>0</v>
      </c>
      <c r="J43" s="25">
        <v>1</v>
      </c>
      <c r="K43" s="25">
        <v>1</v>
      </c>
      <c r="L43" s="3">
        <f t="shared" si="0"/>
        <v>0.6</v>
      </c>
      <c r="M43" s="26" t="str">
        <f t="shared" si="1"/>
        <v>sedang</v>
      </c>
      <c r="N43" s="3">
        <f t="shared" si="2"/>
        <v>0.4</v>
      </c>
      <c r="O43" s="26" t="str">
        <f t="shared" si="3"/>
        <v>soal diterima baik</v>
      </c>
      <c r="P43" s="33"/>
      <c r="Q43" s="26">
        <v>38</v>
      </c>
      <c r="R43" s="25">
        <f t="shared" si="5"/>
        <v>0</v>
      </c>
      <c r="S43" s="25">
        <f t="shared" si="5"/>
        <v>0</v>
      </c>
      <c r="T43" s="25">
        <f t="shared" si="5"/>
        <v>0</v>
      </c>
      <c r="U43" s="25">
        <f t="shared" si="5"/>
        <v>0</v>
      </c>
      <c r="V43" s="25">
        <f t="shared" si="5"/>
        <v>1</v>
      </c>
      <c r="W43" s="25">
        <f t="shared" si="5"/>
        <v>0</v>
      </c>
      <c r="X43" s="25">
        <f t="shared" si="5"/>
        <v>1</v>
      </c>
      <c r="Y43" s="25">
        <f t="shared" si="5"/>
        <v>1</v>
      </c>
      <c r="Z43" s="25">
        <f t="shared" si="5"/>
        <v>1</v>
      </c>
      <c r="AA43" s="25">
        <f t="shared" si="5"/>
        <v>0</v>
      </c>
      <c r="AB43" s="3">
        <f t="shared" si="6"/>
        <v>0.4</v>
      </c>
      <c r="AC43" s="3">
        <f t="shared" si="7"/>
        <v>0.6</v>
      </c>
      <c r="AD43" s="3">
        <f t="shared" si="8"/>
        <v>0.24</v>
      </c>
      <c r="AE43" s="33"/>
    </row>
    <row r="44" spans="1:31" ht="42" x14ac:dyDescent="0.3">
      <c r="A44" s="52" t="s">
        <v>265</v>
      </c>
      <c r="B44" s="25">
        <v>0</v>
      </c>
      <c r="C44" s="25">
        <v>0</v>
      </c>
      <c r="D44" s="25">
        <v>0</v>
      </c>
      <c r="E44" s="25">
        <v>1</v>
      </c>
      <c r="F44" s="25">
        <v>0</v>
      </c>
      <c r="G44" s="25">
        <v>1</v>
      </c>
      <c r="H44" s="25">
        <v>1</v>
      </c>
      <c r="I44" s="25">
        <v>1</v>
      </c>
      <c r="J44" s="25">
        <v>1</v>
      </c>
      <c r="K44" s="25">
        <v>1</v>
      </c>
      <c r="L44" s="3">
        <f t="shared" si="0"/>
        <v>0.6</v>
      </c>
      <c r="M44" s="26" t="str">
        <f t="shared" si="1"/>
        <v>sedang</v>
      </c>
      <c r="N44" s="3">
        <f t="shared" si="2"/>
        <v>0.8</v>
      </c>
      <c r="O44" s="26" t="str">
        <f t="shared" si="3"/>
        <v>soal diterima baik</v>
      </c>
      <c r="P44" s="33"/>
      <c r="Q44" s="26">
        <v>39</v>
      </c>
      <c r="R44" s="25">
        <f t="shared" si="5"/>
        <v>0</v>
      </c>
      <c r="S44" s="25">
        <f t="shared" si="5"/>
        <v>1</v>
      </c>
      <c r="T44" s="25">
        <f t="shared" si="5"/>
        <v>0</v>
      </c>
      <c r="U44" s="25">
        <f t="shared" si="5"/>
        <v>1</v>
      </c>
      <c r="V44" s="25">
        <f t="shared" si="5"/>
        <v>0</v>
      </c>
      <c r="W44" s="25">
        <f t="shared" si="5"/>
        <v>1</v>
      </c>
      <c r="X44" s="25">
        <f t="shared" si="5"/>
        <v>1</v>
      </c>
      <c r="Y44" s="25">
        <f t="shared" si="5"/>
        <v>0</v>
      </c>
      <c r="Z44" s="25">
        <f t="shared" si="5"/>
        <v>1</v>
      </c>
      <c r="AA44" s="25">
        <f t="shared" si="5"/>
        <v>1</v>
      </c>
      <c r="AB44" s="3">
        <f t="shared" si="6"/>
        <v>0.6</v>
      </c>
      <c r="AC44" s="3">
        <f t="shared" si="7"/>
        <v>0.4</v>
      </c>
      <c r="AD44" s="3">
        <f t="shared" si="8"/>
        <v>0.24</v>
      </c>
      <c r="AE44" s="33"/>
    </row>
    <row r="45" spans="1:31" ht="42" x14ac:dyDescent="0.3">
      <c r="A45" s="53" t="s">
        <v>266</v>
      </c>
      <c r="B45" s="25">
        <v>0</v>
      </c>
      <c r="C45" s="25">
        <v>0</v>
      </c>
      <c r="D45" s="25">
        <v>0</v>
      </c>
      <c r="E45" s="25">
        <v>0</v>
      </c>
      <c r="F45" s="25">
        <v>0</v>
      </c>
      <c r="G45" s="25">
        <v>0</v>
      </c>
      <c r="H45" s="25">
        <v>1</v>
      </c>
      <c r="I45" s="25">
        <v>0</v>
      </c>
      <c r="J45" s="25">
        <v>0</v>
      </c>
      <c r="K45" s="25">
        <v>1</v>
      </c>
      <c r="L45" s="3">
        <f t="shared" si="0"/>
        <v>0.2</v>
      </c>
      <c r="M45" s="26" t="str">
        <f t="shared" si="1"/>
        <v>sukar</v>
      </c>
      <c r="N45" s="3">
        <f t="shared" si="2"/>
        <v>0.4</v>
      </c>
      <c r="O45" s="26" t="str">
        <f t="shared" si="3"/>
        <v>soal diterima baik</v>
      </c>
      <c r="P45" s="33"/>
      <c r="Q45" s="26">
        <v>40</v>
      </c>
      <c r="R45" s="25">
        <f t="shared" si="5"/>
        <v>0</v>
      </c>
      <c r="S45" s="25">
        <f t="shared" si="5"/>
        <v>0</v>
      </c>
      <c r="T45" s="25">
        <f t="shared" si="5"/>
        <v>0</v>
      </c>
      <c r="U45" s="25">
        <f t="shared" si="5"/>
        <v>1</v>
      </c>
      <c r="V45" s="25">
        <f t="shared" si="5"/>
        <v>0</v>
      </c>
      <c r="W45" s="25">
        <f t="shared" si="5"/>
        <v>1</v>
      </c>
      <c r="X45" s="25">
        <f t="shared" si="5"/>
        <v>1</v>
      </c>
      <c r="Y45" s="25">
        <f t="shared" si="5"/>
        <v>1</v>
      </c>
      <c r="Z45" s="25">
        <f t="shared" si="5"/>
        <v>1</v>
      </c>
      <c r="AA45" s="25">
        <f t="shared" si="5"/>
        <v>1</v>
      </c>
      <c r="AB45" s="3">
        <f t="shared" si="6"/>
        <v>0.6</v>
      </c>
      <c r="AC45" s="3">
        <f t="shared" si="7"/>
        <v>0.4</v>
      </c>
      <c r="AD45" s="3">
        <f t="shared" si="8"/>
        <v>0.24</v>
      </c>
      <c r="AE45" s="33"/>
    </row>
    <row r="46" spans="1:31" ht="28" x14ac:dyDescent="0.3">
      <c r="A46" s="52" t="s">
        <v>267</v>
      </c>
      <c r="B46" s="25">
        <v>0</v>
      </c>
      <c r="C46" s="25">
        <v>0</v>
      </c>
      <c r="D46" s="25">
        <v>0</v>
      </c>
      <c r="E46" s="25">
        <v>0</v>
      </c>
      <c r="F46" s="25">
        <v>0</v>
      </c>
      <c r="G46" s="25">
        <v>1</v>
      </c>
      <c r="H46" s="25">
        <v>0</v>
      </c>
      <c r="I46" s="25">
        <v>1</v>
      </c>
      <c r="J46" s="25">
        <v>1</v>
      </c>
      <c r="K46" s="25">
        <v>1</v>
      </c>
      <c r="L46" s="3">
        <f t="shared" si="0"/>
        <v>0.4</v>
      </c>
      <c r="M46" s="26" t="str">
        <f t="shared" si="1"/>
        <v>sedang</v>
      </c>
      <c r="N46" s="3">
        <f t="shared" si="2"/>
        <v>0.8</v>
      </c>
      <c r="O46" s="26" t="str">
        <f t="shared" si="3"/>
        <v>soal diterima baik</v>
      </c>
      <c r="P46" s="33"/>
      <c r="Q46" s="26">
        <v>41</v>
      </c>
      <c r="R46" s="25">
        <f t="shared" ref="R46:AA71" si="9">B45</f>
        <v>0</v>
      </c>
      <c r="S46" s="25">
        <f t="shared" si="9"/>
        <v>0</v>
      </c>
      <c r="T46" s="25">
        <f t="shared" si="9"/>
        <v>0</v>
      </c>
      <c r="U46" s="25">
        <f t="shared" si="9"/>
        <v>0</v>
      </c>
      <c r="V46" s="25">
        <f t="shared" si="9"/>
        <v>0</v>
      </c>
      <c r="W46" s="25">
        <f t="shared" si="9"/>
        <v>0</v>
      </c>
      <c r="X46" s="25">
        <f t="shared" si="9"/>
        <v>1</v>
      </c>
      <c r="Y46" s="25">
        <f t="shared" si="9"/>
        <v>0</v>
      </c>
      <c r="Z46" s="25">
        <f t="shared" si="9"/>
        <v>0</v>
      </c>
      <c r="AA46" s="25">
        <f t="shared" si="9"/>
        <v>1</v>
      </c>
      <c r="AB46" s="3">
        <f t="shared" si="6"/>
        <v>0.2</v>
      </c>
      <c r="AC46" s="3">
        <f t="shared" si="7"/>
        <v>0.8</v>
      </c>
      <c r="AD46" s="3">
        <f t="shared" si="8"/>
        <v>0.16000000000000003</v>
      </c>
      <c r="AE46" s="33"/>
    </row>
    <row r="47" spans="1:31" ht="28" x14ac:dyDescent="0.3">
      <c r="A47" s="54" t="s">
        <v>268</v>
      </c>
      <c r="B47" s="25">
        <v>0</v>
      </c>
      <c r="C47" s="25">
        <v>0</v>
      </c>
      <c r="D47" s="25">
        <v>0</v>
      </c>
      <c r="E47" s="25">
        <v>0</v>
      </c>
      <c r="F47" s="25">
        <v>0</v>
      </c>
      <c r="G47" s="25">
        <v>0</v>
      </c>
      <c r="H47" s="25">
        <v>1</v>
      </c>
      <c r="I47" s="25">
        <v>1</v>
      </c>
      <c r="J47" s="25">
        <v>1</v>
      </c>
      <c r="K47" s="25">
        <v>1</v>
      </c>
      <c r="L47" s="3">
        <f t="shared" si="0"/>
        <v>0.4</v>
      </c>
      <c r="M47" s="26" t="str">
        <f t="shared" si="1"/>
        <v>sedang</v>
      </c>
      <c r="N47" s="3">
        <f t="shared" si="2"/>
        <v>0.8</v>
      </c>
      <c r="O47" s="26" t="str">
        <f t="shared" si="3"/>
        <v>soal diterima baik</v>
      </c>
      <c r="P47" s="33"/>
      <c r="Q47" s="26">
        <v>42</v>
      </c>
      <c r="R47" s="25">
        <f t="shared" si="9"/>
        <v>0</v>
      </c>
      <c r="S47" s="25">
        <f t="shared" si="9"/>
        <v>0</v>
      </c>
      <c r="T47" s="25">
        <f t="shared" si="9"/>
        <v>0</v>
      </c>
      <c r="U47" s="25">
        <f t="shared" si="9"/>
        <v>0</v>
      </c>
      <c r="V47" s="25">
        <f t="shared" si="9"/>
        <v>0</v>
      </c>
      <c r="W47" s="25">
        <f t="shared" si="9"/>
        <v>1</v>
      </c>
      <c r="X47" s="25">
        <f t="shared" si="9"/>
        <v>0</v>
      </c>
      <c r="Y47" s="25">
        <f t="shared" si="9"/>
        <v>1</v>
      </c>
      <c r="Z47" s="25">
        <f t="shared" si="9"/>
        <v>1</v>
      </c>
      <c r="AA47" s="25">
        <f t="shared" si="9"/>
        <v>1</v>
      </c>
      <c r="AB47" s="3">
        <f t="shared" si="6"/>
        <v>0.4</v>
      </c>
      <c r="AC47" s="3">
        <f t="shared" si="7"/>
        <v>0.6</v>
      </c>
      <c r="AD47" s="3">
        <f t="shared" si="8"/>
        <v>0.24</v>
      </c>
      <c r="AE47" s="33"/>
    </row>
    <row r="48" spans="1:31" ht="70" x14ac:dyDescent="0.3">
      <c r="A48" s="52" t="s">
        <v>316</v>
      </c>
      <c r="B48" s="25">
        <v>0</v>
      </c>
      <c r="C48" s="25">
        <v>1</v>
      </c>
      <c r="D48" s="25">
        <v>1</v>
      </c>
      <c r="E48" s="25">
        <v>1</v>
      </c>
      <c r="F48" s="25">
        <v>1</v>
      </c>
      <c r="G48" s="25">
        <v>0</v>
      </c>
      <c r="H48" s="25">
        <v>1</v>
      </c>
      <c r="I48" s="25">
        <v>1</v>
      </c>
      <c r="J48" s="25">
        <v>0</v>
      </c>
      <c r="K48" s="25">
        <v>0</v>
      </c>
      <c r="L48" s="3">
        <f t="shared" si="0"/>
        <v>0.6</v>
      </c>
      <c r="M48" s="26" t="str">
        <f t="shared" si="1"/>
        <v>sedang</v>
      </c>
      <c r="N48" s="3">
        <f t="shared" si="2"/>
        <v>0.4</v>
      </c>
      <c r="O48" s="26" t="str">
        <f t="shared" si="3"/>
        <v>soal diterima baik</v>
      </c>
      <c r="P48" s="33"/>
      <c r="Q48" s="26">
        <v>43</v>
      </c>
      <c r="R48" s="25">
        <f t="shared" si="9"/>
        <v>0</v>
      </c>
      <c r="S48" s="25">
        <f t="shared" si="9"/>
        <v>0</v>
      </c>
      <c r="T48" s="25">
        <f t="shared" si="9"/>
        <v>0</v>
      </c>
      <c r="U48" s="25">
        <f t="shared" si="9"/>
        <v>0</v>
      </c>
      <c r="V48" s="25">
        <f t="shared" si="9"/>
        <v>0</v>
      </c>
      <c r="W48" s="25">
        <f t="shared" si="9"/>
        <v>0</v>
      </c>
      <c r="X48" s="25">
        <f t="shared" si="9"/>
        <v>1</v>
      </c>
      <c r="Y48" s="25">
        <f t="shared" si="9"/>
        <v>1</v>
      </c>
      <c r="Z48" s="25">
        <f t="shared" si="9"/>
        <v>1</v>
      </c>
      <c r="AA48" s="25">
        <f t="shared" si="9"/>
        <v>1</v>
      </c>
      <c r="AB48" s="3">
        <f t="shared" si="6"/>
        <v>0.4</v>
      </c>
      <c r="AC48" s="3">
        <f t="shared" si="7"/>
        <v>0.6</v>
      </c>
      <c r="AD48" s="3">
        <f t="shared" si="8"/>
        <v>0.24</v>
      </c>
      <c r="AE48" s="33"/>
    </row>
    <row r="49" spans="1:31" ht="28" x14ac:dyDescent="0.3">
      <c r="A49" s="54" t="s">
        <v>317</v>
      </c>
      <c r="B49" s="25">
        <v>0</v>
      </c>
      <c r="C49" s="25">
        <v>1</v>
      </c>
      <c r="D49" s="25">
        <v>0</v>
      </c>
      <c r="E49" s="25">
        <v>1</v>
      </c>
      <c r="F49" s="25">
        <v>1</v>
      </c>
      <c r="G49" s="25">
        <v>1</v>
      </c>
      <c r="H49" s="25">
        <v>1</v>
      </c>
      <c r="I49" s="25">
        <v>1</v>
      </c>
      <c r="J49" s="25">
        <v>1</v>
      </c>
      <c r="K49" s="25">
        <v>1</v>
      </c>
      <c r="L49" s="3">
        <f t="shared" si="0"/>
        <v>0.8</v>
      </c>
      <c r="M49" s="26" t="str">
        <f t="shared" si="1"/>
        <v>mudah</v>
      </c>
      <c r="N49" s="3">
        <f t="shared" si="2"/>
        <v>0.4</v>
      </c>
      <c r="O49" s="26" t="str">
        <f t="shared" si="3"/>
        <v>soal diterima baik</v>
      </c>
      <c r="P49" s="33"/>
      <c r="Q49" s="26">
        <v>44</v>
      </c>
      <c r="R49" s="25">
        <f t="shared" si="9"/>
        <v>0</v>
      </c>
      <c r="S49" s="25">
        <f t="shared" si="9"/>
        <v>1</v>
      </c>
      <c r="T49" s="25">
        <f t="shared" si="9"/>
        <v>1</v>
      </c>
      <c r="U49" s="25">
        <f t="shared" si="9"/>
        <v>1</v>
      </c>
      <c r="V49" s="25">
        <f t="shared" si="9"/>
        <v>1</v>
      </c>
      <c r="W49" s="25">
        <f t="shared" si="9"/>
        <v>0</v>
      </c>
      <c r="X49" s="25">
        <f t="shared" si="9"/>
        <v>1</v>
      </c>
      <c r="Y49" s="25">
        <f t="shared" si="9"/>
        <v>1</v>
      </c>
      <c r="Z49" s="25">
        <f t="shared" si="9"/>
        <v>0</v>
      </c>
      <c r="AA49" s="25">
        <f t="shared" si="9"/>
        <v>0</v>
      </c>
      <c r="AB49" s="3">
        <f t="shared" si="6"/>
        <v>0.6</v>
      </c>
      <c r="AC49" s="3">
        <f t="shared" si="7"/>
        <v>0.4</v>
      </c>
      <c r="AD49" s="3">
        <f t="shared" si="8"/>
        <v>0.24</v>
      </c>
      <c r="AE49" s="33"/>
    </row>
    <row r="50" spans="1:31" ht="42" x14ac:dyDescent="0.3">
      <c r="A50" s="54" t="s">
        <v>318</v>
      </c>
      <c r="B50" s="25">
        <v>0</v>
      </c>
      <c r="C50" s="25">
        <v>1</v>
      </c>
      <c r="D50" s="25">
        <v>0</v>
      </c>
      <c r="E50" s="25">
        <v>0</v>
      </c>
      <c r="F50" s="25">
        <v>0</v>
      </c>
      <c r="G50" s="25">
        <v>0</v>
      </c>
      <c r="H50" s="25">
        <v>1</v>
      </c>
      <c r="I50" s="25">
        <v>0</v>
      </c>
      <c r="J50" s="25">
        <v>1</v>
      </c>
      <c r="K50" s="25">
        <v>1</v>
      </c>
      <c r="L50" s="3">
        <f t="shared" si="0"/>
        <v>0.4</v>
      </c>
      <c r="M50" s="26" t="str">
        <f t="shared" si="1"/>
        <v>sedang</v>
      </c>
      <c r="N50" s="3">
        <f t="shared" si="2"/>
        <v>0.4</v>
      </c>
      <c r="O50" s="26" t="str">
        <f t="shared" si="3"/>
        <v>soal diterima baik</v>
      </c>
      <c r="P50" s="33"/>
      <c r="Q50" s="26">
        <v>45</v>
      </c>
      <c r="R50" s="25">
        <f t="shared" si="9"/>
        <v>0</v>
      </c>
      <c r="S50" s="25">
        <f t="shared" si="9"/>
        <v>1</v>
      </c>
      <c r="T50" s="25">
        <f t="shared" si="9"/>
        <v>0</v>
      </c>
      <c r="U50" s="25">
        <f t="shared" si="9"/>
        <v>1</v>
      </c>
      <c r="V50" s="25">
        <f t="shared" si="9"/>
        <v>1</v>
      </c>
      <c r="W50" s="25">
        <f t="shared" si="9"/>
        <v>1</v>
      </c>
      <c r="X50" s="25">
        <f t="shared" si="9"/>
        <v>1</v>
      </c>
      <c r="Y50" s="25">
        <f t="shared" si="9"/>
        <v>1</v>
      </c>
      <c r="Z50" s="25">
        <f t="shared" si="9"/>
        <v>1</v>
      </c>
      <c r="AA50" s="25">
        <f t="shared" si="9"/>
        <v>1</v>
      </c>
      <c r="AB50" s="3">
        <f t="shared" si="6"/>
        <v>0.8</v>
      </c>
      <c r="AC50" s="3">
        <f t="shared" si="7"/>
        <v>0.19999999999999996</v>
      </c>
      <c r="AD50" s="3">
        <f t="shared" si="8"/>
        <v>0.15999999999999998</v>
      </c>
      <c r="AE50" s="33"/>
    </row>
    <row r="51" spans="1:31" ht="28" x14ac:dyDescent="0.3">
      <c r="A51" s="52" t="s">
        <v>269</v>
      </c>
      <c r="B51" s="25">
        <v>0</v>
      </c>
      <c r="C51" s="25">
        <v>0</v>
      </c>
      <c r="D51" s="25">
        <v>1</v>
      </c>
      <c r="E51" s="25">
        <v>0</v>
      </c>
      <c r="F51" s="25">
        <v>1</v>
      </c>
      <c r="G51" s="25">
        <v>1</v>
      </c>
      <c r="H51" s="25">
        <v>1</v>
      </c>
      <c r="I51" s="25">
        <v>1</v>
      </c>
      <c r="J51" s="25">
        <v>1</v>
      </c>
      <c r="K51" s="25">
        <v>0</v>
      </c>
      <c r="L51" s="3">
        <f t="shared" si="0"/>
        <v>0.6</v>
      </c>
      <c r="M51" s="26" t="str">
        <f t="shared" si="1"/>
        <v>sedang</v>
      </c>
      <c r="N51" s="3">
        <f t="shared" si="2"/>
        <v>0.4</v>
      </c>
      <c r="O51" s="26" t="str">
        <f t="shared" si="3"/>
        <v>soal diterima baik</v>
      </c>
      <c r="P51" s="33"/>
      <c r="Q51" s="26">
        <v>46</v>
      </c>
      <c r="R51" s="25">
        <f t="shared" si="9"/>
        <v>0</v>
      </c>
      <c r="S51" s="25">
        <f t="shared" si="9"/>
        <v>1</v>
      </c>
      <c r="T51" s="25">
        <f t="shared" si="9"/>
        <v>0</v>
      </c>
      <c r="U51" s="25">
        <f t="shared" si="9"/>
        <v>0</v>
      </c>
      <c r="V51" s="25">
        <f t="shared" si="9"/>
        <v>0</v>
      </c>
      <c r="W51" s="25">
        <f t="shared" si="9"/>
        <v>0</v>
      </c>
      <c r="X51" s="25">
        <f t="shared" si="9"/>
        <v>1</v>
      </c>
      <c r="Y51" s="25">
        <f t="shared" si="9"/>
        <v>0</v>
      </c>
      <c r="Z51" s="25">
        <f t="shared" si="9"/>
        <v>1</v>
      </c>
      <c r="AA51" s="25">
        <f t="shared" si="9"/>
        <v>1</v>
      </c>
      <c r="AB51" s="3">
        <f t="shared" si="6"/>
        <v>0.4</v>
      </c>
      <c r="AC51" s="3">
        <f t="shared" si="7"/>
        <v>0.6</v>
      </c>
      <c r="AD51" s="3">
        <f t="shared" si="8"/>
        <v>0.24</v>
      </c>
      <c r="AE51" s="33"/>
    </row>
    <row r="52" spans="1:31" ht="84" x14ac:dyDescent="0.3">
      <c r="A52" s="53" t="s">
        <v>319</v>
      </c>
      <c r="B52" s="25">
        <v>0</v>
      </c>
      <c r="C52" s="25">
        <v>0</v>
      </c>
      <c r="D52" s="25">
        <v>0</v>
      </c>
      <c r="E52" s="25">
        <v>1</v>
      </c>
      <c r="F52" s="25">
        <v>0</v>
      </c>
      <c r="G52" s="25">
        <v>1</v>
      </c>
      <c r="H52" s="25">
        <v>1</v>
      </c>
      <c r="I52" s="25">
        <v>1</v>
      </c>
      <c r="J52" s="25">
        <v>1</v>
      </c>
      <c r="K52" s="25">
        <v>1</v>
      </c>
      <c r="L52" s="3">
        <f t="shared" si="0"/>
        <v>0.6</v>
      </c>
      <c r="M52" s="26" t="str">
        <f t="shared" si="1"/>
        <v>sedang</v>
      </c>
      <c r="N52" s="3">
        <f t="shared" si="2"/>
        <v>0.8</v>
      </c>
      <c r="O52" s="26" t="str">
        <f t="shared" si="3"/>
        <v>soal diterima baik</v>
      </c>
      <c r="P52" s="33"/>
      <c r="Q52" s="26">
        <v>47</v>
      </c>
      <c r="R52" s="25">
        <f t="shared" si="9"/>
        <v>0</v>
      </c>
      <c r="S52" s="25">
        <f t="shared" si="9"/>
        <v>0</v>
      </c>
      <c r="T52" s="25">
        <f t="shared" si="9"/>
        <v>1</v>
      </c>
      <c r="U52" s="25">
        <f t="shared" si="9"/>
        <v>0</v>
      </c>
      <c r="V52" s="25">
        <f t="shared" si="9"/>
        <v>1</v>
      </c>
      <c r="W52" s="25">
        <f t="shared" si="9"/>
        <v>1</v>
      </c>
      <c r="X52" s="25">
        <f t="shared" si="9"/>
        <v>1</v>
      </c>
      <c r="Y52" s="25">
        <f t="shared" si="9"/>
        <v>1</v>
      </c>
      <c r="Z52" s="25">
        <f t="shared" si="9"/>
        <v>1</v>
      </c>
      <c r="AA52" s="25">
        <f t="shared" si="9"/>
        <v>0</v>
      </c>
      <c r="AB52" s="3">
        <f t="shared" si="6"/>
        <v>0.6</v>
      </c>
      <c r="AC52" s="3">
        <f t="shared" si="7"/>
        <v>0.4</v>
      </c>
      <c r="AD52" s="3">
        <f t="shared" si="8"/>
        <v>0.24</v>
      </c>
      <c r="AE52" s="33"/>
    </row>
    <row r="53" spans="1:31" ht="28" x14ac:dyDescent="0.3">
      <c r="A53" s="53" t="s">
        <v>270</v>
      </c>
      <c r="B53" s="25">
        <v>0</v>
      </c>
      <c r="C53" s="25">
        <v>1</v>
      </c>
      <c r="D53" s="25">
        <v>0</v>
      </c>
      <c r="E53" s="25">
        <v>1</v>
      </c>
      <c r="F53" s="25">
        <v>1</v>
      </c>
      <c r="G53" s="25">
        <v>0</v>
      </c>
      <c r="H53" s="25">
        <v>1</v>
      </c>
      <c r="I53" s="25">
        <v>0</v>
      </c>
      <c r="J53" s="25">
        <v>0</v>
      </c>
      <c r="K53" s="25">
        <v>0</v>
      </c>
      <c r="L53" s="3">
        <f t="shared" si="0"/>
        <v>0.4</v>
      </c>
      <c r="M53" s="26" t="str">
        <f t="shared" si="1"/>
        <v>sedang</v>
      </c>
      <c r="N53" s="3">
        <f t="shared" si="2"/>
        <v>0.4</v>
      </c>
      <c r="O53" s="26" t="str">
        <f t="shared" si="3"/>
        <v>soal diterima baik</v>
      </c>
      <c r="P53" s="33"/>
      <c r="Q53" s="26">
        <v>48</v>
      </c>
      <c r="R53" s="25">
        <f t="shared" si="9"/>
        <v>0</v>
      </c>
      <c r="S53" s="25">
        <f t="shared" si="9"/>
        <v>0</v>
      </c>
      <c r="T53" s="25">
        <f t="shared" si="9"/>
        <v>0</v>
      </c>
      <c r="U53" s="25">
        <f t="shared" si="9"/>
        <v>1</v>
      </c>
      <c r="V53" s="25">
        <f t="shared" si="9"/>
        <v>0</v>
      </c>
      <c r="W53" s="25">
        <f t="shared" si="9"/>
        <v>1</v>
      </c>
      <c r="X53" s="25">
        <f t="shared" si="9"/>
        <v>1</v>
      </c>
      <c r="Y53" s="25">
        <f t="shared" si="9"/>
        <v>1</v>
      </c>
      <c r="Z53" s="25">
        <f t="shared" si="9"/>
        <v>1</v>
      </c>
      <c r="AA53" s="25">
        <f t="shared" si="9"/>
        <v>1</v>
      </c>
      <c r="AB53" s="3">
        <f t="shared" si="6"/>
        <v>0.6</v>
      </c>
      <c r="AC53" s="3">
        <f t="shared" si="7"/>
        <v>0.4</v>
      </c>
      <c r="AD53" s="3">
        <f t="shared" si="8"/>
        <v>0.24</v>
      </c>
      <c r="AE53" s="33"/>
    </row>
    <row r="54" spans="1:31" ht="28" x14ac:dyDescent="0.3">
      <c r="A54" s="53" t="s">
        <v>271</v>
      </c>
      <c r="B54" s="25">
        <v>0</v>
      </c>
      <c r="C54" s="25">
        <v>1</v>
      </c>
      <c r="D54" s="25">
        <v>0</v>
      </c>
      <c r="E54" s="25">
        <v>1</v>
      </c>
      <c r="F54" s="25">
        <v>1</v>
      </c>
      <c r="G54" s="25">
        <v>1</v>
      </c>
      <c r="H54" s="25">
        <v>1</v>
      </c>
      <c r="I54" s="25">
        <v>1</v>
      </c>
      <c r="J54" s="25">
        <v>1</v>
      </c>
      <c r="K54" s="25">
        <v>1</v>
      </c>
      <c r="L54" s="3">
        <f t="shared" si="0"/>
        <v>0.8</v>
      </c>
      <c r="M54" s="26" t="str">
        <f t="shared" si="1"/>
        <v>mudah</v>
      </c>
      <c r="N54" s="3">
        <f t="shared" si="2"/>
        <v>0.4</v>
      </c>
      <c r="O54" s="26" t="str">
        <f t="shared" si="3"/>
        <v>soal diterima baik</v>
      </c>
      <c r="P54" s="33"/>
      <c r="Q54" s="26">
        <v>49</v>
      </c>
      <c r="R54" s="25">
        <f t="shared" si="9"/>
        <v>0</v>
      </c>
      <c r="S54" s="25">
        <f t="shared" si="9"/>
        <v>1</v>
      </c>
      <c r="T54" s="25">
        <f t="shared" si="9"/>
        <v>0</v>
      </c>
      <c r="U54" s="25">
        <f t="shared" si="9"/>
        <v>1</v>
      </c>
      <c r="V54" s="25">
        <f t="shared" si="9"/>
        <v>1</v>
      </c>
      <c r="W54" s="25">
        <f t="shared" si="9"/>
        <v>0</v>
      </c>
      <c r="X54" s="25">
        <f t="shared" si="9"/>
        <v>1</v>
      </c>
      <c r="Y54" s="25">
        <f t="shared" si="9"/>
        <v>0</v>
      </c>
      <c r="Z54" s="25">
        <f t="shared" si="9"/>
        <v>0</v>
      </c>
      <c r="AA54" s="25">
        <f t="shared" si="9"/>
        <v>0</v>
      </c>
      <c r="AB54" s="3">
        <f t="shared" si="6"/>
        <v>0.4</v>
      </c>
      <c r="AC54" s="3">
        <f t="shared" si="7"/>
        <v>0.6</v>
      </c>
      <c r="AD54" s="3">
        <f t="shared" si="8"/>
        <v>0.24</v>
      </c>
      <c r="AE54" s="33"/>
    </row>
    <row r="55" spans="1:31" ht="28" x14ac:dyDescent="0.3">
      <c r="A55" s="54" t="s">
        <v>272</v>
      </c>
      <c r="B55" s="25">
        <v>1</v>
      </c>
      <c r="C55" s="25">
        <v>0</v>
      </c>
      <c r="D55" s="25">
        <v>0</v>
      </c>
      <c r="E55" s="25">
        <v>0</v>
      </c>
      <c r="F55" s="25">
        <v>1</v>
      </c>
      <c r="G55" s="25">
        <v>0</v>
      </c>
      <c r="H55" s="25">
        <v>0</v>
      </c>
      <c r="I55" s="25">
        <v>0</v>
      </c>
      <c r="J55" s="25">
        <v>0</v>
      </c>
      <c r="K55" s="25">
        <v>0</v>
      </c>
      <c r="L55" s="3">
        <f t="shared" si="0"/>
        <v>0.2</v>
      </c>
      <c r="M55" s="26" t="str">
        <f t="shared" si="1"/>
        <v>sukar</v>
      </c>
      <c r="N55" s="3">
        <f t="shared" si="2"/>
        <v>0.4</v>
      </c>
      <c r="O55" s="26" t="str">
        <f t="shared" si="3"/>
        <v>soal diterima baik</v>
      </c>
      <c r="P55" s="33"/>
      <c r="Q55" s="26">
        <v>50</v>
      </c>
      <c r="R55" s="25">
        <f t="shared" si="9"/>
        <v>0</v>
      </c>
      <c r="S55" s="25">
        <f t="shared" si="9"/>
        <v>1</v>
      </c>
      <c r="T55" s="25">
        <f t="shared" si="9"/>
        <v>0</v>
      </c>
      <c r="U55" s="25">
        <f t="shared" si="9"/>
        <v>1</v>
      </c>
      <c r="V55" s="25">
        <f t="shared" si="9"/>
        <v>1</v>
      </c>
      <c r="W55" s="25">
        <f t="shared" si="9"/>
        <v>1</v>
      </c>
      <c r="X55" s="25">
        <f t="shared" si="9"/>
        <v>1</v>
      </c>
      <c r="Y55" s="25">
        <f t="shared" si="9"/>
        <v>1</v>
      </c>
      <c r="Z55" s="25">
        <f t="shared" si="9"/>
        <v>1</v>
      </c>
      <c r="AA55" s="25">
        <f t="shared" si="9"/>
        <v>1</v>
      </c>
      <c r="AB55" s="3">
        <f t="shared" si="6"/>
        <v>0.8</v>
      </c>
      <c r="AC55" s="3">
        <f t="shared" si="7"/>
        <v>0.19999999999999996</v>
      </c>
      <c r="AD55" s="3">
        <f t="shared" si="8"/>
        <v>0.15999999999999998</v>
      </c>
      <c r="AE55" s="33"/>
    </row>
    <row r="56" spans="1:31" ht="42" x14ac:dyDescent="0.3">
      <c r="A56" s="54" t="s">
        <v>273</v>
      </c>
      <c r="B56" s="25">
        <v>1</v>
      </c>
      <c r="C56" s="25">
        <v>1</v>
      </c>
      <c r="D56" s="25">
        <v>1</v>
      </c>
      <c r="E56" s="25">
        <v>1</v>
      </c>
      <c r="F56" s="25">
        <v>1</v>
      </c>
      <c r="G56" s="25">
        <v>1</v>
      </c>
      <c r="H56" s="25">
        <v>0</v>
      </c>
      <c r="I56" s="25">
        <v>0</v>
      </c>
      <c r="J56" s="25">
        <v>0</v>
      </c>
      <c r="K56" s="25">
        <v>0</v>
      </c>
      <c r="L56" s="3">
        <f t="shared" si="0"/>
        <v>0.6</v>
      </c>
      <c r="M56" s="26" t="str">
        <f t="shared" si="1"/>
        <v>sedang</v>
      </c>
      <c r="N56" s="3">
        <f t="shared" si="2"/>
        <v>0.8</v>
      </c>
      <c r="O56" s="26" t="str">
        <f t="shared" si="3"/>
        <v>soal diterima baik</v>
      </c>
      <c r="P56" s="33"/>
      <c r="Q56" s="26">
        <v>51</v>
      </c>
      <c r="R56" s="25">
        <f t="shared" si="9"/>
        <v>1</v>
      </c>
      <c r="S56" s="25">
        <f t="shared" si="9"/>
        <v>0</v>
      </c>
      <c r="T56" s="25">
        <f t="shared" si="9"/>
        <v>0</v>
      </c>
      <c r="U56" s="25">
        <f t="shared" si="9"/>
        <v>0</v>
      </c>
      <c r="V56" s="25">
        <f t="shared" si="9"/>
        <v>1</v>
      </c>
      <c r="W56" s="25">
        <f t="shared" si="9"/>
        <v>0</v>
      </c>
      <c r="X56" s="25">
        <f t="shared" si="9"/>
        <v>0</v>
      </c>
      <c r="Y56" s="25">
        <f t="shared" si="9"/>
        <v>0</v>
      </c>
      <c r="Z56" s="25">
        <f t="shared" si="9"/>
        <v>0</v>
      </c>
      <c r="AA56" s="25">
        <f t="shared" si="9"/>
        <v>0</v>
      </c>
      <c r="AB56" s="3">
        <f t="shared" si="6"/>
        <v>0.2</v>
      </c>
      <c r="AC56" s="3">
        <f t="shared" si="7"/>
        <v>0.8</v>
      </c>
      <c r="AD56" s="3">
        <f t="shared" si="8"/>
        <v>0.16000000000000003</v>
      </c>
      <c r="AE56" s="33"/>
    </row>
    <row r="57" spans="1:31" ht="70" x14ac:dyDescent="0.3">
      <c r="A57" s="53" t="s">
        <v>320</v>
      </c>
      <c r="B57" s="25">
        <v>1</v>
      </c>
      <c r="C57" s="25">
        <v>1</v>
      </c>
      <c r="D57" s="25">
        <v>1</v>
      </c>
      <c r="E57" s="25">
        <v>0</v>
      </c>
      <c r="F57" s="25">
        <v>1</v>
      </c>
      <c r="G57" s="25">
        <v>0</v>
      </c>
      <c r="H57" s="25">
        <v>0</v>
      </c>
      <c r="I57" s="25">
        <v>1</v>
      </c>
      <c r="J57" s="25">
        <v>0</v>
      </c>
      <c r="K57" s="25">
        <v>1</v>
      </c>
      <c r="L57" s="3">
        <f t="shared" si="0"/>
        <v>0.6</v>
      </c>
      <c r="M57" s="26" t="str">
        <f t="shared" si="1"/>
        <v>sedang</v>
      </c>
      <c r="N57" s="3">
        <f t="shared" si="2"/>
        <v>0.4</v>
      </c>
      <c r="O57" s="26" t="str">
        <f t="shared" si="3"/>
        <v>soal diterima baik</v>
      </c>
      <c r="P57" s="33"/>
      <c r="Q57" s="26">
        <v>52</v>
      </c>
      <c r="R57" s="25">
        <f t="shared" si="9"/>
        <v>1</v>
      </c>
      <c r="S57" s="25">
        <f t="shared" si="9"/>
        <v>1</v>
      </c>
      <c r="T57" s="25">
        <f t="shared" si="9"/>
        <v>1</v>
      </c>
      <c r="U57" s="25">
        <f t="shared" si="9"/>
        <v>1</v>
      </c>
      <c r="V57" s="25">
        <f t="shared" si="9"/>
        <v>1</v>
      </c>
      <c r="W57" s="25">
        <f t="shared" si="9"/>
        <v>1</v>
      </c>
      <c r="X57" s="25">
        <f t="shared" si="9"/>
        <v>0</v>
      </c>
      <c r="Y57" s="25">
        <f t="shared" si="9"/>
        <v>0</v>
      </c>
      <c r="Z57" s="25">
        <f t="shared" si="9"/>
        <v>0</v>
      </c>
      <c r="AA57" s="25">
        <f t="shared" si="9"/>
        <v>0</v>
      </c>
      <c r="AB57" s="3">
        <f t="shared" si="6"/>
        <v>0.6</v>
      </c>
      <c r="AC57" s="3">
        <f t="shared" si="7"/>
        <v>0.4</v>
      </c>
      <c r="AD57" s="3">
        <f t="shared" si="8"/>
        <v>0.24</v>
      </c>
      <c r="AE57" s="33"/>
    </row>
    <row r="58" spans="1:31" ht="42" x14ac:dyDescent="0.3">
      <c r="A58" s="53" t="s">
        <v>274</v>
      </c>
      <c r="B58" s="25">
        <v>0</v>
      </c>
      <c r="C58" s="25">
        <v>1</v>
      </c>
      <c r="D58" s="25">
        <v>0</v>
      </c>
      <c r="E58" s="25">
        <v>0</v>
      </c>
      <c r="F58" s="25">
        <v>0</v>
      </c>
      <c r="G58" s="25">
        <v>1</v>
      </c>
      <c r="H58" s="25">
        <v>0</v>
      </c>
      <c r="I58" s="25">
        <v>0</v>
      </c>
      <c r="J58" s="25">
        <v>1</v>
      </c>
      <c r="K58" s="25">
        <v>1</v>
      </c>
      <c r="L58" s="3">
        <f t="shared" si="0"/>
        <v>0.4</v>
      </c>
      <c r="M58" s="26" t="str">
        <f t="shared" si="1"/>
        <v>sedang</v>
      </c>
      <c r="N58" s="3">
        <f t="shared" si="2"/>
        <v>0.4</v>
      </c>
      <c r="O58" s="26" t="str">
        <f t="shared" si="3"/>
        <v>soal diterima baik</v>
      </c>
      <c r="P58" s="33"/>
      <c r="Q58" s="26">
        <v>53</v>
      </c>
      <c r="R58" s="25">
        <f t="shared" si="9"/>
        <v>1</v>
      </c>
      <c r="S58" s="25">
        <f t="shared" si="9"/>
        <v>1</v>
      </c>
      <c r="T58" s="25">
        <f t="shared" si="9"/>
        <v>1</v>
      </c>
      <c r="U58" s="25">
        <f t="shared" si="9"/>
        <v>0</v>
      </c>
      <c r="V58" s="25">
        <f t="shared" si="9"/>
        <v>1</v>
      </c>
      <c r="W58" s="25">
        <f t="shared" si="9"/>
        <v>0</v>
      </c>
      <c r="X58" s="25">
        <f t="shared" si="9"/>
        <v>0</v>
      </c>
      <c r="Y58" s="25">
        <f t="shared" si="9"/>
        <v>1</v>
      </c>
      <c r="Z58" s="25">
        <f t="shared" si="9"/>
        <v>0</v>
      </c>
      <c r="AA58" s="25">
        <f t="shared" si="9"/>
        <v>1</v>
      </c>
      <c r="AB58" s="3">
        <f t="shared" si="6"/>
        <v>0.6</v>
      </c>
      <c r="AC58" s="3">
        <f t="shared" si="7"/>
        <v>0.4</v>
      </c>
      <c r="AD58" s="3">
        <f t="shared" si="8"/>
        <v>0.24</v>
      </c>
      <c r="AE58" s="33"/>
    </row>
    <row r="59" spans="1:31" ht="42" x14ac:dyDescent="0.3">
      <c r="A59" s="52" t="s">
        <v>275</v>
      </c>
      <c r="B59" s="25">
        <v>1</v>
      </c>
      <c r="C59" s="25">
        <v>1</v>
      </c>
      <c r="D59" s="25">
        <v>1</v>
      </c>
      <c r="E59" s="25">
        <v>1</v>
      </c>
      <c r="F59" s="25">
        <v>1</v>
      </c>
      <c r="G59" s="25">
        <v>1</v>
      </c>
      <c r="H59" s="25">
        <v>1</v>
      </c>
      <c r="I59" s="25">
        <v>0</v>
      </c>
      <c r="J59" s="25">
        <v>0</v>
      </c>
      <c r="K59" s="25">
        <v>1</v>
      </c>
      <c r="L59" s="3">
        <f t="shared" si="0"/>
        <v>0.8</v>
      </c>
      <c r="M59" s="26" t="str">
        <f t="shared" si="1"/>
        <v>mudah</v>
      </c>
      <c r="N59" s="3">
        <f t="shared" si="2"/>
        <v>0.4</v>
      </c>
      <c r="O59" s="26" t="str">
        <f t="shared" si="3"/>
        <v>soal diterima baik</v>
      </c>
      <c r="P59" s="33"/>
      <c r="Q59" s="26">
        <v>54</v>
      </c>
      <c r="R59" s="25">
        <f t="shared" si="9"/>
        <v>0</v>
      </c>
      <c r="S59" s="25">
        <f t="shared" si="9"/>
        <v>1</v>
      </c>
      <c r="T59" s="25">
        <f t="shared" si="9"/>
        <v>0</v>
      </c>
      <c r="U59" s="25">
        <f t="shared" si="9"/>
        <v>0</v>
      </c>
      <c r="V59" s="25">
        <f t="shared" si="9"/>
        <v>0</v>
      </c>
      <c r="W59" s="25">
        <f t="shared" si="9"/>
        <v>1</v>
      </c>
      <c r="X59" s="25">
        <f t="shared" si="9"/>
        <v>0</v>
      </c>
      <c r="Y59" s="25">
        <f t="shared" si="9"/>
        <v>0</v>
      </c>
      <c r="Z59" s="25">
        <f t="shared" si="9"/>
        <v>1</v>
      </c>
      <c r="AA59" s="25">
        <f t="shared" si="9"/>
        <v>1</v>
      </c>
      <c r="AB59" s="3">
        <f t="shared" si="6"/>
        <v>0.4</v>
      </c>
      <c r="AC59" s="3">
        <f t="shared" si="7"/>
        <v>0.6</v>
      </c>
      <c r="AD59" s="3">
        <f t="shared" si="8"/>
        <v>0.24</v>
      </c>
      <c r="AE59" s="33"/>
    </row>
    <row r="60" spans="1:31" ht="42" x14ac:dyDescent="0.3">
      <c r="A60" s="53" t="s">
        <v>276</v>
      </c>
      <c r="B60" s="25">
        <v>1</v>
      </c>
      <c r="C60" s="25">
        <v>1</v>
      </c>
      <c r="D60" s="25">
        <v>1</v>
      </c>
      <c r="E60" s="25">
        <v>0</v>
      </c>
      <c r="F60" s="25">
        <v>1</v>
      </c>
      <c r="G60" s="25">
        <v>0</v>
      </c>
      <c r="H60" s="25">
        <v>0</v>
      </c>
      <c r="I60" s="25">
        <v>1</v>
      </c>
      <c r="J60" s="25">
        <v>1</v>
      </c>
      <c r="K60" s="25">
        <v>0</v>
      </c>
      <c r="L60" s="3">
        <f t="shared" si="0"/>
        <v>0.6</v>
      </c>
      <c r="M60" s="26" t="str">
        <f t="shared" si="1"/>
        <v>sedang</v>
      </c>
      <c r="N60" s="3">
        <f t="shared" si="2"/>
        <v>0.4</v>
      </c>
      <c r="O60" s="26" t="str">
        <f t="shared" si="3"/>
        <v>soal diterima baik</v>
      </c>
      <c r="P60" s="33"/>
      <c r="Q60" s="26">
        <v>55</v>
      </c>
      <c r="R60" s="25">
        <f t="shared" si="9"/>
        <v>1</v>
      </c>
      <c r="S60" s="25">
        <f t="shared" si="9"/>
        <v>1</v>
      </c>
      <c r="T60" s="25">
        <f t="shared" si="9"/>
        <v>1</v>
      </c>
      <c r="U60" s="25">
        <f t="shared" si="9"/>
        <v>1</v>
      </c>
      <c r="V60" s="25">
        <f t="shared" si="9"/>
        <v>1</v>
      </c>
      <c r="W60" s="25">
        <f t="shared" si="9"/>
        <v>1</v>
      </c>
      <c r="X60" s="25">
        <f t="shared" si="9"/>
        <v>1</v>
      </c>
      <c r="Y60" s="25">
        <f t="shared" si="9"/>
        <v>0</v>
      </c>
      <c r="Z60" s="25">
        <f t="shared" si="9"/>
        <v>0</v>
      </c>
      <c r="AA60" s="25">
        <f t="shared" si="9"/>
        <v>1</v>
      </c>
      <c r="AB60" s="3">
        <f t="shared" si="6"/>
        <v>0.8</v>
      </c>
      <c r="AC60" s="3">
        <f t="shared" si="7"/>
        <v>0.19999999999999996</v>
      </c>
      <c r="AD60" s="3">
        <f t="shared" si="8"/>
        <v>0.15999999999999998</v>
      </c>
      <c r="AE60" s="33"/>
    </row>
    <row r="61" spans="1:31" ht="42" x14ac:dyDescent="0.3">
      <c r="A61" s="54" t="s">
        <v>277</v>
      </c>
      <c r="B61" s="25">
        <v>1</v>
      </c>
      <c r="C61" s="25">
        <v>1</v>
      </c>
      <c r="D61" s="25">
        <v>1</v>
      </c>
      <c r="E61" s="25">
        <v>1</v>
      </c>
      <c r="F61" s="25">
        <v>0</v>
      </c>
      <c r="G61" s="25">
        <v>0</v>
      </c>
      <c r="H61" s="25">
        <v>0</v>
      </c>
      <c r="I61" s="25">
        <v>0</v>
      </c>
      <c r="J61" s="25">
        <v>0</v>
      </c>
      <c r="K61" s="25">
        <v>0</v>
      </c>
      <c r="L61" s="3">
        <f t="shared" si="0"/>
        <v>0.4</v>
      </c>
      <c r="M61" s="26" t="str">
        <f t="shared" si="1"/>
        <v>sedang</v>
      </c>
      <c r="N61" s="3">
        <f t="shared" si="2"/>
        <v>0.8</v>
      </c>
      <c r="O61" s="26" t="str">
        <f t="shared" si="3"/>
        <v>soal diterima baik</v>
      </c>
      <c r="P61" s="33"/>
      <c r="Q61" s="26">
        <v>56</v>
      </c>
      <c r="R61" s="25">
        <f t="shared" si="9"/>
        <v>1</v>
      </c>
      <c r="S61" s="25">
        <f t="shared" si="9"/>
        <v>1</v>
      </c>
      <c r="T61" s="25">
        <f t="shared" si="9"/>
        <v>1</v>
      </c>
      <c r="U61" s="25">
        <f t="shared" si="9"/>
        <v>0</v>
      </c>
      <c r="V61" s="25">
        <f t="shared" si="9"/>
        <v>1</v>
      </c>
      <c r="W61" s="25">
        <f t="shared" si="9"/>
        <v>0</v>
      </c>
      <c r="X61" s="25">
        <f t="shared" si="9"/>
        <v>0</v>
      </c>
      <c r="Y61" s="25">
        <f t="shared" si="9"/>
        <v>1</v>
      </c>
      <c r="Z61" s="25">
        <f t="shared" si="9"/>
        <v>1</v>
      </c>
      <c r="AA61" s="25">
        <f t="shared" si="9"/>
        <v>0</v>
      </c>
      <c r="AB61" s="3">
        <f t="shared" si="6"/>
        <v>0.6</v>
      </c>
      <c r="AC61" s="3">
        <f t="shared" si="7"/>
        <v>0.4</v>
      </c>
      <c r="AD61" s="3">
        <f t="shared" si="8"/>
        <v>0.24</v>
      </c>
      <c r="AE61" s="33"/>
    </row>
    <row r="62" spans="1:31" ht="84" x14ac:dyDescent="0.3">
      <c r="A62" s="54" t="s">
        <v>321</v>
      </c>
      <c r="B62" s="25">
        <v>1</v>
      </c>
      <c r="C62" s="25">
        <v>1</v>
      </c>
      <c r="D62" s="25">
        <v>0</v>
      </c>
      <c r="E62" s="25">
        <v>1</v>
      </c>
      <c r="F62" s="25">
        <v>0</v>
      </c>
      <c r="G62" s="25">
        <v>0</v>
      </c>
      <c r="H62" s="25">
        <v>0</v>
      </c>
      <c r="I62" s="25">
        <v>0</v>
      </c>
      <c r="J62" s="25">
        <v>1</v>
      </c>
      <c r="K62" s="25">
        <v>0</v>
      </c>
      <c r="L62" s="3">
        <f t="shared" si="0"/>
        <v>0.4</v>
      </c>
      <c r="M62" s="26" t="str">
        <f t="shared" si="1"/>
        <v>sedang</v>
      </c>
      <c r="N62" s="3">
        <f t="shared" si="2"/>
        <v>0.4</v>
      </c>
      <c r="O62" s="26" t="str">
        <f t="shared" si="3"/>
        <v>soal diterima baik</v>
      </c>
      <c r="P62" s="33"/>
      <c r="Q62" s="26">
        <v>57</v>
      </c>
      <c r="R62" s="25">
        <f t="shared" si="9"/>
        <v>1</v>
      </c>
      <c r="S62" s="25">
        <f t="shared" si="9"/>
        <v>1</v>
      </c>
      <c r="T62" s="25">
        <f t="shared" si="9"/>
        <v>1</v>
      </c>
      <c r="U62" s="25">
        <f t="shared" si="9"/>
        <v>1</v>
      </c>
      <c r="V62" s="25">
        <f t="shared" si="9"/>
        <v>0</v>
      </c>
      <c r="W62" s="25">
        <f t="shared" si="9"/>
        <v>0</v>
      </c>
      <c r="X62" s="25">
        <f t="shared" si="9"/>
        <v>0</v>
      </c>
      <c r="Y62" s="25">
        <f t="shared" si="9"/>
        <v>0</v>
      </c>
      <c r="Z62" s="25">
        <f t="shared" si="9"/>
        <v>0</v>
      </c>
      <c r="AA62" s="25">
        <f t="shared" si="9"/>
        <v>0</v>
      </c>
      <c r="AB62" s="3">
        <f t="shared" si="6"/>
        <v>0.4</v>
      </c>
      <c r="AC62" s="3">
        <f t="shared" si="7"/>
        <v>0.6</v>
      </c>
      <c r="AD62" s="3">
        <f t="shared" si="8"/>
        <v>0.24</v>
      </c>
      <c r="AE62" s="33"/>
    </row>
    <row r="63" spans="1:31" ht="98" x14ac:dyDescent="0.3">
      <c r="A63" s="52" t="s">
        <v>278</v>
      </c>
      <c r="B63" s="25">
        <v>0</v>
      </c>
      <c r="C63" s="25">
        <v>1</v>
      </c>
      <c r="D63" s="25">
        <v>0</v>
      </c>
      <c r="E63" s="25">
        <v>0</v>
      </c>
      <c r="F63" s="25">
        <v>0</v>
      </c>
      <c r="G63" s="25">
        <v>0</v>
      </c>
      <c r="H63" s="25">
        <v>0</v>
      </c>
      <c r="I63" s="25">
        <v>1</v>
      </c>
      <c r="J63" s="25">
        <v>1</v>
      </c>
      <c r="K63" s="25">
        <v>1</v>
      </c>
      <c r="L63" s="3">
        <f t="shared" si="0"/>
        <v>0.4</v>
      </c>
      <c r="M63" s="26" t="str">
        <f t="shared" si="1"/>
        <v>sedang</v>
      </c>
      <c r="N63" s="3">
        <f t="shared" si="2"/>
        <v>0.4</v>
      </c>
      <c r="O63" s="26" t="str">
        <f t="shared" si="3"/>
        <v>soal diterima baik</v>
      </c>
      <c r="P63" s="33"/>
      <c r="Q63" s="26">
        <v>58</v>
      </c>
      <c r="R63" s="25">
        <f t="shared" si="9"/>
        <v>1</v>
      </c>
      <c r="S63" s="25">
        <f t="shared" si="9"/>
        <v>1</v>
      </c>
      <c r="T63" s="25">
        <f t="shared" si="9"/>
        <v>0</v>
      </c>
      <c r="U63" s="25">
        <f t="shared" si="9"/>
        <v>1</v>
      </c>
      <c r="V63" s="25">
        <f t="shared" si="9"/>
        <v>0</v>
      </c>
      <c r="W63" s="25">
        <f t="shared" si="9"/>
        <v>0</v>
      </c>
      <c r="X63" s="25">
        <f t="shared" si="9"/>
        <v>0</v>
      </c>
      <c r="Y63" s="25">
        <f t="shared" si="9"/>
        <v>0</v>
      </c>
      <c r="Z63" s="25">
        <f t="shared" si="9"/>
        <v>1</v>
      </c>
      <c r="AA63" s="25">
        <f t="shared" si="9"/>
        <v>0</v>
      </c>
      <c r="AB63" s="3">
        <f t="shared" si="6"/>
        <v>0.4</v>
      </c>
      <c r="AC63" s="3">
        <f t="shared" si="7"/>
        <v>0.6</v>
      </c>
      <c r="AD63" s="3">
        <f t="shared" si="8"/>
        <v>0.24</v>
      </c>
      <c r="AE63" s="33"/>
    </row>
    <row r="64" spans="1:31" ht="28" x14ac:dyDescent="0.3">
      <c r="A64" s="52" t="s">
        <v>279</v>
      </c>
      <c r="B64" s="25">
        <v>0</v>
      </c>
      <c r="C64" s="25">
        <v>1</v>
      </c>
      <c r="D64" s="25">
        <v>0</v>
      </c>
      <c r="E64" s="25">
        <v>1</v>
      </c>
      <c r="F64" s="25">
        <v>1</v>
      </c>
      <c r="G64" s="25">
        <v>1</v>
      </c>
      <c r="H64" s="25">
        <v>1</v>
      </c>
      <c r="I64" s="25">
        <v>1</v>
      </c>
      <c r="J64" s="25">
        <v>1</v>
      </c>
      <c r="K64" s="25">
        <v>1</v>
      </c>
      <c r="L64" s="3">
        <f t="shared" si="0"/>
        <v>0.8</v>
      </c>
      <c r="M64" s="26" t="str">
        <f t="shared" si="1"/>
        <v>mudah</v>
      </c>
      <c r="N64" s="3">
        <f t="shared" si="2"/>
        <v>0.4</v>
      </c>
      <c r="O64" s="26" t="str">
        <f t="shared" si="3"/>
        <v>soal diterima baik</v>
      </c>
      <c r="P64" s="33"/>
      <c r="Q64" s="26">
        <v>59</v>
      </c>
      <c r="R64" s="25">
        <f t="shared" si="9"/>
        <v>0</v>
      </c>
      <c r="S64" s="25">
        <f t="shared" si="9"/>
        <v>1</v>
      </c>
      <c r="T64" s="25">
        <f t="shared" si="9"/>
        <v>0</v>
      </c>
      <c r="U64" s="25">
        <f t="shared" si="9"/>
        <v>0</v>
      </c>
      <c r="V64" s="25">
        <f t="shared" si="9"/>
        <v>0</v>
      </c>
      <c r="W64" s="25">
        <f t="shared" si="9"/>
        <v>0</v>
      </c>
      <c r="X64" s="25">
        <f t="shared" si="9"/>
        <v>0</v>
      </c>
      <c r="Y64" s="25">
        <f t="shared" si="9"/>
        <v>1</v>
      </c>
      <c r="Z64" s="25">
        <f t="shared" si="9"/>
        <v>1</v>
      </c>
      <c r="AA64" s="25">
        <f t="shared" si="9"/>
        <v>1</v>
      </c>
      <c r="AB64" s="3">
        <f t="shared" si="6"/>
        <v>0.4</v>
      </c>
      <c r="AC64" s="3">
        <f t="shared" si="7"/>
        <v>0.6</v>
      </c>
      <c r="AD64" s="3">
        <f t="shared" si="8"/>
        <v>0.24</v>
      </c>
      <c r="AE64" s="33"/>
    </row>
    <row r="65" spans="1:31" ht="56" x14ac:dyDescent="0.3">
      <c r="A65" s="52" t="s">
        <v>322</v>
      </c>
      <c r="B65" s="25">
        <v>1</v>
      </c>
      <c r="C65" s="25">
        <v>1</v>
      </c>
      <c r="D65" s="25">
        <v>0</v>
      </c>
      <c r="E65" s="25">
        <v>1</v>
      </c>
      <c r="F65" s="25">
        <v>1</v>
      </c>
      <c r="G65" s="25">
        <v>0</v>
      </c>
      <c r="H65" s="25">
        <v>0</v>
      </c>
      <c r="I65" s="25">
        <v>0</v>
      </c>
      <c r="J65" s="25">
        <v>0</v>
      </c>
      <c r="K65" s="25">
        <v>0</v>
      </c>
      <c r="L65" s="3">
        <f t="shared" si="0"/>
        <v>0.4</v>
      </c>
      <c r="M65" s="26" t="str">
        <f t="shared" si="1"/>
        <v>sedang</v>
      </c>
      <c r="N65" s="3">
        <f t="shared" si="2"/>
        <v>0.8</v>
      </c>
      <c r="O65" s="26" t="str">
        <f t="shared" si="3"/>
        <v>soal diterima baik</v>
      </c>
      <c r="P65" s="33"/>
      <c r="Q65" s="26">
        <v>60</v>
      </c>
      <c r="R65" s="25">
        <f t="shared" si="9"/>
        <v>0</v>
      </c>
      <c r="S65" s="25">
        <f t="shared" si="9"/>
        <v>1</v>
      </c>
      <c r="T65" s="25">
        <f t="shared" si="9"/>
        <v>0</v>
      </c>
      <c r="U65" s="25">
        <f t="shared" si="9"/>
        <v>1</v>
      </c>
      <c r="V65" s="25">
        <f t="shared" si="9"/>
        <v>1</v>
      </c>
      <c r="W65" s="25">
        <f t="shared" si="9"/>
        <v>1</v>
      </c>
      <c r="X65" s="25">
        <f t="shared" si="9"/>
        <v>1</v>
      </c>
      <c r="Y65" s="25">
        <f t="shared" si="9"/>
        <v>1</v>
      </c>
      <c r="Z65" s="25">
        <f t="shared" si="9"/>
        <v>1</v>
      </c>
      <c r="AA65" s="25">
        <f t="shared" si="9"/>
        <v>1</v>
      </c>
      <c r="AB65" s="3">
        <f t="shared" si="6"/>
        <v>0.8</v>
      </c>
      <c r="AC65" s="3">
        <f t="shared" si="7"/>
        <v>0.19999999999999996</v>
      </c>
      <c r="AD65" s="3">
        <f t="shared" si="8"/>
        <v>0.15999999999999998</v>
      </c>
      <c r="AE65" s="33"/>
    </row>
    <row r="66" spans="1:31" ht="98" x14ac:dyDescent="0.3">
      <c r="A66" s="54" t="s">
        <v>280</v>
      </c>
      <c r="B66" s="25">
        <v>0</v>
      </c>
      <c r="C66" s="25">
        <v>1</v>
      </c>
      <c r="D66" s="25">
        <v>0</v>
      </c>
      <c r="E66" s="25">
        <v>0</v>
      </c>
      <c r="F66" s="25">
        <v>0</v>
      </c>
      <c r="G66" s="25">
        <v>0</v>
      </c>
      <c r="H66" s="25">
        <v>1</v>
      </c>
      <c r="I66" s="25">
        <v>0</v>
      </c>
      <c r="J66" s="25">
        <v>1</v>
      </c>
      <c r="K66" s="25">
        <v>1</v>
      </c>
      <c r="L66" s="3">
        <f t="shared" si="0"/>
        <v>0.4</v>
      </c>
      <c r="M66" s="26" t="str">
        <f t="shared" si="1"/>
        <v>sedang</v>
      </c>
      <c r="N66" s="3">
        <f t="shared" si="2"/>
        <v>0.4</v>
      </c>
      <c r="O66" s="26" t="str">
        <f t="shared" si="3"/>
        <v>soal diterima baik</v>
      </c>
      <c r="P66" s="33"/>
      <c r="Q66" s="26">
        <v>61</v>
      </c>
      <c r="R66" s="25">
        <f t="shared" si="9"/>
        <v>1</v>
      </c>
      <c r="S66" s="25">
        <f t="shared" si="9"/>
        <v>1</v>
      </c>
      <c r="T66" s="25">
        <f t="shared" si="9"/>
        <v>0</v>
      </c>
      <c r="U66" s="25">
        <f t="shared" si="9"/>
        <v>1</v>
      </c>
      <c r="V66" s="25">
        <f t="shared" si="9"/>
        <v>1</v>
      </c>
      <c r="W66" s="25">
        <f t="shared" si="9"/>
        <v>0</v>
      </c>
      <c r="X66" s="25">
        <f t="shared" si="9"/>
        <v>0</v>
      </c>
      <c r="Y66" s="25">
        <f t="shared" si="9"/>
        <v>0</v>
      </c>
      <c r="Z66" s="25">
        <f t="shared" si="9"/>
        <v>0</v>
      </c>
      <c r="AA66" s="25">
        <f t="shared" si="9"/>
        <v>0</v>
      </c>
      <c r="AB66" s="3">
        <f t="shared" si="6"/>
        <v>0.4</v>
      </c>
      <c r="AC66" s="3">
        <f t="shared" si="7"/>
        <v>0.6</v>
      </c>
      <c r="AD66" s="3">
        <f t="shared" si="8"/>
        <v>0.24</v>
      </c>
      <c r="AE66" s="33"/>
    </row>
    <row r="67" spans="1:31" ht="98" x14ac:dyDescent="0.3">
      <c r="A67" s="53" t="s">
        <v>323</v>
      </c>
      <c r="B67" s="25">
        <v>1</v>
      </c>
      <c r="C67" s="25">
        <v>1</v>
      </c>
      <c r="D67" s="25">
        <v>0</v>
      </c>
      <c r="E67" s="25">
        <v>0</v>
      </c>
      <c r="F67" s="25">
        <v>1</v>
      </c>
      <c r="G67" s="25">
        <v>0</v>
      </c>
      <c r="H67" s="25">
        <v>0</v>
      </c>
      <c r="I67" s="25">
        <v>0</v>
      </c>
      <c r="J67" s="25">
        <v>0</v>
      </c>
      <c r="K67" s="25">
        <v>1</v>
      </c>
      <c r="L67" s="3">
        <f t="shared" si="0"/>
        <v>0.4</v>
      </c>
      <c r="M67" s="26" t="str">
        <f t="shared" si="1"/>
        <v>sedang</v>
      </c>
      <c r="N67" s="3">
        <f t="shared" si="2"/>
        <v>0.4</v>
      </c>
      <c r="O67" s="26" t="str">
        <f t="shared" si="3"/>
        <v>soal diterima baik</v>
      </c>
      <c r="P67" s="33"/>
      <c r="Q67" s="26">
        <v>62</v>
      </c>
      <c r="R67" s="25">
        <f t="shared" si="9"/>
        <v>0</v>
      </c>
      <c r="S67" s="25">
        <f t="shared" si="9"/>
        <v>1</v>
      </c>
      <c r="T67" s="25">
        <f t="shared" si="9"/>
        <v>0</v>
      </c>
      <c r="U67" s="25">
        <f t="shared" si="9"/>
        <v>0</v>
      </c>
      <c r="V67" s="25">
        <f t="shared" si="9"/>
        <v>0</v>
      </c>
      <c r="W67" s="25">
        <f t="shared" si="9"/>
        <v>0</v>
      </c>
      <c r="X67" s="25">
        <f t="shared" si="9"/>
        <v>1</v>
      </c>
      <c r="Y67" s="25">
        <f t="shared" si="9"/>
        <v>0</v>
      </c>
      <c r="Z67" s="25">
        <f t="shared" si="9"/>
        <v>1</v>
      </c>
      <c r="AA67" s="25">
        <f t="shared" si="9"/>
        <v>1</v>
      </c>
      <c r="AB67" s="3">
        <f t="shared" si="6"/>
        <v>0.4</v>
      </c>
      <c r="AC67" s="3">
        <f t="shared" si="7"/>
        <v>0.6</v>
      </c>
      <c r="AD67" s="3">
        <f t="shared" si="8"/>
        <v>0.24</v>
      </c>
      <c r="AE67" s="33"/>
    </row>
    <row r="68" spans="1:31" ht="98" x14ac:dyDescent="0.3">
      <c r="A68" s="52" t="s">
        <v>324</v>
      </c>
      <c r="B68" s="25">
        <v>1</v>
      </c>
      <c r="C68" s="25">
        <v>1</v>
      </c>
      <c r="D68" s="25">
        <v>1</v>
      </c>
      <c r="E68" s="25">
        <v>1</v>
      </c>
      <c r="F68" s="25">
        <v>1</v>
      </c>
      <c r="G68" s="25">
        <v>1</v>
      </c>
      <c r="H68" s="25">
        <v>0</v>
      </c>
      <c r="I68" s="25">
        <v>1</v>
      </c>
      <c r="J68" s="25">
        <v>1</v>
      </c>
      <c r="K68" s="25">
        <v>0</v>
      </c>
      <c r="L68" s="3">
        <f t="shared" si="0"/>
        <v>0.8</v>
      </c>
      <c r="M68" s="26" t="str">
        <f t="shared" si="1"/>
        <v>mudah</v>
      </c>
      <c r="N68" s="3">
        <f t="shared" si="2"/>
        <v>0.4</v>
      </c>
      <c r="O68" s="26" t="str">
        <f t="shared" si="3"/>
        <v>soal diterima baik</v>
      </c>
      <c r="P68" s="33"/>
      <c r="Q68" s="26">
        <v>63</v>
      </c>
      <c r="R68" s="25">
        <f t="shared" si="9"/>
        <v>1</v>
      </c>
      <c r="S68" s="25">
        <f t="shared" si="9"/>
        <v>1</v>
      </c>
      <c r="T68" s="25">
        <f t="shared" si="9"/>
        <v>0</v>
      </c>
      <c r="U68" s="25">
        <f t="shared" si="9"/>
        <v>0</v>
      </c>
      <c r="V68" s="25">
        <f t="shared" si="9"/>
        <v>1</v>
      </c>
      <c r="W68" s="25">
        <f t="shared" si="9"/>
        <v>0</v>
      </c>
      <c r="X68" s="25">
        <f t="shared" si="9"/>
        <v>0</v>
      </c>
      <c r="Y68" s="25">
        <f t="shared" si="9"/>
        <v>0</v>
      </c>
      <c r="Z68" s="25">
        <f t="shared" si="9"/>
        <v>0</v>
      </c>
      <c r="AA68" s="25">
        <f t="shared" si="9"/>
        <v>1</v>
      </c>
      <c r="AB68" s="3">
        <f t="shared" si="6"/>
        <v>0.4</v>
      </c>
      <c r="AC68" s="3">
        <f t="shared" si="7"/>
        <v>0.6</v>
      </c>
      <c r="AD68" s="3">
        <f t="shared" si="8"/>
        <v>0.24</v>
      </c>
      <c r="AE68" s="33"/>
    </row>
    <row r="69" spans="1:31" ht="42" x14ac:dyDescent="0.3">
      <c r="A69" s="54" t="s">
        <v>281</v>
      </c>
      <c r="B69" s="25">
        <v>0</v>
      </c>
      <c r="C69" s="25">
        <v>0</v>
      </c>
      <c r="D69" s="25">
        <v>0</v>
      </c>
      <c r="E69" s="25">
        <v>0</v>
      </c>
      <c r="F69" s="25">
        <v>0</v>
      </c>
      <c r="G69" s="25">
        <v>0</v>
      </c>
      <c r="H69" s="25">
        <v>1</v>
      </c>
      <c r="I69" s="25">
        <v>0</v>
      </c>
      <c r="J69" s="25">
        <v>1</v>
      </c>
      <c r="K69" s="25">
        <v>0</v>
      </c>
      <c r="L69" s="3">
        <f t="shared" si="0"/>
        <v>0.2</v>
      </c>
      <c r="M69" s="26" t="str">
        <f t="shared" si="1"/>
        <v>sukar</v>
      </c>
      <c r="N69" s="3">
        <f t="shared" si="2"/>
        <v>0.4</v>
      </c>
      <c r="O69" s="26" t="str">
        <f t="shared" si="3"/>
        <v>soal diterima baik</v>
      </c>
      <c r="P69" s="33"/>
      <c r="Q69" s="26">
        <v>64</v>
      </c>
      <c r="R69" s="25">
        <f t="shared" si="9"/>
        <v>1</v>
      </c>
      <c r="S69" s="25">
        <f t="shared" si="9"/>
        <v>1</v>
      </c>
      <c r="T69" s="25">
        <f t="shared" si="9"/>
        <v>1</v>
      </c>
      <c r="U69" s="25">
        <f t="shared" si="9"/>
        <v>1</v>
      </c>
      <c r="V69" s="25">
        <f t="shared" si="9"/>
        <v>1</v>
      </c>
      <c r="W69" s="25">
        <f t="shared" si="9"/>
        <v>1</v>
      </c>
      <c r="X69" s="25">
        <f t="shared" si="9"/>
        <v>0</v>
      </c>
      <c r="Y69" s="25">
        <f t="shared" si="9"/>
        <v>1</v>
      </c>
      <c r="Z69" s="25">
        <f t="shared" si="9"/>
        <v>1</v>
      </c>
      <c r="AA69" s="25">
        <f t="shared" si="9"/>
        <v>0</v>
      </c>
      <c r="AB69" s="3">
        <f t="shared" si="6"/>
        <v>0.8</v>
      </c>
      <c r="AC69" s="3">
        <f t="shared" si="7"/>
        <v>0.19999999999999996</v>
      </c>
      <c r="AD69" s="3">
        <f t="shared" si="8"/>
        <v>0.15999999999999998</v>
      </c>
      <c r="AE69" s="33"/>
    </row>
    <row r="70" spans="1:31" ht="28" x14ac:dyDescent="0.3">
      <c r="A70" s="53" t="s">
        <v>282</v>
      </c>
      <c r="B70" s="25">
        <v>1</v>
      </c>
      <c r="C70" s="25">
        <v>1</v>
      </c>
      <c r="D70" s="25">
        <v>1</v>
      </c>
      <c r="E70" s="25">
        <v>1</v>
      </c>
      <c r="F70" s="25">
        <v>1</v>
      </c>
      <c r="G70" s="25">
        <v>1</v>
      </c>
      <c r="H70" s="25">
        <v>1</v>
      </c>
      <c r="I70" s="25">
        <v>0</v>
      </c>
      <c r="J70" s="25">
        <v>1</v>
      </c>
      <c r="K70" s="25">
        <v>0</v>
      </c>
      <c r="L70" s="3">
        <f t="shared" ref="L70:L104" si="10">SUM(B70:K70)/10</f>
        <v>0.8</v>
      </c>
      <c r="M70" s="26" t="str">
        <f t="shared" ref="M70:M104" si="11">IF(L70&lt;0.31,"sukar",IF(L70&lt;0.71,"sedang","mudah"))</f>
        <v>mudah</v>
      </c>
      <c r="N70" s="3">
        <f t="shared" ref="N70:N104" si="12">ABS((SUM(B70:F70)-SUM(G70:K70))*2/10)</f>
        <v>0.4</v>
      </c>
      <c r="O70" s="26" t="str">
        <f t="shared" ref="O70:O104" si="13">IF(N70&lt;0.2,"soal dibuang",IF(N70&lt;0.3,"soal diperbaiki",IF(N70&lt;0.4,"soal diterima tapi perlu diperbaiki","soal diterima baik")))</f>
        <v>soal diterima baik</v>
      </c>
      <c r="P70" s="33"/>
      <c r="Q70" s="26">
        <v>65</v>
      </c>
      <c r="R70" s="25">
        <f t="shared" si="9"/>
        <v>0</v>
      </c>
      <c r="S70" s="25">
        <f t="shared" si="9"/>
        <v>0</v>
      </c>
      <c r="T70" s="25">
        <f t="shared" si="9"/>
        <v>0</v>
      </c>
      <c r="U70" s="25">
        <f t="shared" si="9"/>
        <v>0</v>
      </c>
      <c r="V70" s="25">
        <f t="shared" si="9"/>
        <v>0</v>
      </c>
      <c r="W70" s="25">
        <f t="shared" si="9"/>
        <v>0</v>
      </c>
      <c r="X70" s="25">
        <f t="shared" si="9"/>
        <v>1</v>
      </c>
      <c r="Y70" s="25">
        <f t="shared" si="9"/>
        <v>0</v>
      </c>
      <c r="Z70" s="25">
        <f t="shared" si="9"/>
        <v>1</v>
      </c>
      <c r="AA70" s="25">
        <f t="shared" si="9"/>
        <v>0</v>
      </c>
      <c r="AB70" s="3">
        <f t="shared" si="6"/>
        <v>0.2</v>
      </c>
      <c r="AC70" s="3">
        <f t="shared" si="7"/>
        <v>0.8</v>
      </c>
      <c r="AD70" s="3">
        <f t="shared" si="8"/>
        <v>0.16000000000000003</v>
      </c>
      <c r="AE70" s="33"/>
    </row>
    <row r="71" spans="1:31" ht="56" x14ac:dyDescent="0.3">
      <c r="A71" s="52" t="s">
        <v>325</v>
      </c>
      <c r="B71" s="25">
        <v>1</v>
      </c>
      <c r="C71" s="25">
        <v>1</v>
      </c>
      <c r="D71" s="25">
        <v>1</v>
      </c>
      <c r="E71" s="25">
        <v>0</v>
      </c>
      <c r="F71" s="25">
        <v>0</v>
      </c>
      <c r="G71" s="25">
        <v>0</v>
      </c>
      <c r="H71" s="25">
        <v>0</v>
      </c>
      <c r="I71" s="25">
        <v>0</v>
      </c>
      <c r="J71" s="25">
        <v>1</v>
      </c>
      <c r="K71" s="25">
        <v>0</v>
      </c>
      <c r="L71" s="3">
        <f t="shared" si="10"/>
        <v>0.4</v>
      </c>
      <c r="M71" s="26" t="str">
        <f t="shared" si="11"/>
        <v>sedang</v>
      </c>
      <c r="N71" s="3">
        <f t="shared" si="12"/>
        <v>0.4</v>
      </c>
      <c r="O71" s="26" t="str">
        <f t="shared" si="13"/>
        <v>soal diterima baik</v>
      </c>
      <c r="P71" s="33"/>
      <c r="Q71" s="26">
        <v>66</v>
      </c>
      <c r="R71" s="25">
        <f t="shared" si="9"/>
        <v>1</v>
      </c>
      <c r="S71" s="25">
        <f t="shared" si="9"/>
        <v>1</v>
      </c>
      <c r="T71" s="25">
        <f t="shared" si="9"/>
        <v>1</v>
      </c>
      <c r="U71" s="25">
        <f t="shared" si="9"/>
        <v>1</v>
      </c>
      <c r="V71" s="25">
        <f t="shared" si="9"/>
        <v>1</v>
      </c>
      <c r="W71" s="25">
        <f t="shared" ref="W71:AA105" si="14">G70</f>
        <v>1</v>
      </c>
      <c r="X71" s="25">
        <f t="shared" si="14"/>
        <v>1</v>
      </c>
      <c r="Y71" s="25">
        <f t="shared" si="14"/>
        <v>0</v>
      </c>
      <c r="Z71" s="25">
        <f t="shared" si="14"/>
        <v>1</v>
      </c>
      <c r="AA71" s="25">
        <f t="shared" si="14"/>
        <v>0</v>
      </c>
      <c r="AB71" s="3">
        <f t="shared" ref="AB71:AB104" si="15">SUM(R71:AA71)/COUNT(R71:AA71)</f>
        <v>0.8</v>
      </c>
      <c r="AC71" s="3">
        <f t="shared" ref="AC71:AC105" si="16">1-AB71</f>
        <v>0.19999999999999996</v>
      </c>
      <c r="AD71" s="3">
        <f t="shared" ref="AD71:AD105" si="17">AB71*AC71</f>
        <v>0.15999999999999998</v>
      </c>
      <c r="AE71" s="33"/>
    </row>
    <row r="72" spans="1:31" ht="70" x14ac:dyDescent="0.3">
      <c r="A72" s="54" t="s">
        <v>326</v>
      </c>
      <c r="B72" s="25">
        <v>1</v>
      </c>
      <c r="C72" s="25">
        <v>0</v>
      </c>
      <c r="D72" s="25">
        <v>0</v>
      </c>
      <c r="E72" s="25">
        <v>0</v>
      </c>
      <c r="F72" s="25">
        <v>0</v>
      </c>
      <c r="G72" s="25">
        <v>1</v>
      </c>
      <c r="H72" s="25">
        <v>0</v>
      </c>
      <c r="I72" s="25">
        <v>0</v>
      </c>
      <c r="J72" s="25">
        <v>1</v>
      </c>
      <c r="K72" s="25">
        <v>1</v>
      </c>
      <c r="L72" s="3">
        <f t="shared" si="10"/>
        <v>0.4</v>
      </c>
      <c r="M72" s="26" t="str">
        <f t="shared" si="11"/>
        <v>sedang</v>
      </c>
      <c r="N72" s="3">
        <f t="shared" si="12"/>
        <v>0.4</v>
      </c>
      <c r="O72" s="26" t="str">
        <f t="shared" si="13"/>
        <v>soal diterima baik</v>
      </c>
      <c r="P72" s="33"/>
      <c r="Q72" s="26">
        <v>67</v>
      </c>
      <c r="R72" s="25">
        <f t="shared" ref="R72:V105" si="18">B71</f>
        <v>1</v>
      </c>
      <c r="S72" s="25">
        <f t="shared" si="18"/>
        <v>1</v>
      </c>
      <c r="T72" s="25">
        <f t="shared" si="18"/>
        <v>1</v>
      </c>
      <c r="U72" s="25">
        <f t="shared" si="18"/>
        <v>0</v>
      </c>
      <c r="V72" s="25">
        <f t="shared" si="18"/>
        <v>0</v>
      </c>
      <c r="W72" s="25">
        <f t="shared" si="14"/>
        <v>0</v>
      </c>
      <c r="X72" s="25">
        <f t="shared" si="14"/>
        <v>0</v>
      </c>
      <c r="Y72" s="25">
        <f t="shared" si="14"/>
        <v>0</v>
      </c>
      <c r="Z72" s="25">
        <f t="shared" si="14"/>
        <v>1</v>
      </c>
      <c r="AA72" s="25">
        <f t="shared" si="14"/>
        <v>0</v>
      </c>
      <c r="AB72" s="3">
        <f t="shared" si="15"/>
        <v>0.4</v>
      </c>
      <c r="AC72" s="3">
        <f t="shared" si="16"/>
        <v>0.6</v>
      </c>
      <c r="AD72" s="3">
        <f t="shared" si="17"/>
        <v>0.24</v>
      </c>
      <c r="AE72" s="33"/>
    </row>
    <row r="73" spans="1:31" ht="42" x14ac:dyDescent="0.3">
      <c r="A73" s="52" t="s">
        <v>283</v>
      </c>
      <c r="B73" s="25">
        <v>0</v>
      </c>
      <c r="C73" s="25">
        <v>0</v>
      </c>
      <c r="D73" s="25">
        <v>0</v>
      </c>
      <c r="E73" s="25">
        <v>0</v>
      </c>
      <c r="F73" s="25">
        <v>0</v>
      </c>
      <c r="G73" s="25">
        <v>0</v>
      </c>
      <c r="H73" s="25">
        <v>1</v>
      </c>
      <c r="I73" s="25">
        <v>1</v>
      </c>
      <c r="J73" s="25">
        <v>1</v>
      </c>
      <c r="K73" s="25">
        <v>1</v>
      </c>
      <c r="L73" s="3">
        <f t="shared" si="10"/>
        <v>0.4</v>
      </c>
      <c r="M73" s="26" t="str">
        <f t="shared" si="11"/>
        <v>sedang</v>
      </c>
      <c r="N73" s="3">
        <f t="shared" si="12"/>
        <v>0.8</v>
      </c>
      <c r="O73" s="26" t="str">
        <f t="shared" si="13"/>
        <v>soal diterima baik</v>
      </c>
      <c r="P73" s="33"/>
      <c r="Q73" s="26">
        <v>68</v>
      </c>
      <c r="R73" s="25">
        <f t="shared" si="18"/>
        <v>1</v>
      </c>
      <c r="S73" s="25">
        <f t="shared" si="18"/>
        <v>0</v>
      </c>
      <c r="T73" s="25">
        <f t="shared" si="18"/>
        <v>0</v>
      </c>
      <c r="U73" s="25">
        <f t="shared" si="18"/>
        <v>0</v>
      </c>
      <c r="V73" s="25">
        <f t="shared" si="18"/>
        <v>0</v>
      </c>
      <c r="W73" s="25">
        <f t="shared" si="14"/>
        <v>1</v>
      </c>
      <c r="X73" s="25">
        <f t="shared" si="14"/>
        <v>0</v>
      </c>
      <c r="Y73" s="25">
        <f t="shared" si="14"/>
        <v>0</v>
      </c>
      <c r="Z73" s="25">
        <f t="shared" si="14"/>
        <v>1</v>
      </c>
      <c r="AA73" s="25">
        <f t="shared" si="14"/>
        <v>1</v>
      </c>
      <c r="AB73" s="3">
        <f t="shared" si="15"/>
        <v>0.4</v>
      </c>
      <c r="AC73" s="3">
        <f t="shared" si="16"/>
        <v>0.6</v>
      </c>
      <c r="AD73" s="3">
        <f t="shared" si="17"/>
        <v>0.24</v>
      </c>
      <c r="AE73" s="33"/>
    </row>
    <row r="74" spans="1:31" ht="56" x14ac:dyDescent="0.3">
      <c r="A74" s="52" t="s">
        <v>284</v>
      </c>
      <c r="B74" s="25">
        <v>0</v>
      </c>
      <c r="C74" s="25">
        <v>1</v>
      </c>
      <c r="D74" s="25">
        <v>1</v>
      </c>
      <c r="E74" s="25">
        <v>1</v>
      </c>
      <c r="F74" s="25">
        <v>1</v>
      </c>
      <c r="G74" s="25">
        <v>0</v>
      </c>
      <c r="H74" s="25">
        <v>1</v>
      </c>
      <c r="I74" s="25">
        <v>1</v>
      </c>
      <c r="J74" s="25">
        <v>0</v>
      </c>
      <c r="K74" s="25">
        <v>0</v>
      </c>
      <c r="L74" s="3">
        <f t="shared" si="10"/>
        <v>0.6</v>
      </c>
      <c r="M74" s="26" t="str">
        <f t="shared" si="11"/>
        <v>sedang</v>
      </c>
      <c r="N74" s="3">
        <f t="shared" si="12"/>
        <v>0.4</v>
      </c>
      <c r="O74" s="26" t="str">
        <f t="shared" si="13"/>
        <v>soal diterima baik</v>
      </c>
      <c r="P74" s="33"/>
      <c r="Q74" s="26">
        <v>69</v>
      </c>
      <c r="R74" s="25">
        <f t="shared" si="18"/>
        <v>0</v>
      </c>
      <c r="S74" s="25">
        <f t="shared" si="18"/>
        <v>0</v>
      </c>
      <c r="T74" s="25">
        <f t="shared" si="18"/>
        <v>0</v>
      </c>
      <c r="U74" s="25">
        <f t="shared" si="18"/>
        <v>0</v>
      </c>
      <c r="V74" s="25">
        <f t="shared" si="18"/>
        <v>0</v>
      </c>
      <c r="W74" s="25">
        <f t="shared" si="14"/>
        <v>0</v>
      </c>
      <c r="X74" s="25">
        <f t="shared" si="14"/>
        <v>1</v>
      </c>
      <c r="Y74" s="25">
        <f t="shared" si="14"/>
        <v>1</v>
      </c>
      <c r="Z74" s="25">
        <f t="shared" si="14"/>
        <v>1</v>
      </c>
      <c r="AA74" s="25">
        <f t="shared" si="14"/>
        <v>1</v>
      </c>
      <c r="AB74" s="3">
        <f t="shared" si="15"/>
        <v>0.4</v>
      </c>
      <c r="AC74" s="3">
        <f t="shared" si="16"/>
        <v>0.6</v>
      </c>
      <c r="AD74" s="3">
        <f t="shared" si="17"/>
        <v>0.24</v>
      </c>
      <c r="AE74" s="33"/>
    </row>
    <row r="75" spans="1:31" ht="42" x14ac:dyDescent="0.3">
      <c r="A75" s="52" t="s">
        <v>285</v>
      </c>
      <c r="B75" s="25">
        <v>1</v>
      </c>
      <c r="C75" s="25">
        <v>1</v>
      </c>
      <c r="D75" s="25">
        <v>1</v>
      </c>
      <c r="E75" s="25">
        <v>0</v>
      </c>
      <c r="F75" s="25">
        <v>0</v>
      </c>
      <c r="G75" s="25">
        <v>0</v>
      </c>
      <c r="H75" s="25">
        <v>0</v>
      </c>
      <c r="I75" s="25">
        <v>0</v>
      </c>
      <c r="J75" s="25">
        <v>1</v>
      </c>
      <c r="K75" s="25">
        <v>0</v>
      </c>
      <c r="L75" s="3">
        <f t="shared" si="10"/>
        <v>0.4</v>
      </c>
      <c r="M75" s="26" t="str">
        <f t="shared" si="11"/>
        <v>sedang</v>
      </c>
      <c r="N75" s="3">
        <f t="shared" si="12"/>
        <v>0.4</v>
      </c>
      <c r="O75" s="26" t="str">
        <f t="shared" si="13"/>
        <v>soal diterima baik</v>
      </c>
      <c r="P75" s="33"/>
      <c r="Q75" s="26">
        <v>70</v>
      </c>
      <c r="R75" s="25">
        <f t="shared" si="18"/>
        <v>0</v>
      </c>
      <c r="S75" s="25">
        <f t="shared" si="18"/>
        <v>1</v>
      </c>
      <c r="T75" s="25">
        <f t="shared" si="18"/>
        <v>1</v>
      </c>
      <c r="U75" s="25">
        <f t="shared" si="18"/>
        <v>1</v>
      </c>
      <c r="V75" s="25">
        <f t="shared" si="18"/>
        <v>1</v>
      </c>
      <c r="W75" s="25">
        <f t="shared" si="14"/>
        <v>0</v>
      </c>
      <c r="X75" s="25">
        <f t="shared" si="14"/>
        <v>1</v>
      </c>
      <c r="Y75" s="25">
        <f t="shared" si="14"/>
        <v>1</v>
      </c>
      <c r="Z75" s="25">
        <f t="shared" si="14"/>
        <v>0</v>
      </c>
      <c r="AA75" s="25">
        <f t="shared" si="14"/>
        <v>0</v>
      </c>
      <c r="AB75" s="3">
        <f t="shared" si="15"/>
        <v>0.6</v>
      </c>
      <c r="AC75" s="3">
        <f t="shared" si="16"/>
        <v>0.4</v>
      </c>
      <c r="AD75" s="3">
        <f t="shared" si="17"/>
        <v>0.24</v>
      </c>
      <c r="AE75" s="33"/>
    </row>
    <row r="76" spans="1:31" ht="28" x14ac:dyDescent="0.3">
      <c r="A76" s="54" t="s">
        <v>286</v>
      </c>
      <c r="B76" s="25">
        <v>0</v>
      </c>
      <c r="C76" s="25">
        <v>1</v>
      </c>
      <c r="D76" s="25">
        <v>1</v>
      </c>
      <c r="E76" s="25">
        <v>0</v>
      </c>
      <c r="F76" s="25">
        <v>0</v>
      </c>
      <c r="G76" s="25">
        <v>0</v>
      </c>
      <c r="H76" s="25">
        <v>1</v>
      </c>
      <c r="I76" s="25">
        <v>1</v>
      </c>
      <c r="J76" s="25">
        <v>1</v>
      </c>
      <c r="K76" s="25">
        <v>1</v>
      </c>
      <c r="L76" s="3">
        <f t="shared" si="10"/>
        <v>0.6</v>
      </c>
      <c r="M76" s="26" t="str">
        <f t="shared" si="11"/>
        <v>sedang</v>
      </c>
      <c r="N76" s="3">
        <f t="shared" si="12"/>
        <v>0.4</v>
      </c>
      <c r="O76" s="26" t="str">
        <f t="shared" si="13"/>
        <v>soal diterima baik</v>
      </c>
      <c r="P76" s="33"/>
      <c r="Q76" s="26">
        <v>71</v>
      </c>
      <c r="R76" s="25">
        <f t="shared" si="18"/>
        <v>1</v>
      </c>
      <c r="S76" s="25">
        <f t="shared" si="18"/>
        <v>1</v>
      </c>
      <c r="T76" s="25">
        <f t="shared" si="18"/>
        <v>1</v>
      </c>
      <c r="U76" s="25">
        <f t="shared" si="18"/>
        <v>0</v>
      </c>
      <c r="V76" s="25">
        <f t="shared" si="18"/>
        <v>0</v>
      </c>
      <c r="W76" s="25">
        <f t="shared" si="14"/>
        <v>0</v>
      </c>
      <c r="X76" s="25">
        <f t="shared" si="14"/>
        <v>0</v>
      </c>
      <c r="Y76" s="25">
        <f t="shared" si="14"/>
        <v>0</v>
      </c>
      <c r="Z76" s="25">
        <f t="shared" si="14"/>
        <v>1</v>
      </c>
      <c r="AA76" s="25">
        <f t="shared" si="14"/>
        <v>0</v>
      </c>
      <c r="AB76" s="3">
        <f t="shared" si="15"/>
        <v>0.4</v>
      </c>
      <c r="AC76" s="3">
        <f t="shared" si="16"/>
        <v>0.6</v>
      </c>
      <c r="AD76" s="3">
        <f t="shared" si="17"/>
        <v>0.24</v>
      </c>
      <c r="AE76" s="33"/>
    </row>
    <row r="77" spans="1:31" ht="28" x14ac:dyDescent="0.3">
      <c r="A77" s="53" t="s">
        <v>327</v>
      </c>
      <c r="B77" s="25">
        <v>1</v>
      </c>
      <c r="C77" s="25">
        <v>0</v>
      </c>
      <c r="D77" s="25">
        <v>1</v>
      </c>
      <c r="E77" s="25">
        <v>1</v>
      </c>
      <c r="F77" s="25">
        <v>1</v>
      </c>
      <c r="G77" s="25">
        <v>1</v>
      </c>
      <c r="H77" s="25">
        <v>1</v>
      </c>
      <c r="I77" s="25">
        <v>0</v>
      </c>
      <c r="J77" s="25">
        <v>0</v>
      </c>
      <c r="K77" s="25">
        <v>0</v>
      </c>
      <c r="L77" s="3">
        <f t="shared" si="10"/>
        <v>0.6</v>
      </c>
      <c r="M77" s="26" t="str">
        <f t="shared" si="11"/>
        <v>sedang</v>
      </c>
      <c r="N77" s="3">
        <f t="shared" si="12"/>
        <v>0.4</v>
      </c>
      <c r="O77" s="26" t="str">
        <f t="shared" si="13"/>
        <v>soal diterima baik</v>
      </c>
      <c r="P77" s="33"/>
      <c r="Q77" s="26">
        <v>72</v>
      </c>
      <c r="R77" s="25">
        <f t="shared" si="18"/>
        <v>0</v>
      </c>
      <c r="S77" s="25">
        <f t="shared" si="18"/>
        <v>1</v>
      </c>
      <c r="T77" s="25">
        <f t="shared" si="18"/>
        <v>1</v>
      </c>
      <c r="U77" s="25">
        <f t="shared" si="18"/>
        <v>0</v>
      </c>
      <c r="V77" s="25">
        <f t="shared" si="18"/>
        <v>0</v>
      </c>
      <c r="W77" s="25">
        <f t="shared" si="14"/>
        <v>0</v>
      </c>
      <c r="X77" s="25">
        <f t="shared" si="14"/>
        <v>1</v>
      </c>
      <c r="Y77" s="25">
        <f t="shared" si="14"/>
        <v>1</v>
      </c>
      <c r="Z77" s="25">
        <f t="shared" si="14"/>
        <v>1</v>
      </c>
      <c r="AA77" s="25">
        <f t="shared" si="14"/>
        <v>1</v>
      </c>
      <c r="AB77" s="3">
        <f t="shared" si="15"/>
        <v>0.6</v>
      </c>
      <c r="AC77" s="3">
        <f t="shared" si="16"/>
        <v>0.4</v>
      </c>
      <c r="AD77" s="3">
        <f t="shared" si="17"/>
        <v>0.24</v>
      </c>
      <c r="AE77" s="33"/>
    </row>
    <row r="78" spans="1:31" ht="42" x14ac:dyDescent="0.3">
      <c r="A78" s="52" t="s">
        <v>287</v>
      </c>
      <c r="B78" s="25">
        <v>0</v>
      </c>
      <c r="C78" s="25">
        <v>1</v>
      </c>
      <c r="D78" s="25">
        <v>0</v>
      </c>
      <c r="E78" s="25">
        <v>0</v>
      </c>
      <c r="F78" s="25">
        <v>0</v>
      </c>
      <c r="G78" s="25">
        <v>0</v>
      </c>
      <c r="H78" s="25">
        <v>0</v>
      </c>
      <c r="I78" s="25">
        <v>1</v>
      </c>
      <c r="J78" s="25">
        <v>1</v>
      </c>
      <c r="K78" s="25">
        <v>1</v>
      </c>
      <c r="L78" s="3">
        <f t="shared" si="10"/>
        <v>0.4</v>
      </c>
      <c r="M78" s="26" t="str">
        <f t="shared" si="11"/>
        <v>sedang</v>
      </c>
      <c r="N78" s="3">
        <f t="shared" si="12"/>
        <v>0.4</v>
      </c>
      <c r="O78" s="26" t="str">
        <f t="shared" si="13"/>
        <v>soal diterima baik</v>
      </c>
      <c r="P78" s="33"/>
      <c r="Q78" s="26">
        <v>73</v>
      </c>
      <c r="R78" s="25">
        <f t="shared" si="18"/>
        <v>1</v>
      </c>
      <c r="S78" s="25">
        <f t="shared" si="18"/>
        <v>0</v>
      </c>
      <c r="T78" s="25">
        <f t="shared" si="18"/>
        <v>1</v>
      </c>
      <c r="U78" s="25">
        <f t="shared" si="18"/>
        <v>1</v>
      </c>
      <c r="V78" s="25">
        <f t="shared" si="18"/>
        <v>1</v>
      </c>
      <c r="W78" s="25">
        <f t="shared" si="14"/>
        <v>1</v>
      </c>
      <c r="X78" s="25">
        <f t="shared" si="14"/>
        <v>1</v>
      </c>
      <c r="Y78" s="25">
        <f t="shared" si="14"/>
        <v>0</v>
      </c>
      <c r="Z78" s="25">
        <f t="shared" si="14"/>
        <v>0</v>
      </c>
      <c r="AA78" s="25">
        <f t="shared" si="14"/>
        <v>0</v>
      </c>
      <c r="AB78" s="3">
        <f t="shared" si="15"/>
        <v>0.6</v>
      </c>
      <c r="AC78" s="3">
        <f t="shared" si="16"/>
        <v>0.4</v>
      </c>
      <c r="AD78" s="3">
        <f t="shared" si="17"/>
        <v>0.24</v>
      </c>
      <c r="AE78" s="33"/>
    </row>
    <row r="79" spans="1:31" ht="42" x14ac:dyDescent="0.3">
      <c r="A79" s="54" t="s">
        <v>288</v>
      </c>
      <c r="B79" s="25">
        <v>1</v>
      </c>
      <c r="C79" s="25">
        <v>0</v>
      </c>
      <c r="D79" s="25">
        <v>1</v>
      </c>
      <c r="E79" s="25">
        <v>1</v>
      </c>
      <c r="F79" s="25">
        <v>1</v>
      </c>
      <c r="G79" s="25">
        <v>1</v>
      </c>
      <c r="H79" s="25">
        <v>1</v>
      </c>
      <c r="I79" s="25">
        <v>0</v>
      </c>
      <c r="J79" s="25">
        <v>0</v>
      </c>
      <c r="K79" s="25">
        <v>0</v>
      </c>
      <c r="L79" s="3">
        <f t="shared" si="10"/>
        <v>0.6</v>
      </c>
      <c r="M79" s="26" t="str">
        <f t="shared" si="11"/>
        <v>sedang</v>
      </c>
      <c r="N79" s="3">
        <f t="shared" si="12"/>
        <v>0.4</v>
      </c>
      <c r="O79" s="26" t="str">
        <f t="shared" si="13"/>
        <v>soal diterima baik</v>
      </c>
      <c r="P79" s="33"/>
      <c r="Q79" s="26">
        <v>74</v>
      </c>
      <c r="R79" s="25">
        <f t="shared" si="18"/>
        <v>0</v>
      </c>
      <c r="S79" s="25">
        <f t="shared" si="18"/>
        <v>1</v>
      </c>
      <c r="T79" s="25">
        <f t="shared" si="18"/>
        <v>0</v>
      </c>
      <c r="U79" s="25">
        <f t="shared" si="18"/>
        <v>0</v>
      </c>
      <c r="V79" s="25">
        <f t="shared" si="18"/>
        <v>0</v>
      </c>
      <c r="W79" s="25">
        <f t="shared" si="14"/>
        <v>0</v>
      </c>
      <c r="X79" s="25">
        <f t="shared" si="14"/>
        <v>0</v>
      </c>
      <c r="Y79" s="25">
        <f t="shared" si="14"/>
        <v>1</v>
      </c>
      <c r="Z79" s="25">
        <f t="shared" si="14"/>
        <v>1</v>
      </c>
      <c r="AA79" s="25">
        <f t="shared" si="14"/>
        <v>1</v>
      </c>
      <c r="AB79" s="3">
        <f t="shared" si="15"/>
        <v>0.4</v>
      </c>
      <c r="AC79" s="3">
        <f t="shared" si="16"/>
        <v>0.6</v>
      </c>
      <c r="AD79" s="3">
        <f t="shared" si="17"/>
        <v>0.24</v>
      </c>
      <c r="AE79" s="33"/>
    </row>
    <row r="80" spans="1:31" ht="42" x14ac:dyDescent="0.3">
      <c r="A80" s="53" t="s">
        <v>289</v>
      </c>
      <c r="B80" s="25">
        <v>0</v>
      </c>
      <c r="C80" s="25">
        <v>1</v>
      </c>
      <c r="D80" s="25">
        <v>0</v>
      </c>
      <c r="E80" s="25">
        <v>1</v>
      </c>
      <c r="F80" s="25">
        <v>0</v>
      </c>
      <c r="G80" s="25">
        <v>0</v>
      </c>
      <c r="H80" s="25">
        <v>0</v>
      </c>
      <c r="I80" s="25">
        <v>0</v>
      </c>
      <c r="J80" s="25">
        <v>0</v>
      </c>
      <c r="K80" s="25">
        <v>0</v>
      </c>
      <c r="L80" s="3">
        <f t="shared" si="10"/>
        <v>0.2</v>
      </c>
      <c r="M80" s="26" t="str">
        <f t="shared" si="11"/>
        <v>sukar</v>
      </c>
      <c r="N80" s="3">
        <f t="shared" si="12"/>
        <v>0.4</v>
      </c>
      <c r="O80" s="26" t="str">
        <f t="shared" si="13"/>
        <v>soal diterima baik</v>
      </c>
      <c r="P80" s="33"/>
      <c r="Q80" s="26">
        <v>75</v>
      </c>
      <c r="R80" s="25">
        <f t="shared" si="18"/>
        <v>1</v>
      </c>
      <c r="S80" s="25">
        <f t="shared" si="18"/>
        <v>0</v>
      </c>
      <c r="T80" s="25">
        <f t="shared" si="18"/>
        <v>1</v>
      </c>
      <c r="U80" s="25">
        <f t="shared" si="18"/>
        <v>1</v>
      </c>
      <c r="V80" s="25">
        <f t="shared" si="18"/>
        <v>1</v>
      </c>
      <c r="W80" s="25">
        <f t="shared" si="14"/>
        <v>1</v>
      </c>
      <c r="X80" s="25">
        <f t="shared" si="14"/>
        <v>1</v>
      </c>
      <c r="Y80" s="25">
        <f t="shared" si="14"/>
        <v>0</v>
      </c>
      <c r="Z80" s="25">
        <f t="shared" si="14"/>
        <v>0</v>
      </c>
      <c r="AA80" s="25">
        <f t="shared" si="14"/>
        <v>0</v>
      </c>
      <c r="AB80" s="3">
        <f t="shared" si="15"/>
        <v>0.6</v>
      </c>
      <c r="AC80" s="3">
        <f t="shared" si="16"/>
        <v>0.4</v>
      </c>
      <c r="AD80" s="3">
        <f t="shared" si="17"/>
        <v>0.24</v>
      </c>
      <c r="AE80" s="33"/>
    </row>
    <row r="81" spans="1:31" ht="42" x14ac:dyDescent="0.3">
      <c r="A81" s="52" t="s">
        <v>290</v>
      </c>
      <c r="B81" s="25">
        <v>1</v>
      </c>
      <c r="C81" s="25">
        <v>1</v>
      </c>
      <c r="D81" s="25">
        <v>1</v>
      </c>
      <c r="E81" s="25">
        <v>1</v>
      </c>
      <c r="F81" s="25">
        <v>0</v>
      </c>
      <c r="G81" s="25">
        <v>0</v>
      </c>
      <c r="H81" s="25">
        <v>1</v>
      </c>
      <c r="I81" s="25">
        <v>0</v>
      </c>
      <c r="J81" s="25">
        <v>0</v>
      </c>
      <c r="K81" s="25">
        <v>1</v>
      </c>
      <c r="L81" s="3">
        <f t="shared" si="10"/>
        <v>0.6</v>
      </c>
      <c r="M81" s="26" t="str">
        <f t="shared" si="11"/>
        <v>sedang</v>
      </c>
      <c r="N81" s="3">
        <f t="shared" si="12"/>
        <v>0.4</v>
      </c>
      <c r="O81" s="26" t="str">
        <f t="shared" si="13"/>
        <v>soal diterima baik</v>
      </c>
      <c r="P81" s="33"/>
      <c r="Q81" s="26">
        <v>76</v>
      </c>
      <c r="R81" s="25">
        <f t="shared" si="18"/>
        <v>0</v>
      </c>
      <c r="S81" s="25">
        <f t="shared" si="18"/>
        <v>1</v>
      </c>
      <c r="T81" s="25">
        <f t="shared" si="18"/>
        <v>0</v>
      </c>
      <c r="U81" s="25">
        <f t="shared" si="18"/>
        <v>1</v>
      </c>
      <c r="V81" s="25">
        <f t="shared" si="18"/>
        <v>0</v>
      </c>
      <c r="W81" s="25">
        <f t="shared" si="14"/>
        <v>0</v>
      </c>
      <c r="X81" s="25">
        <f t="shared" si="14"/>
        <v>0</v>
      </c>
      <c r="Y81" s="25">
        <f t="shared" si="14"/>
        <v>0</v>
      </c>
      <c r="Z81" s="25">
        <f t="shared" si="14"/>
        <v>0</v>
      </c>
      <c r="AA81" s="25">
        <f t="shared" si="14"/>
        <v>0</v>
      </c>
      <c r="AB81" s="3">
        <f t="shared" si="15"/>
        <v>0.2</v>
      </c>
      <c r="AC81" s="3">
        <f t="shared" si="16"/>
        <v>0.8</v>
      </c>
      <c r="AD81" s="3">
        <f t="shared" si="17"/>
        <v>0.16000000000000003</v>
      </c>
      <c r="AE81" s="33"/>
    </row>
    <row r="82" spans="1:31" ht="70" x14ac:dyDescent="0.3">
      <c r="A82" s="54" t="s">
        <v>291</v>
      </c>
      <c r="B82" s="25">
        <v>1</v>
      </c>
      <c r="C82" s="25">
        <v>0</v>
      </c>
      <c r="D82" s="25">
        <v>1</v>
      </c>
      <c r="E82" s="25">
        <v>0</v>
      </c>
      <c r="F82" s="25">
        <v>0</v>
      </c>
      <c r="G82" s="25">
        <v>0</v>
      </c>
      <c r="H82" s="25">
        <v>0</v>
      </c>
      <c r="I82" s="25">
        <v>0</v>
      </c>
      <c r="J82" s="25">
        <v>0</v>
      </c>
      <c r="K82" s="25">
        <v>0</v>
      </c>
      <c r="L82" s="3">
        <f t="shared" si="10"/>
        <v>0.2</v>
      </c>
      <c r="M82" s="26" t="str">
        <f t="shared" si="11"/>
        <v>sukar</v>
      </c>
      <c r="N82" s="3">
        <f t="shared" si="12"/>
        <v>0.4</v>
      </c>
      <c r="O82" s="26" t="str">
        <f t="shared" si="13"/>
        <v>soal diterima baik</v>
      </c>
      <c r="P82" s="33"/>
      <c r="Q82" s="26">
        <v>77</v>
      </c>
      <c r="R82" s="25">
        <f t="shared" si="18"/>
        <v>1</v>
      </c>
      <c r="S82" s="25">
        <f t="shared" si="18"/>
        <v>1</v>
      </c>
      <c r="T82" s="25">
        <f t="shared" si="18"/>
        <v>1</v>
      </c>
      <c r="U82" s="25">
        <f t="shared" si="18"/>
        <v>1</v>
      </c>
      <c r="V82" s="25">
        <f t="shared" si="18"/>
        <v>0</v>
      </c>
      <c r="W82" s="25">
        <f t="shared" si="14"/>
        <v>0</v>
      </c>
      <c r="X82" s="25">
        <f t="shared" si="14"/>
        <v>1</v>
      </c>
      <c r="Y82" s="25">
        <f t="shared" si="14"/>
        <v>0</v>
      </c>
      <c r="Z82" s="25">
        <f t="shared" si="14"/>
        <v>0</v>
      </c>
      <c r="AA82" s="25">
        <f t="shared" si="14"/>
        <v>1</v>
      </c>
      <c r="AB82" s="3">
        <f t="shared" si="15"/>
        <v>0.6</v>
      </c>
      <c r="AC82" s="3">
        <f t="shared" si="16"/>
        <v>0.4</v>
      </c>
      <c r="AD82" s="3">
        <f t="shared" si="17"/>
        <v>0.24</v>
      </c>
      <c r="AE82" s="33"/>
    </row>
    <row r="83" spans="1:31" ht="42" x14ac:dyDescent="0.3">
      <c r="A83" s="53" t="s">
        <v>292</v>
      </c>
      <c r="B83" s="25">
        <v>0</v>
      </c>
      <c r="C83" s="25">
        <v>1</v>
      </c>
      <c r="D83" s="25">
        <v>0</v>
      </c>
      <c r="E83" s="25">
        <v>0</v>
      </c>
      <c r="F83" s="25">
        <v>0</v>
      </c>
      <c r="G83" s="25">
        <v>0</v>
      </c>
      <c r="H83" s="25">
        <v>1</v>
      </c>
      <c r="I83" s="25">
        <v>0</v>
      </c>
      <c r="J83" s="25">
        <v>1</v>
      </c>
      <c r="K83" s="25">
        <v>1</v>
      </c>
      <c r="L83" s="3">
        <f t="shared" si="10"/>
        <v>0.4</v>
      </c>
      <c r="M83" s="26" t="str">
        <f t="shared" si="11"/>
        <v>sedang</v>
      </c>
      <c r="N83" s="3">
        <f t="shared" si="12"/>
        <v>0.4</v>
      </c>
      <c r="O83" s="26" t="str">
        <f t="shared" si="13"/>
        <v>soal diterima baik</v>
      </c>
      <c r="P83" s="33"/>
      <c r="Q83" s="26">
        <v>78</v>
      </c>
      <c r="R83" s="25">
        <f t="shared" si="18"/>
        <v>1</v>
      </c>
      <c r="S83" s="25">
        <f t="shared" si="18"/>
        <v>0</v>
      </c>
      <c r="T83" s="25">
        <f t="shared" si="18"/>
        <v>1</v>
      </c>
      <c r="U83" s="25">
        <f t="shared" si="18"/>
        <v>0</v>
      </c>
      <c r="V83" s="25">
        <f t="shared" si="18"/>
        <v>0</v>
      </c>
      <c r="W83" s="25">
        <f t="shared" si="14"/>
        <v>0</v>
      </c>
      <c r="X83" s="25">
        <f t="shared" si="14"/>
        <v>0</v>
      </c>
      <c r="Y83" s="25">
        <f t="shared" si="14"/>
        <v>0</v>
      </c>
      <c r="Z83" s="25">
        <f t="shared" si="14"/>
        <v>0</v>
      </c>
      <c r="AA83" s="25">
        <f t="shared" si="14"/>
        <v>0</v>
      </c>
      <c r="AB83" s="3">
        <f t="shared" si="15"/>
        <v>0.2</v>
      </c>
      <c r="AC83" s="3">
        <f t="shared" si="16"/>
        <v>0.8</v>
      </c>
      <c r="AD83" s="3">
        <f t="shared" si="17"/>
        <v>0.16000000000000003</v>
      </c>
      <c r="AE83" s="33"/>
    </row>
    <row r="84" spans="1:31" ht="42" x14ac:dyDescent="0.3">
      <c r="A84" s="53" t="s">
        <v>293</v>
      </c>
      <c r="B84" s="25">
        <v>1</v>
      </c>
      <c r="C84" s="25">
        <v>1</v>
      </c>
      <c r="D84" s="25">
        <v>0</v>
      </c>
      <c r="E84" s="25">
        <v>0</v>
      </c>
      <c r="F84" s="25">
        <v>1</v>
      </c>
      <c r="G84" s="25">
        <v>0</v>
      </c>
      <c r="H84" s="25">
        <v>0</v>
      </c>
      <c r="I84" s="25">
        <v>0</v>
      </c>
      <c r="J84" s="25">
        <v>1</v>
      </c>
      <c r="K84" s="25">
        <v>0</v>
      </c>
      <c r="L84" s="3">
        <f t="shared" si="10"/>
        <v>0.4</v>
      </c>
      <c r="M84" s="26" t="str">
        <f t="shared" si="11"/>
        <v>sedang</v>
      </c>
      <c r="N84" s="3">
        <f t="shared" si="12"/>
        <v>0.4</v>
      </c>
      <c r="O84" s="26" t="str">
        <f t="shared" si="13"/>
        <v>soal diterima baik</v>
      </c>
      <c r="P84" s="33"/>
      <c r="Q84" s="26">
        <v>79</v>
      </c>
      <c r="R84" s="25">
        <f t="shared" si="18"/>
        <v>0</v>
      </c>
      <c r="S84" s="25">
        <f t="shared" si="18"/>
        <v>1</v>
      </c>
      <c r="T84" s="25">
        <f t="shared" si="18"/>
        <v>0</v>
      </c>
      <c r="U84" s="25">
        <f t="shared" si="18"/>
        <v>0</v>
      </c>
      <c r="V84" s="25">
        <f t="shared" si="18"/>
        <v>0</v>
      </c>
      <c r="W84" s="25">
        <f t="shared" si="14"/>
        <v>0</v>
      </c>
      <c r="X84" s="25">
        <f t="shared" si="14"/>
        <v>1</v>
      </c>
      <c r="Y84" s="25">
        <f t="shared" si="14"/>
        <v>0</v>
      </c>
      <c r="Z84" s="25">
        <f t="shared" si="14"/>
        <v>1</v>
      </c>
      <c r="AA84" s="25">
        <f t="shared" si="14"/>
        <v>1</v>
      </c>
      <c r="AB84" s="3">
        <f t="shared" si="15"/>
        <v>0.4</v>
      </c>
      <c r="AC84" s="3">
        <f t="shared" si="16"/>
        <v>0.6</v>
      </c>
      <c r="AD84" s="3">
        <f t="shared" si="17"/>
        <v>0.24</v>
      </c>
      <c r="AE84" s="33"/>
    </row>
    <row r="85" spans="1:31" ht="42" x14ac:dyDescent="0.3">
      <c r="A85" s="54" t="s">
        <v>294</v>
      </c>
      <c r="B85" s="25">
        <v>0</v>
      </c>
      <c r="C85" s="25">
        <v>0</v>
      </c>
      <c r="D85" s="25">
        <v>0</v>
      </c>
      <c r="E85" s="25">
        <v>0</v>
      </c>
      <c r="F85" s="25">
        <v>0</v>
      </c>
      <c r="G85" s="25">
        <v>0</v>
      </c>
      <c r="H85" s="25">
        <v>1</v>
      </c>
      <c r="I85" s="25">
        <v>1</v>
      </c>
      <c r="J85" s="25">
        <v>1</v>
      </c>
      <c r="K85" s="25">
        <v>1</v>
      </c>
      <c r="L85" s="3">
        <f t="shared" si="10"/>
        <v>0.4</v>
      </c>
      <c r="M85" s="26" t="str">
        <f t="shared" si="11"/>
        <v>sedang</v>
      </c>
      <c r="N85" s="3">
        <f t="shared" si="12"/>
        <v>0.8</v>
      </c>
      <c r="O85" s="26" t="str">
        <f t="shared" si="13"/>
        <v>soal diterima baik</v>
      </c>
      <c r="P85" s="33"/>
      <c r="Q85" s="26">
        <v>80</v>
      </c>
      <c r="R85" s="25">
        <f t="shared" si="18"/>
        <v>1</v>
      </c>
      <c r="S85" s="25">
        <f t="shared" si="18"/>
        <v>1</v>
      </c>
      <c r="T85" s="25">
        <f t="shared" si="18"/>
        <v>0</v>
      </c>
      <c r="U85" s="25">
        <f t="shared" si="18"/>
        <v>0</v>
      </c>
      <c r="V85" s="25">
        <f t="shared" si="18"/>
        <v>1</v>
      </c>
      <c r="W85" s="25">
        <f t="shared" si="14"/>
        <v>0</v>
      </c>
      <c r="X85" s="25">
        <f t="shared" si="14"/>
        <v>0</v>
      </c>
      <c r="Y85" s="25">
        <f t="shared" si="14"/>
        <v>0</v>
      </c>
      <c r="Z85" s="25">
        <f t="shared" si="14"/>
        <v>1</v>
      </c>
      <c r="AA85" s="25">
        <f t="shared" si="14"/>
        <v>0</v>
      </c>
      <c r="AB85" s="3">
        <f t="shared" si="15"/>
        <v>0.4</v>
      </c>
      <c r="AC85" s="3">
        <f t="shared" si="16"/>
        <v>0.6</v>
      </c>
      <c r="AD85" s="3">
        <f t="shared" si="17"/>
        <v>0.24</v>
      </c>
      <c r="AE85" s="33"/>
    </row>
    <row r="86" spans="1:31" ht="42" x14ac:dyDescent="0.3">
      <c r="A86" s="54" t="s">
        <v>328</v>
      </c>
      <c r="B86" s="25">
        <v>1</v>
      </c>
      <c r="C86" s="25">
        <v>1</v>
      </c>
      <c r="D86" s="25">
        <v>1</v>
      </c>
      <c r="E86" s="25">
        <v>1</v>
      </c>
      <c r="F86" s="25">
        <v>0</v>
      </c>
      <c r="G86" s="25">
        <v>0</v>
      </c>
      <c r="H86" s="25">
        <v>0</v>
      </c>
      <c r="I86" s="25">
        <v>1</v>
      </c>
      <c r="J86" s="25">
        <v>0</v>
      </c>
      <c r="K86" s="25">
        <v>1</v>
      </c>
      <c r="L86" s="3">
        <f t="shared" si="10"/>
        <v>0.6</v>
      </c>
      <c r="M86" s="26" t="str">
        <f t="shared" si="11"/>
        <v>sedang</v>
      </c>
      <c r="N86" s="3">
        <f t="shared" si="12"/>
        <v>0.4</v>
      </c>
      <c r="O86" s="26" t="str">
        <f t="shared" si="13"/>
        <v>soal diterima baik</v>
      </c>
      <c r="P86" s="33"/>
      <c r="Q86" s="26">
        <v>81</v>
      </c>
      <c r="R86" s="25">
        <f t="shared" si="18"/>
        <v>0</v>
      </c>
      <c r="S86" s="25">
        <f t="shared" si="18"/>
        <v>0</v>
      </c>
      <c r="T86" s="25">
        <f t="shared" si="18"/>
        <v>0</v>
      </c>
      <c r="U86" s="25">
        <f t="shared" si="18"/>
        <v>0</v>
      </c>
      <c r="V86" s="25">
        <f t="shared" si="18"/>
        <v>0</v>
      </c>
      <c r="W86" s="25">
        <f t="shared" si="14"/>
        <v>0</v>
      </c>
      <c r="X86" s="25">
        <f t="shared" si="14"/>
        <v>1</v>
      </c>
      <c r="Y86" s="25">
        <f t="shared" si="14"/>
        <v>1</v>
      </c>
      <c r="Z86" s="25">
        <f t="shared" si="14"/>
        <v>1</v>
      </c>
      <c r="AA86" s="25">
        <f t="shared" si="14"/>
        <v>1</v>
      </c>
      <c r="AB86" s="3">
        <f t="shared" si="15"/>
        <v>0.4</v>
      </c>
      <c r="AC86" s="3">
        <f t="shared" si="16"/>
        <v>0.6</v>
      </c>
      <c r="AD86" s="3">
        <f t="shared" si="17"/>
        <v>0.24</v>
      </c>
      <c r="AE86" s="33"/>
    </row>
    <row r="87" spans="1:31" ht="28" x14ac:dyDescent="0.3">
      <c r="A87" s="54" t="s">
        <v>295</v>
      </c>
      <c r="B87" s="25">
        <v>0</v>
      </c>
      <c r="C87" s="25">
        <v>0</v>
      </c>
      <c r="D87" s="25">
        <v>1</v>
      </c>
      <c r="E87" s="25">
        <v>1</v>
      </c>
      <c r="F87" s="25">
        <v>0</v>
      </c>
      <c r="G87" s="25">
        <v>1</v>
      </c>
      <c r="H87" s="25">
        <v>1</v>
      </c>
      <c r="I87" s="25">
        <v>1</v>
      </c>
      <c r="J87" s="25">
        <v>1</v>
      </c>
      <c r="K87" s="25">
        <v>0</v>
      </c>
      <c r="L87" s="3">
        <f t="shared" si="10"/>
        <v>0.6</v>
      </c>
      <c r="M87" s="26" t="str">
        <f t="shared" si="11"/>
        <v>sedang</v>
      </c>
      <c r="N87" s="3">
        <f t="shared" si="12"/>
        <v>0.4</v>
      </c>
      <c r="O87" s="26" t="str">
        <f t="shared" si="13"/>
        <v>soal diterima baik</v>
      </c>
      <c r="P87" s="33"/>
      <c r="Q87" s="26">
        <v>82</v>
      </c>
      <c r="R87" s="25">
        <f t="shared" si="18"/>
        <v>1</v>
      </c>
      <c r="S87" s="25">
        <f t="shared" si="18"/>
        <v>1</v>
      </c>
      <c r="T87" s="25">
        <f t="shared" si="18"/>
        <v>1</v>
      </c>
      <c r="U87" s="25">
        <f t="shared" si="18"/>
        <v>1</v>
      </c>
      <c r="V87" s="25">
        <f t="shared" si="18"/>
        <v>0</v>
      </c>
      <c r="W87" s="25">
        <f t="shared" si="14"/>
        <v>0</v>
      </c>
      <c r="X87" s="25">
        <f t="shared" si="14"/>
        <v>0</v>
      </c>
      <c r="Y87" s="25">
        <f t="shared" si="14"/>
        <v>1</v>
      </c>
      <c r="Z87" s="25">
        <f t="shared" si="14"/>
        <v>0</v>
      </c>
      <c r="AA87" s="25">
        <f t="shared" si="14"/>
        <v>1</v>
      </c>
      <c r="AB87" s="3">
        <f t="shared" si="15"/>
        <v>0.6</v>
      </c>
      <c r="AC87" s="3">
        <f t="shared" si="16"/>
        <v>0.4</v>
      </c>
      <c r="AD87" s="3">
        <f t="shared" si="17"/>
        <v>0.24</v>
      </c>
      <c r="AE87" s="33"/>
    </row>
    <row r="88" spans="1:31" ht="98" x14ac:dyDescent="0.3">
      <c r="A88" s="52" t="s">
        <v>296</v>
      </c>
      <c r="B88" s="25">
        <v>0</v>
      </c>
      <c r="C88" s="25">
        <v>1</v>
      </c>
      <c r="D88" s="25">
        <v>1</v>
      </c>
      <c r="E88" s="25">
        <v>1</v>
      </c>
      <c r="F88" s="25">
        <v>1</v>
      </c>
      <c r="G88" s="25">
        <v>1</v>
      </c>
      <c r="H88" s="25">
        <v>1</v>
      </c>
      <c r="I88" s="25">
        <v>0</v>
      </c>
      <c r="J88" s="25">
        <v>0</v>
      </c>
      <c r="K88" s="25">
        <v>0</v>
      </c>
      <c r="L88" s="3">
        <f t="shared" si="10"/>
        <v>0.6</v>
      </c>
      <c r="M88" s="26" t="str">
        <f t="shared" si="11"/>
        <v>sedang</v>
      </c>
      <c r="N88" s="3">
        <f t="shared" si="12"/>
        <v>0.4</v>
      </c>
      <c r="O88" s="26" t="str">
        <f t="shared" si="13"/>
        <v>soal diterima baik</v>
      </c>
      <c r="P88" s="33"/>
      <c r="Q88" s="26">
        <v>83</v>
      </c>
      <c r="R88" s="25">
        <f t="shared" si="18"/>
        <v>0</v>
      </c>
      <c r="S88" s="25">
        <f t="shared" si="18"/>
        <v>0</v>
      </c>
      <c r="T88" s="25">
        <f t="shared" si="18"/>
        <v>1</v>
      </c>
      <c r="U88" s="25">
        <f t="shared" si="18"/>
        <v>1</v>
      </c>
      <c r="V88" s="25">
        <f t="shared" si="18"/>
        <v>0</v>
      </c>
      <c r="W88" s="25">
        <f t="shared" si="14"/>
        <v>1</v>
      </c>
      <c r="X88" s="25">
        <f t="shared" si="14"/>
        <v>1</v>
      </c>
      <c r="Y88" s="25">
        <f t="shared" si="14"/>
        <v>1</v>
      </c>
      <c r="Z88" s="25">
        <f t="shared" si="14"/>
        <v>1</v>
      </c>
      <c r="AA88" s="25">
        <f t="shared" si="14"/>
        <v>0</v>
      </c>
      <c r="AB88" s="3">
        <f t="shared" si="15"/>
        <v>0.6</v>
      </c>
      <c r="AC88" s="3">
        <f t="shared" si="16"/>
        <v>0.4</v>
      </c>
      <c r="AD88" s="3">
        <f t="shared" si="17"/>
        <v>0.24</v>
      </c>
      <c r="AE88" s="33"/>
    </row>
    <row r="89" spans="1:31" ht="98" x14ac:dyDescent="0.3">
      <c r="A89" s="52" t="s">
        <v>297</v>
      </c>
      <c r="B89" s="25">
        <v>1</v>
      </c>
      <c r="C89" s="25">
        <v>1</v>
      </c>
      <c r="D89" s="25">
        <v>1</v>
      </c>
      <c r="E89" s="25">
        <v>1</v>
      </c>
      <c r="F89" s="25">
        <v>1</v>
      </c>
      <c r="G89" s="25">
        <v>0</v>
      </c>
      <c r="H89" s="25">
        <v>1</v>
      </c>
      <c r="I89" s="25">
        <v>1</v>
      </c>
      <c r="J89" s="25">
        <v>1</v>
      </c>
      <c r="K89" s="25">
        <v>0</v>
      </c>
      <c r="L89" s="3">
        <f t="shared" si="10"/>
        <v>0.8</v>
      </c>
      <c r="M89" s="26" t="str">
        <f t="shared" si="11"/>
        <v>mudah</v>
      </c>
      <c r="N89" s="3">
        <f t="shared" si="12"/>
        <v>0.4</v>
      </c>
      <c r="O89" s="26" t="str">
        <f t="shared" si="13"/>
        <v>soal diterima baik</v>
      </c>
      <c r="P89" s="33"/>
      <c r="Q89" s="26">
        <v>84</v>
      </c>
      <c r="R89" s="25">
        <f t="shared" si="18"/>
        <v>0</v>
      </c>
      <c r="S89" s="25">
        <f t="shared" si="18"/>
        <v>1</v>
      </c>
      <c r="T89" s="25">
        <f t="shared" si="18"/>
        <v>1</v>
      </c>
      <c r="U89" s="25">
        <f t="shared" si="18"/>
        <v>1</v>
      </c>
      <c r="V89" s="25">
        <f t="shared" si="18"/>
        <v>1</v>
      </c>
      <c r="W89" s="25">
        <f t="shared" si="14"/>
        <v>1</v>
      </c>
      <c r="X89" s="25">
        <f t="shared" si="14"/>
        <v>1</v>
      </c>
      <c r="Y89" s="25">
        <f t="shared" si="14"/>
        <v>0</v>
      </c>
      <c r="Z89" s="25">
        <f t="shared" si="14"/>
        <v>0</v>
      </c>
      <c r="AA89" s="25">
        <f t="shared" si="14"/>
        <v>0</v>
      </c>
      <c r="AB89" s="3">
        <f t="shared" si="15"/>
        <v>0.6</v>
      </c>
      <c r="AC89" s="3">
        <f t="shared" si="16"/>
        <v>0.4</v>
      </c>
      <c r="AD89" s="3">
        <f t="shared" si="17"/>
        <v>0.24</v>
      </c>
      <c r="AE89" s="33"/>
    </row>
    <row r="90" spans="1:31" ht="70" x14ac:dyDescent="0.3">
      <c r="A90" s="53" t="s">
        <v>298</v>
      </c>
      <c r="B90" s="25">
        <v>0</v>
      </c>
      <c r="C90" s="25">
        <v>1</v>
      </c>
      <c r="D90" s="25">
        <v>0</v>
      </c>
      <c r="E90" s="25">
        <v>0</v>
      </c>
      <c r="F90" s="25">
        <v>0</v>
      </c>
      <c r="G90" s="25">
        <v>0</v>
      </c>
      <c r="H90" s="25">
        <v>1</v>
      </c>
      <c r="I90" s="25">
        <v>0</v>
      </c>
      <c r="J90" s="25">
        <v>1</v>
      </c>
      <c r="K90" s="25">
        <v>1</v>
      </c>
      <c r="L90" s="3">
        <f t="shared" si="10"/>
        <v>0.4</v>
      </c>
      <c r="M90" s="26" t="str">
        <f t="shared" si="11"/>
        <v>sedang</v>
      </c>
      <c r="N90" s="3">
        <f t="shared" si="12"/>
        <v>0.4</v>
      </c>
      <c r="O90" s="26" t="str">
        <f t="shared" si="13"/>
        <v>soal diterima baik</v>
      </c>
      <c r="P90" s="33"/>
      <c r="Q90" s="26">
        <v>85</v>
      </c>
      <c r="R90" s="25">
        <f t="shared" si="18"/>
        <v>1</v>
      </c>
      <c r="S90" s="25">
        <f t="shared" si="18"/>
        <v>1</v>
      </c>
      <c r="T90" s="25">
        <f t="shared" si="18"/>
        <v>1</v>
      </c>
      <c r="U90" s="25">
        <f t="shared" si="18"/>
        <v>1</v>
      </c>
      <c r="V90" s="25">
        <f t="shared" si="18"/>
        <v>1</v>
      </c>
      <c r="W90" s="25">
        <f t="shared" si="14"/>
        <v>0</v>
      </c>
      <c r="X90" s="25">
        <f t="shared" si="14"/>
        <v>1</v>
      </c>
      <c r="Y90" s="25">
        <f t="shared" si="14"/>
        <v>1</v>
      </c>
      <c r="Z90" s="25">
        <f t="shared" si="14"/>
        <v>1</v>
      </c>
      <c r="AA90" s="25">
        <f t="shared" si="14"/>
        <v>0</v>
      </c>
      <c r="AB90" s="3">
        <f t="shared" si="15"/>
        <v>0.8</v>
      </c>
      <c r="AC90" s="3">
        <f t="shared" si="16"/>
        <v>0.19999999999999996</v>
      </c>
      <c r="AD90" s="3">
        <f t="shared" si="17"/>
        <v>0.15999999999999998</v>
      </c>
      <c r="AE90" s="33"/>
    </row>
    <row r="91" spans="1:31" ht="42" x14ac:dyDescent="0.3">
      <c r="A91" s="54" t="s">
        <v>329</v>
      </c>
      <c r="B91" s="25">
        <v>1</v>
      </c>
      <c r="C91" s="25">
        <v>1</v>
      </c>
      <c r="D91" s="25">
        <v>0</v>
      </c>
      <c r="E91" s="25">
        <v>0</v>
      </c>
      <c r="F91" s="25">
        <v>1</v>
      </c>
      <c r="G91" s="25">
        <v>0</v>
      </c>
      <c r="H91" s="25">
        <v>0</v>
      </c>
      <c r="I91" s="25">
        <v>0</v>
      </c>
      <c r="J91" s="25">
        <v>1</v>
      </c>
      <c r="K91" s="25">
        <v>0</v>
      </c>
      <c r="L91" s="3">
        <f t="shared" si="10"/>
        <v>0.4</v>
      </c>
      <c r="M91" s="26" t="str">
        <f t="shared" si="11"/>
        <v>sedang</v>
      </c>
      <c r="N91" s="3">
        <f t="shared" si="12"/>
        <v>0.4</v>
      </c>
      <c r="O91" s="26" t="str">
        <f t="shared" si="13"/>
        <v>soal diterima baik</v>
      </c>
      <c r="P91" s="33"/>
      <c r="Q91" s="26">
        <v>86</v>
      </c>
      <c r="R91" s="25">
        <f t="shared" si="18"/>
        <v>0</v>
      </c>
      <c r="S91" s="25">
        <f t="shared" si="18"/>
        <v>1</v>
      </c>
      <c r="T91" s="25">
        <f t="shared" si="18"/>
        <v>0</v>
      </c>
      <c r="U91" s="25">
        <f t="shared" si="18"/>
        <v>0</v>
      </c>
      <c r="V91" s="25">
        <f t="shared" si="18"/>
        <v>0</v>
      </c>
      <c r="W91" s="25">
        <f t="shared" si="14"/>
        <v>0</v>
      </c>
      <c r="X91" s="25">
        <f t="shared" si="14"/>
        <v>1</v>
      </c>
      <c r="Y91" s="25">
        <f t="shared" si="14"/>
        <v>0</v>
      </c>
      <c r="Z91" s="25">
        <f t="shared" si="14"/>
        <v>1</v>
      </c>
      <c r="AA91" s="25">
        <f t="shared" si="14"/>
        <v>1</v>
      </c>
      <c r="AB91" s="3">
        <f t="shared" si="15"/>
        <v>0.4</v>
      </c>
      <c r="AC91" s="3">
        <f t="shared" si="16"/>
        <v>0.6</v>
      </c>
      <c r="AD91" s="3">
        <f t="shared" si="17"/>
        <v>0.24</v>
      </c>
      <c r="AE91" s="33"/>
    </row>
    <row r="92" spans="1:31" ht="42" x14ac:dyDescent="0.3">
      <c r="A92" s="54" t="s">
        <v>299</v>
      </c>
      <c r="B92" s="25">
        <v>1</v>
      </c>
      <c r="C92" s="25">
        <v>1</v>
      </c>
      <c r="D92" s="25">
        <v>1</v>
      </c>
      <c r="E92" s="25">
        <v>0</v>
      </c>
      <c r="F92" s="25">
        <v>1</v>
      </c>
      <c r="G92" s="25">
        <v>0</v>
      </c>
      <c r="H92" s="25">
        <v>0</v>
      </c>
      <c r="I92" s="25">
        <v>0</v>
      </c>
      <c r="J92" s="25">
        <v>0</v>
      </c>
      <c r="K92" s="25">
        <v>0</v>
      </c>
      <c r="L92" s="3">
        <f t="shared" si="10"/>
        <v>0.4</v>
      </c>
      <c r="M92" s="26" t="str">
        <f t="shared" si="11"/>
        <v>sedang</v>
      </c>
      <c r="N92" s="3">
        <f t="shared" si="12"/>
        <v>0.8</v>
      </c>
      <c r="O92" s="26" t="str">
        <f t="shared" si="13"/>
        <v>soal diterima baik</v>
      </c>
      <c r="P92" s="33"/>
      <c r="Q92" s="26">
        <v>87</v>
      </c>
      <c r="R92" s="25">
        <f t="shared" si="18"/>
        <v>1</v>
      </c>
      <c r="S92" s="25">
        <f t="shared" si="18"/>
        <v>1</v>
      </c>
      <c r="T92" s="25">
        <f t="shared" si="18"/>
        <v>0</v>
      </c>
      <c r="U92" s="25">
        <f t="shared" si="18"/>
        <v>0</v>
      </c>
      <c r="V92" s="25">
        <f t="shared" si="18"/>
        <v>1</v>
      </c>
      <c r="W92" s="25">
        <f t="shared" si="14"/>
        <v>0</v>
      </c>
      <c r="X92" s="25">
        <f t="shared" si="14"/>
        <v>0</v>
      </c>
      <c r="Y92" s="25">
        <f t="shared" si="14"/>
        <v>0</v>
      </c>
      <c r="Z92" s="25">
        <f t="shared" si="14"/>
        <v>1</v>
      </c>
      <c r="AA92" s="25">
        <f t="shared" si="14"/>
        <v>0</v>
      </c>
      <c r="AB92" s="3">
        <f t="shared" si="15"/>
        <v>0.4</v>
      </c>
      <c r="AC92" s="3">
        <f t="shared" si="16"/>
        <v>0.6</v>
      </c>
      <c r="AD92" s="3">
        <f t="shared" si="17"/>
        <v>0.24</v>
      </c>
      <c r="AE92" s="33"/>
    </row>
    <row r="93" spans="1:31" ht="70" x14ac:dyDescent="0.3">
      <c r="A93" s="54" t="s">
        <v>300</v>
      </c>
      <c r="B93" s="25">
        <v>1</v>
      </c>
      <c r="C93" s="25">
        <v>0</v>
      </c>
      <c r="D93" s="25">
        <v>1</v>
      </c>
      <c r="E93" s="25">
        <v>0</v>
      </c>
      <c r="F93" s="25">
        <v>0</v>
      </c>
      <c r="G93" s="25">
        <v>0</v>
      </c>
      <c r="H93" s="25">
        <v>0</v>
      </c>
      <c r="I93" s="25">
        <v>0</v>
      </c>
      <c r="J93" s="25">
        <v>0</v>
      </c>
      <c r="K93" s="25">
        <v>0</v>
      </c>
      <c r="L93" s="3">
        <f t="shared" si="10"/>
        <v>0.2</v>
      </c>
      <c r="M93" s="26" t="str">
        <f t="shared" si="11"/>
        <v>sukar</v>
      </c>
      <c r="N93" s="3">
        <f t="shared" si="12"/>
        <v>0.4</v>
      </c>
      <c r="O93" s="26" t="str">
        <f t="shared" si="13"/>
        <v>soal diterima baik</v>
      </c>
      <c r="P93" s="33"/>
      <c r="Q93" s="26">
        <v>88</v>
      </c>
      <c r="R93" s="25">
        <f t="shared" si="18"/>
        <v>1</v>
      </c>
      <c r="S93" s="25">
        <f t="shared" si="18"/>
        <v>1</v>
      </c>
      <c r="T93" s="25">
        <f t="shared" si="18"/>
        <v>1</v>
      </c>
      <c r="U93" s="25">
        <f t="shared" si="18"/>
        <v>0</v>
      </c>
      <c r="V93" s="25">
        <f t="shared" si="18"/>
        <v>1</v>
      </c>
      <c r="W93" s="25">
        <f t="shared" si="14"/>
        <v>0</v>
      </c>
      <c r="X93" s="25">
        <f t="shared" si="14"/>
        <v>0</v>
      </c>
      <c r="Y93" s="25">
        <f t="shared" si="14"/>
        <v>0</v>
      </c>
      <c r="Z93" s="25">
        <f t="shared" si="14"/>
        <v>0</v>
      </c>
      <c r="AA93" s="25">
        <f t="shared" si="14"/>
        <v>0</v>
      </c>
      <c r="AB93" s="3">
        <f t="shared" si="15"/>
        <v>0.4</v>
      </c>
      <c r="AC93" s="3">
        <f t="shared" si="16"/>
        <v>0.6</v>
      </c>
      <c r="AD93" s="3">
        <f t="shared" si="17"/>
        <v>0.24</v>
      </c>
      <c r="AE93" s="33"/>
    </row>
    <row r="94" spans="1:31" ht="42" x14ac:dyDescent="0.3">
      <c r="A94" s="52" t="s">
        <v>301</v>
      </c>
      <c r="B94" s="25">
        <v>0</v>
      </c>
      <c r="C94" s="25">
        <v>0</v>
      </c>
      <c r="D94" s="25">
        <v>1</v>
      </c>
      <c r="E94" s="25">
        <v>0</v>
      </c>
      <c r="F94" s="25">
        <v>1</v>
      </c>
      <c r="G94" s="25">
        <v>1</v>
      </c>
      <c r="H94" s="25">
        <v>1</v>
      </c>
      <c r="I94" s="25">
        <v>1</v>
      </c>
      <c r="J94" s="25">
        <v>1</v>
      </c>
      <c r="K94" s="25">
        <v>0</v>
      </c>
      <c r="L94" s="3">
        <f t="shared" si="10"/>
        <v>0.6</v>
      </c>
      <c r="M94" s="26" t="str">
        <f t="shared" si="11"/>
        <v>sedang</v>
      </c>
      <c r="N94" s="3">
        <f t="shared" si="12"/>
        <v>0.4</v>
      </c>
      <c r="O94" s="26" t="str">
        <f t="shared" si="13"/>
        <v>soal diterima baik</v>
      </c>
      <c r="P94" s="33"/>
      <c r="Q94" s="26">
        <v>89</v>
      </c>
      <c r="R94" s="25">
        <f t="shared" si="18"/>
        <v>1</v>
      </c>
      <c r="S94" s="25">
        <f t="shared" si="18"/>
        <v>0</v>
      </c>
      <c r="T94" s="25">
        <f t="shared" si="18"/>
        <v>1</v>
      </c>
      <c r="U94" s="25">
        <f t="shared" si="18"/>
        <v>0</v>
      </c>
      <c r="V94" s="25">
        <f t="shared" si="18"/>
        <v>0</v>
      </c>
      <c r="W94" s="25">
        <f t="shared" si="14"/>
        <v>0</v>
      </c>
      <c r="X94" s="25">
        <f t="shared" si="14"/>
        <v>0</v>
      </c>
      <c r="Y94" s="25">
        <f t="shared" si="14"/>
        <v>0</v>
      </c>
      <c r="Z94" s="25">
        <f t="shared" si="14"/>
        <v>0</v>
      </c>
      <c r="AA94" s="25">
        <f t="shared" si="14"/>
        <v>0</v>
      </c>
      <c r="AB94" s="3">
        <f t="shared" si="15"/>
        <v>0.2</v>
      </c>
      <c r="AC94" s="3">
        <f t="shared" si="16"/>
        <v>0.8</v>
      </c>
      <c r="AD94" s="3">
        <f t="shared" si="17"/>
        <v>0.16000000000000003</v>
      </c>
      <c r="AE94" s="33"/>
    </row>
    <row r="95" spans="1:31" ht="56" x14ac:dyDescent="0.3">
      <c r="A95" s="54" t="s">
        <v>302</v>
      </c>
      <c r="B95" s="25">
        <v>1</v>
      </c>
      <c r="C95" s="25">
        <v>1</v>
      </c>
      <c r="D95" s="25">
        <v>0</v>
      </c>
      <c r="E95" s="25">
        <v>1</v>
      </c>
      <c r="F95" s="25">
        <v>0</v>
      </c>
      <c r="G95" s="25">
        <v>0</v>
      </c>
      <c r="H95" s="25">
        <v>0</v>
      </c>
      <c r="I95" s="25">
        <v>0</v>
      </c>
      <c r="J95" s="25">
        <v>0</v>
      </c>
      <c r="K95" s="25">
        <v>1</v>
      </c>
      <c r="L95" s="3">
        <f t="shared" si="10"/>
        <v>0.4</v>
      </c>
      <c r="M95" s="26" t="str">
        <f t="shared" si="11"/>
        <v>sedang</v>
      </c>
      <c r="N95" s="3">
        <f t="shared" si="12"/>
        <v>0.4</v>
      </c>
      <c r="O95" s="26" t="str">
        <f t="shared" si="13"/>
        <v>soal diterima baik</v>
      </c>
      <c r="P95" s="33"/>
      <c r="Q95" s="26">
        <v>90</v>
      </c>
      <c r="R95" s="25">
        <f t="shared" si="18"/>
        <v>0</v>
      </c>
      <c r="S95" s="25">
        <f t="shared" si="18"/>
        <v>0</v>
      </c>
      <c r="T95" s="25">
        <f t="shared" si="18"/>
        <v>1</v>
      </c>
      <c r="U95" s="25">
        <f t="shared" si="18"/>
        <v>0</v>
      </c>
      <c r="V95" s="25">
        <f t="shared" si="18"/>
        <v>1</v>
      </c>
      <c r="W95" s="25">
        <f t="shared" si="14"/>
        <v>1</v>
      </c>
      <c r="X95" s="25">
        <f t="shared" si="14"/>
        <v>1</v>
      </c>
      <c r="Y95" s="25">
        <f t="shared" si="14"/>
        <v>1</v>
      </c>
      <c r="Z95" s="25">
        <f t="shared" si="14"/>
        <v>1</v>
      </c>
      <c r="AA95" s="25">
        <f t="shared" si="14"/>
        <v>0</v>
      </c>
      <c r="AB95" s="3">
        <f t="shared" si="15"/>
        <v>0.6</v>
      </c>
      <c r="AC95" s="3">
        <f t="shared" si="16"/>
        <v>0.4</v>
      </c>
      <c r="AD95" s="3">
        <f t="shared" si="17"/>
        <v>0.24</v>
      </c>
      <c r="AE95" s="33"/>
    </row>
    <row r="96" spans="1:31" ht="70" x14ac:dyDescent="0.3">
      <c r="A96" s="53" t="s">
        <v>303</v>
      </c>
      <c r="B96" s="25">
        <v>0</v>
      </c>
      <c r="C96" s="25">
        <v>0</v>
      </c>
      <c r="D96" s="25">
        <v>0</v>
      </c>
      <c r="E96" s="25">
        <v>0</v>
      </c>
      <c r="F96" s="25">
        <v>1</v>
      </c>
      <c r="G96" s="25">
        <v>1</v>
      </c>
      <c r="H96" s="25">
        <v>0</v>
      </c>
      <c r="I96" s="25">
        <v>1</v>
      </c>
      <c r="J96" s="25">
        <v>0</v>
      </c>
      <c r="K96" s="25">
        <v>1</v>
      </c>
      <c r="L96" s="3">
        <f t="shared" si="10"/>
        <v>0.4</v>
      </c>
      <c r="M96" s="26" t="str">
        <f t="shared" si="11"/>
        <v>sedang</v>
      </c>
      <c r="N96" s="3">
        <f t="shared" si="12"/>
        <v>0.4</v>
      </c>
      <c r="O96" s="26" t="str">
        <f t="shared" si="13"/>
        <v>soal diterima baik</v>
      </c>
      <c r="P96" s="33"/>
      <c r="Q96" s="26">
        <v>91</v>
      </c>
      <c r="R96" s="25">
        <f t="shared" si="18"/>
        <v>1</v>
      </c>
      <c r="S96" s="25">
        <f t="shared" si="18"/>
        <v>1</v>
      </c>
      <c r="T96" s="25">
        <f t="shared" si="18"/>
        <v>0</v>
      </c>
      <c r="U96" s="25">
        <f t="shared" si="18"/>
        <v>1</v>
      </c>
      <c r="V96" s="25">
        <f t="shared" si="18"/>
        <v>0</v>
      </c>
      <c r="W96" s="25">
        <f t="shared" si="14"/>
        <v>0</v>
      </c>
      <c r="X96" s="25">
        <f t="shared" si="14"/>
        <v>0</v>
      </c>
      <c r="Y96" s="25">
        <f t="shared" si="14"/>
        <v>0</v>
      </c>
      <c r="Z96" s="25">
        <f t="shared" si="14"/>
        <v>0</v>
      </c>
      <c r="AA96" s="25">
        <f t="shared" si="14"/>
        <v>1</v>
      </c>
      <c r="AB96" s="3">
        <f t="shared" si="15"/>
        <v>0.4</v>
      </c>
      <c r="AC96" s="3">
        <f t="shared" si="16"/>
        <v>0.6</v>
      </c>
      <c r="AD96" s="3">
        <f t="shared" si="17"/>
        <v>0.24</v>
      </c>
      <c r="AE96" s="33"/>
    </row>
    <row r="97" spans="1:33" ht="42" x14ac:dyDescent="0.3">
      <c r="A97" s="53" t="s">
        <v>330</v>
      </c>
      <c r="B97" s="25">
        <v>0</v>
      </c>
      <c r="C97" s="25">
        <v>0</v>
      </c>
      <c r="D97" s="25">
        <v>1</v>
      </c>
      <c r="E97" s="25">
        <v>0</v>
      </c>
      <c r="F97" s="25">
        <v>1</v>
      </c>
      <c r="G97" s="25">
        <v>1</v>
      </c>
      <c r="H97" s="25">
        <v>1</v>
      </c>
      <c r="I97" s="25">
        <v>1</v>
      </c>
      <c r="J97" s="25">
        <v>1</v>
      </c>
      <c r="K97" s="25">
        <v>0</v>
      </c>
      <c r="L97" s="3">
        <f t="shared" si="10"/>
        <v>0.6</v>
      </c>
      <c r="M97" s="26" t="str">
        <f t="shared" si="11"/>
        <v>sedang</v>
      </c>
      <c r="N97" s="3">
        <f t="shared" si="12"/>
        <v>0.4</v>
      </c>
      <c r="O97" s="26" t="str">
        <f t="shared" si="13"/>
        <v>soal diterima baik</v>
      </c>
      <c r="P97" s="33"/>
      <c r="Q97" s="26">
        <v>92</v>
      </c>
      <c r="R97" s="25">
        <f t="shared" si="18"/>
        <v>0</v>
      </c>
      <c r="S97" s="25">
        <f t="shared" si="18"/>
        <v>0</v>
      </c>
      <c r="T97" s="25">
        <f t="shared" si="18"/>
        <v>0</v>
      </c>
      <c r="U97" s="25">
        <f t="shared" si="18"/>
        <v>0</v>
      </c>
      <c r="V97" s="25">
        <f t="shared" si="18"/>
        <v>1</v>
      </c>
      <c r="W97" s="25">
        <f t="shared" si="14"/>
        <v>1</v>
      </c>
      <c r="X97" s="25">
        <f t="shared" si="14"/>
        <v>0</v>
      </c>
      <c r="Y97" s="25">
        <f t="shared" si="14"/>
        <v>1</v>
      </c>
      <c r="Z97" s="25">
        <f t="shared" si="14"/>
        <v>0</v>
      </c>
      <c r="AA97" s="25">
        <f t="shared" si="14"/>
        <v>1</v>
      </c>
      <c r="AB97" s="3">
        <f t="shared" si="15"/>
        <v>0.4</v>
      </c>
      <c r="AC97" s="3">
        <f t="shared" si="16"/>
        <v>0.6</v>
      </c>
      <c r="AD97" s="3">
        <f t="shared" si="17"/>
        <v>0.24</v>
      </c>
      <c r="AE97" s="33"/>
    </row>
    <row r="98" spans="1:33" ht="84" x14ac:dyDescent="0.3">
      <c r="A98" s="53" t="s">
        <v>304</v>
      </c>
      <c r="B98" s="25">
        <v>0</v>
      </c>
      <c r="C98" s="25">
        <v>1</v>
      </c>
      <c r="D98" s="25">
        <v>0</v>
      </c>
      <c r="E98" s="25">
        <v>0</v>
      </c>
      <c r="F98" s="25">
        <v>0</v>
      </c>
      <c r="G98" s="25">
        <v>0</v>
      </c>
      <c r="H98" s="25">
        <v>1</v>
      </c>
      <c r="I98" s="25">
        <v>0</v>
      </c>
      <c r="J98" s="25">
        <v>1</v>
      </c>
      <c r="K98" s="25">
        <v>1</v>
      </c>
      <c r="L98" s="3">
        <f t="shared" si="10"/>
        <v>0.4</v>
      </c>
      <c r="M98" s="26" t="str">
        <f t="shared" si="11"/>
        <v>sedang</v>
      </c>
      <c r="N98" s="3">
        <f t="shared" si="12"/>
        <v>0.4</v>
      </c>
      <c r="O98" s="26" t="str">
        <f t="shared" si="13"/>
        <v>soal diterima baik</v>
      </c>
      <c r="P98" s="33"/>
      <c r="Q98" s="26">
        <v>93</v>
      </c>
      <c r="R98" s="25">
        <f t="shared" si="18"/>
        <v>0</v>
      </c>
      <c r="S98" s="25">
        <f t="shared" si="18"/>
        <v>0</v>
      </c>
      <c r="T98" s="25">
        <f t="shared" si="18"/>
        <v>1</v>
      </c>
      <c r="U98" s="25">
        <f t="shared" si="18"/>
        <v>0</v>
      </c>
      <c r="V98" s="25">
        <f t="shared" si="18"/>
        <v>1</v>
      </c>
      <c r="W98" s="25">
        <f t="shared" si="14"/>
        <v>1</v>
      </c>
      <c r="X98" s="25">
        <f t="shared" si="14"/>
        <v>1</v>
      </c>
      <c r="Y98" s="25">
        <f t="shared" si="14"/>
        <v>1</v>
      </c>
      <c r="Z98" s="25">
        <f t="shared" si="14"/>
        <v>1</v>
      </c>
      <c r="AA98" s="25">
        <f t="shared" si="14"/>
        <v>0</v>
      </c>
      <c r="AB98" s="3">
        <f t="shared" si="15"/>
        <v>0.6</v>
      </c>
      <c r="AC98" s="3">
        <f t="shared" si="16"/>
        <v>0.4</v>
      </c>
      <c r="AD98" s="3">
        <f t="shared" si="17"/>
        <v>0.24</v>
      </c>
      <c r="AE98" s="33"/>
    </row>
    <row r="99" spans="1:33" ht="56" x14ac:dyDescent="0.3">
      <c r="A99" s="53" t="s">
        <v>305</v>
      </c>
      <c r="B99" s="25">
        <v>1</v>
      </c>
      <c r="C99" s="25">
        <v>1</v>
      </c>
      <c r="D99" s="25">
        <v>1</v>
      </c>
      <c r="E99" s="25">
        <v>1</v>
      </c>
      <c r="F99" s="25">
        <v>1</v>
      </c>
      <c r="G99" s="25">
        <v>1</v>
      </c>
      <c r="H99" s="25">
        <v>0</v>
      </c>
      <c r="I99" s="25">
        <v>0</v>
      </c>
      <c r="J99" s="25">
        <v>0</v>
      </c>
      <c r="K99" s="25">
        <v>0</v>
      </c>
      <c r="L99" s="3">
        <f t="shared" si="10"/>
        <v>0.6</v>
      </c>
      <c r="M99" s="26" t="str">
        <f t="shared" si="11"/>
        <v>sedang</v>
      </c>
      <c r="N99" s="3">
        <f t="shared" si="12"/>
        <v>0.8</v>
      </c>
      <c r="O99" s="26" t="str">
        <f t="shared" si="13"/>
        <v>soal diterima baik</v>
      </c>
      <c r="P99" s="33"/>
      <c r="Q99" s="26">
        <v>94</v>
      </c>
      <c r="R99" s="25">
        <f t="shared" si="18"/>
        <v>0</v>
      </c>
      <c r="S99" s="25">
        <f t="shared" si="18"/>
        <v>1</v>
      </c>
      <c r="T99" s="25">
        <f t="shared" si="18"/>
        <v>0</v>
      </c>
      <c r="U99" s="25">
        <f t="shared" si="18"/>
        <v>0</v>
      </c>
      <c r="V99" s="25">
        <f t="shared" si="18"/>
        <v>0</v>
      </c>
      <c r="W99" s="25">
        <f t="shared" si="14"/>
        <v>0</v>
      </c>
      <c r="X99" s="25">
        <f t="shared" si="14"/>
        <v>1</v>
      </c>
      <c r="Y99" s="25">
        <f t="shared" si="14"/>
        <v>0</v>
      </c>
      <c r="Z99" s="25">
        <f t="shared" si="14"/>
        <v>1</v>
      </c>
      <c r="AA99" s="25">
        <f t="shared" si="14"/>
        <v>1</v>
      </c>
      <c r="AB99" s="3">
        <f t="shared" si="15"/>
        <v>0.4</v>
      </c>
      <c r="AC99" s="3">
        <f t="shared" si="16"/>
        <v>0.6</v>
      </c>
      <c r="AD99" s="3">
        <f t="shared" si="17"/>
        <v>0.24</v>
      </c>
      <c r="AE99" s="33"/>
    </row>
    <row r="100" spans="1:33" ht="42" x14ac:dyDescent="0.3">
      <c r="A100" s="52" t="s">
        <v>306</v>
      </c>
      <c r="B100" s="25">
        <v>0</v>
      </c>
      <c r="C100" s="25">
        <v>0</v>
      </c>
      <c r="D100" s="25">
        <v>0</v>
      </c>
      <c r="E100" s="25">
        <v>0</v>
      </c>
      <c r="F100" s="25">
        <v>1</v>
      </c>
      <c r="G100" s="25">
        <v>0</v>
      </c>
      <c r="H100" s="25">
        <v>1</v>
      </c>
      <c r="I100" s="25">
        <v>1</v>
      </c>
      <c r="J100" s="25">
        <v>0</v>
      </c>
      <c r="K100" s="25">
        <v>1</v>
      </c>
      <c r="L100" s="3">
        <f t="shared" si="10"/>
        <v>0.4</v>
      </c>
      <c r="M100" s="26" t="str">
        <f t="shared" si="11"/>
        <v>sedang</v>
      </c>
      <c r="N100" s="3">
        <f t="shared" si="12"/>
        <v>0.4</v>
      </c>
      <c r="O100" s="26" t="str">
        <f t="shared" si="13"/>
        <v>soal diterima baik</v>
      </c>
      <c r="P100" s="33"/>
      <c r="Q100" s="26">
        <v>95</v>
      </c>
      <c r="R100" s="25">
        <f t="shared" si="18"/>
        <v>1</v>
      </c>
      <c r="S100" s="25">
        <f t="shared" si="18"/>
        <v>1</v>
      </c>
      <c r="T100" s="25">
        <f t="shared" si="18"/>
        <v>1</v>
      </c>
      <c r="U100" s="25">
        <f t="shared" si="18"/>
        <v>1</v>
      </c>
      <c r="V100" s="25">
        <f t="shared" si="18"/>
        <v>1</v>
      </c>
      <c r="W100" s="25">
        <f t="shared" si="14"/>
        <v>1</v>
      </c>
      <c r="X100" s="25">
        <f t="shared" si="14"/>
        <v>0</v>
      </c>
      <c r="Y100" s="25">
        <f t="shared" si="14"/>
        <v>0</v>
      </c>
      <c r="Z100" s="25">
        <f t="shared" si="14"/>
        <v>0</v>
      </c>
      <c r="AA100" s="25">
        <f t="shared" si="14"/>
        <v>0</v>
      </c>
      <c r="AB100" s="3">
        <f t="shared" si="15"/>
        <v>0.6</v>
      </c>
      <c r="AC100" s="3">
        <f t="shared" si="16"/>
        <v>0.4</v>
      </c>
      <c r="AD100" s="3">
        <f t="shared" si="17"/>
        <v>0.24</v>
      </c>
      <c r="AE100" s="33"/>
    </row>
    <row r="101" spans="1:33" ht="42" x14ac:dyDescent="0.3">
      <c r="A101" s="53" t="s">
        <v>307</v>
      </c>
      <c r="B101" s="25">
        <v>1</v>
      </c>
      <c r="C101" s="25">
        <v>0</v>
      </c>
      <c r="D101" s="25">
        <v>1</v>
      </c>
      <c r="E101" s="25">
        <v>0</v>
      </c>
      <c r="F101" s="25">
        <v>0</v>
      </c>
      <c r="G101" s="25">
        <v>0</v>
      </c>
      <c r="H101" s="25">
        <v>0</v>
      </c>
      <c r="I101" s="25">
        <v>0</v>
      </c>
      <c r="J101" s="25">
        <v>0</v>
      </c>
      <c r="K101" s="25">
        <v>0</v>
      </c>
      <c r="L101" s="3">
        <f t="shared" si="10"/>
        <v>0.2</v>
      </c>
      <c r="M101" s="26" t="str">
        <f t="shared" si="11"/>
        <v>sukar</v>
      </c>
      <c r="N101" s="3">
        <f t="shared" si="12"/>
        <v>0.4</v>
      </c>
      <c r="O101" s="26" t="str">
        <f t="shared" si="13"/>
        <v>soal diterima baik</v>
      </c>
      <c r="P101" s="33"/>
      <c r="Q101" s="26">
        <v>96</v>
      </c>
      <c r="R101" s="25">
        <f t="shared" si="18"/>
        <v>0</v>
      </c>
      <c r="S101" s="25">
        <f t="shared" si="18"/>
        <v>0</v>
      </c>
      <c r="T101" s="25">
        <f t="shared" si="18"/>
        <v>0</v>
      </c>
      <c r="U101" s="25">
        <f t="shared" si="18"/>
        <v>0</v>
      </c>
      <c r="V101" s="25">
        <f t="shared" si="18"/>
        <v>1</v>
      </c>
      <c r="W101" s="25">
        <f t="shared" si="14"/>
        <v>0</v>
      </c>
      <c r="X101" s="25">
        <f t="shared" si="14"/>
        <v>1</v>
      </c>
      <c r="Y101" s="25">
        <f t="shared" si="14"/>
        <v>1</v>
      </c>
      <c r="Z101" s="25">
        <f t="shared" si="14"/>
        <v>0</v>
      </c>
      <c r="AA101" s="25">
        <f t="shared" si="14"/>
        <v>1</v>
      </c>
      <c r="AB101" s="3">
        <f t="shared" si="15"/>
        <v>0.4</v>
      </c>
      <c r="AC101" s="3">
        <f t="shared" si="16"/>
        <v>0.6</v>
      </c>
      <c r="AD101" s="3">
        <f t="shared" si="17"/>
        <v>0.24</v>
      </c>
      <c r="AE101" s="33"/>
    </row>
    <row r="102" spans="1:33" ht="28" x14ac:dyDescent="0.3">
      <c r="A102" s="54" t="s">
        <v>308</v>
      </c>
      <c r="B102" s="25">
        <v>0</v>
      </c>
      <c r="C102" s="25">
        <v>1</v>
      </c>
      <c r="D102" s="25">
        <v>1</v>
      </c>
      <c r="E102" s="25">
        <v>1</v>
      </c>
      <c r="F102" s="25">
        <v>1</v>
      </c>
      <c r="G102" s="25">
        <v>1</v>
      </c>
      <c r="H102" s="25">
        <v>0</v>
      </c>
      <c r="I102" s="25">
        <v>1</v>
      </c>
      <c r="J102" s="25">
        <v>0</v>
      </c>
      <c r="K102" s="25">
        <v>0</v>
      </c>
      <c r="L102" s="3">
        <f t="shared" si="10"/>
        <v>0.6</v>
      </c>
      <c r="M102" s="26" t="str">
        <f t="shared" si="11"/>
        <v>sedang</v>
      </c>
      <c r="N102" s="3">
        <f t="shared" si="12"/>
        <v>0.4</v>
      </c>
      <c r="O102" s="26" t="str">
        <f t="shared" si="13"/>
        <v>soal diterima baik</v>
      </c>
      <c r="P102" s="33"/>
      <c r="Q102" s="26">
        <v>97</v>
      </c>
      <c r="R102" s="25">
        <f t="shared" si="18"/>
        <v>1</v>
      </c>
      <c r="S102" s="25">
        <f t="shared" si="18"/>
        <v>0</v>
      </c>
      <c r="T102" s="25">
        <f t="shared" si="18"/>
        <v>1</v>
      </c>
      <c r="U102" s="25">
        <f t="shared" si="18"/>
        <v>0</v>
      </c>
      <c r="V102" s="25">
        <f t="shared" si="18"/>
        <v>0</v>
      </c>
      <c r="W102" s="25">
        <f t="shared" si="14"/>
        <v>0</v>
      </c>
      <c r="X102" s="25">
        <f t="shared" si="14"/>
        <v>0</v>
      </c>
      <c r="Y102" s="25">
        <f t="shared" si="14"/>
        <v>0</v>
      </c>
      <c r="Z102" s="25">
        <f t="shared" si="14"/>
        <v>0</v>
      </c>
      <c r="AA102" s="25">
        <f t="shared" si="14"/>
        <v>0</v>
      </c>
      <c r="AB102" s="3">
        <f t="shared" si="15"/>
        <v>0.2</v>
      </c>
      <c r="AC102" s="3">
        <f t="shared" si="16"/>
        <v>0.8</v>
      </c>
      <c r="AD102" s="3">
        <f t="shared" si="17"/>
        <v>0.16000000000000003</v>
      </c>
      <c r="AE102" s="33"/>
    </row>
    <row r="103" spans="1:33" ht="28" x14ac:dyDescent="0.3">
      <c r="A103" s="54" t="s">
        <v>309</v>
      </c>
      <c r="B103" s="25">
        <v>0</v>
      </c>
      <c r="C103" s="25">
        <v>0</v>
      </c>
      <c r="D103" s="25">
        <v>0</v>
      </c>
      <c r="E103" s="25">
        <v>1</v>
      </c>
      <c r="F103" s="25">
        <v>0</v>
      </c>
      <c r="G103" s="25">
        <v>1</v>
      </c>
      <c r="H103" s="25">
        <v>1</v>
      </c>
      <c r="I103" s="25">
        <v>1</v>
      </c>
      <c r="J103" s="25">
        <v>1</v>
      </c>
      <c r="K103" s="25">
        <v>1</v>
      </c>
      <c r="L103" s="3">
        <f t="shared" si="10"/>
        <v>0.6</v>
      </c>
      <c r="M103" s="26" t="str">
        <f t="shared" si="11"/>
        <v>sedang</v>
      </c>
      <c r="N103" s="3">
        <f t="shared" si="12"/>
        <v>0.8</v>
      </c>
      <c r="O103" s="26" t="str">
        <f t="shared" si="13"/>
        <v>soal diterima baik</v>
      </c>
      <c r="P103" s="33"/>
      <c r="Q103" s="26">
        <v>98</v>
      </c>
      <c r="R103" s="25">
        <f t="shared" si="18"/>
        <v>0</v>
      </c>
      <c r="S103" s="25">
        <f t="shared" si="18"/>
        <v>1</v>
      </c>
      <c r="T103" s="25">
        <f t="shared" si="18"/>
        <v>1</v>
      </c>
      <c r="U103" s="25">
        <f t="shared" si="18"/>
        <v>1</v>
      </c>
      <c r="V103" s="25">
        <f t="shared" si="18"/>
        <v>1</v>
      </c>
      <c r="W103" s="25">
        <f t="shared" si="14"/>
        <v>1</v>
      </c>
      <c r="X103" s="25">
        <f t="shared" si="14"/>
        <v>0</v>
      </c>
      <c r="Y103" s="25">
        <f t="shared" si="14"/>
        <v>1</v>
      </c>
      <c r="Z103" s="25">
        <f t="shared" si="14"/>
        <v>0</v>
      </c>
      <c r="AA103" s="25">
        <f t="shared" si="14"/>
        <v>0</v>
      </c>
      <c r="AB103" s="3">
        <f t="shared" si="15"/>
        <v>0.6</v>
      </c>
      <c r="AC103" s="3">
        <f t="shared" si="16"/>
        <v>0.4</v>
      </c>
      <c r="AD103" s="3">
        <f t="shared" si="17"/>
        <v>0.24</v>
      </c>
      <c r="AE103" s="33"/>
    </row>
    <row r="104" spans="1:33" ht="28" x14ac:dyDescent="0.3">
      <c r="A104" s="52" t="s">
        <v>310</v>
      </c>
      <c r="B104" s="25">
        <v>0</v>
      </c>
      <c r="C104" s="25">
        <v>0</v>
      </c>
      <c r="D104" s="25">
        <v>0</v>
      </c>
      <c r="E104" s="25">
        <v>0</v>
      </c>
      <c r="F104" s="25">
        <v>0</v>
      </c>
      <c r="G104" s="25">
        <v>1</v>
      </c>
      <c r="H104" s="25">
        <v>0</v>
      </c>
      <c r="I104" s="25">
        <v>1</v>
      </c>
      <c r="J104" s="25">
        <v>1</v>
      </c>
      <c r="K104" s="25">
        <v>1</v>
      </c>
      <c r="L104" s="3">
        <f t="shared" si="10"/>
        <v>0.4</v>
      </c>
      <c r="M104" s="26" t="str">
        <f t="shared" si="11"/>
        <v>sedang</v>
      </c>
      <c r="N104" s="3">
        <f t="shared" si="12"/>
        <v>0.8</v>
      </c>
      <c r="O104" s="26" t="str">
        <f t="shared" si="13"/>
        <v>soal diterima baik</v>
      </c>
      <c r="P104" s="33"/>
      <c r="Q104" s="26">
        <v>99</v>
      </c>
      <c r="R104" s="25">
        <f t="shared" si="18"/>
        <v>0</v>
      </c>
      <c r="S104" s="25">
        <f t="shared" si="18"/>
        <v>0</v>
      </c>
      <c r="T104" s="25">
        <f t="shared" si="18"/>
        <v>0</v>
      </c>
      <c r="U104" s="25">
        <f t="shared" si="18"/>
        <v>1</v>
      </c>
      <c r="V104" s="25">
        <f t="shared" si="18"/>
        <v>0</v>
      </c>
      <c r="W104" s="25">
        <f t="shared" si="14"/>
        <v>1</v>
      </c>
      <c r="X104" s="25">
        <f t="shared" si="14"/>
        <v>1</v>
      </c>
      <c r="Y104" s="25">
        <f t="shared" si="14"/>
        <v>1</v>
      </c>
      <c r="Z104" s="25">
        <f t="shared" si="14"/>
        <v>1</v>
      </c>
      <c r="AA104" s="25">
        <f t="shared" si="14"/>
        <v>1</v>
      </c>
      <c r="AB104" s="3">
        <f t="shared" si="15"/>
        <v>0.6</v>
      </c>
      <c r="AC104" s="3">
        <f t="shared" si="16"/>
        <v>0.4</v>
      </c>
      <c r="AD104" s="3">
        <f t="shared" si="17"/>
        <v>0.24</v>
      </c>
      <c r="AE104" s="33"/>
    </row>
    <row r="105" spans="1:33" x14ac:dyDescent="0.3">
      <c r="A105" s="55"/>
      <c r="B105" s="32">
        <f>SUM(B5:B104)</f>
        <v>49</v>
      </c>
      <c r="C105" s="32">
        <f t="shared" ref="C105:K105" si="19">SUM(C5:C104)</f>
        <v>61</v>
      </c>
      <c r="D105" s="32">
        <f t="shared" si="19"/>
        <v>45</v>
      </c>
      <c r="E105" s="32">
        <f t="shared" si="19"/>
        <v>49</v>
      </c>
      <c r="F105" s="32">
        <f t="shared" si="19"/>
        <v>47</v>
      </c>
      <c r="G105" s="32">
        <f t="shared" si="19"/>
        <v>41</v>
      </c>
      <c r="H105" s="32">
        <f t="shared" si="19"/>
        <v>51</v>
      </c>
      <c r="I105" s="32">
        <f t="shared" si="19"/>
        <v>41</v>
      </c>
      <c r="J105" s="32">
        <f t="shared" si="19"/>
        <v>56</v>
      </c>
      <c r="K105" s="32">
        <f t="shared" si="19"/>
        <v>46</v>
      </c>
      <c r="L105" s="33"/>
      <c r="M105" s="33"/>
      <c r="N105" s="33"/>
      <c r="O105" s="34">
        <f>COUNTIF(O5:O104,"soal dibuang")</f>
        <v>0</v>
      </c>
      <c r="P105" s="33"/>
      <c r="Q105" s="26">
        <v>100</v>
      </c>
      <c r="R105" s="25">
        <f t="shared" si="18"/>
        <v>0</v>
      </c>
      <c r="S105" s="25">
        <f t="shared" si="18"/>
        <v>0</v>
      </c>
      <c r="T105" s="25">
        <f t="shared" si="18"/>
        <v>0</v>
      </c>
      <c r="U105" s="25">
        <f t="shared" si="18"/>
        <v>0</v>
      </c>
      <c r="V105" s="25">
        <f t="shared" si="18"/>
        <v>0</v>
      </c>
      <c r="W105" s="25">
        <f t="shared" si="14"/>
        <v>1</v>
      </c>
      <c r="X105" s="25">
        <f t="shared" si="14"/>
        <v>0</v>
      </c>
      <c r="Y105" s="25">
        <f t="shared" si="14"/>
        <v>1</v>
      </c>
      <c r="Z105" s="25">
        <f t="shared" si="14"/>
        <v>1</v>
      </c>
      <c r="AA105" s="25">
        <f t="shared" si="14"/>
        <v>1</v>
      </c>
      <c r="AB105" s="3">
        <f>SUM(R105:AA105)/COUNT(R105:AA105)</f>
        <v>0.4</v>
      </c>
      <c r="AC105" s="3">
        <f t="shared" si="16"/>
        <v>0.6</v>
      </c>
      <c r="AD105" s="3">
        <f t="shared" si="17"/>
        <v>0.24</v>
      </c>
      <c r="AE105" s="33"/>
    </row>
    <row r="106" spans="1:33" ht="28" x14ac:dyDescent="0.3">
      <c r="A106" s="55"/>
      <c r="B106" s="35" t="s">
        <v>104</v>
      </c>
      <c r="C106" s="35" t="s">
        <v>104</v>
      </c>
      <c r="D106" s="35" t="s">
        <v>104</v>
      </c>
      <c r="E106" s="35" t="s">
        <v>104</v>
      </c>
      <c r="F106" s="35" t="s">
        <v>104</v>
      </c>
      <c r="G106" s="35" t="s">
        <v>105</v>
      </c>
      <c r="H106" s="35" t="s">
        <v>105</v>
      </c>
      <c r="I106" s="35" t="s">
        <v>105</v>
      </c>
      <c r="J106" s="35" t="s">
        <v>105</v>
      </c>
      <c r="K106" s="35" t="s">
        <v>105</v>
      </c>
      <c r="L106" s="33"/>
      <c r="M106" s="45">
        <f>COUNTIF(M5:M104,"mudah")</f>
        <v>10</v>
      </c>
      <c r="N106" s="33"/>
      <c r="O106" s="33"/>
      <c r="P106" s="33"/>
      <c r="Q106" s="20" t="s">
        <v>112</v>
      </c>
      <c r="R106" s="36">
        <f>SUM(R6:R105)</f>
        <v>49</v>
      </c>
      <c r="S106" s="36">
        <f t="shared" ref="S106:AA106" si="20">SUM(S6:S105)</f>
        <v>61</v>
      </c>
      <c r="T106" s="36">
        <f t="shared" si="20"/>
        <v>45</v>
      </c>
      <c r="U106" s="36">
        <f t="shared" si="20"/>
        <v>49</v>
      </c>
      <c r="V106" s="36">
        <f t="shared" si="20"/>
        <v>47</v>
      </c>
      <c r="W106" s="36">
        <f t="shared" si="20"/>
        <v>41</v>
      </c>
      <c r="X106" s="36">
        <f t="shared" si="20"/>
        <v>51</v>
      </c>
      <c r="Y106" s="36">
        <f t="shared" si="20"/>
        <v>41</v>
      </c>
      <c r="Z106" s="36">
        <f t="shared" si="20"/>
        <v>56</v>
      </c>
      <c r="AA106" s="36">
        <f t="shared" si="20"/>
        <v>46</v>
      </c>
      <c r="AB106" s="36"/>
      <c r="AC106" s="36"/>
      <c r="AD106" s="10">
        <f>SUM(AD6:AD105)</f>
        <v>22.159999999999979</v>
      </c>
      <c r="AE106" s="36" t="s">
        <v>111</v>
      </c>
      <c r="AF106" s="9"/>
      <c r="AG106" s="9"/>
    </row>
    <row r="107" spans="1:33" x14ac:dyDescent="0.3">
      <c r="A107" s="55"/>
      <c r="B107" s="31"/>
      <c r="C107" s="31"/>
      <c r="D107" s="31"/>
      <c r="E107" s="31"/>
      <c r="F107" s="31"/>
      <c r="G107" s="31"/>
      <c r="H107" s="31"/>
      <c r="I107" s="31"/>
      <c r="J107" s="31"/>
      <c r="K107" s="31"/>
      <c r="L107" s="33"/>
      <c r="M107" s="45">
        <f>COUNTIF(M5:M104,"sedang")</f>
        <v>77</v>
      </c>
      <c r="N107" s="33"/>
      <c r="O107" s="33"/>
      <c r="P107" s="33"/>
      <c r="Q107" s="20" t="s">
        <v>113</v>
      </c>
      <c r="R107" s="36">
        <f>SUM(R106:AA106)</f>
        <v>486</v>
      </c>
      <c r="S107" s="36"/>
      <c r="T107" s="36"/>
      <c r="U107" s="36"/>
      <c r="V107" s="36"/>
      <c r="W107" s="36"/>
      <c r="X107" s="36"/>
      <c r="Y107" s="36"/>
      <c r="Z107" s="36"/>
      <c r="AA107" s="36"/>
      <c r="AB107" s="36"/>
      <c r="AC107" s="36"/>
      <c r="AD107" s="36"/>
      <c r="AE107" s="36"/>
      <c r="AF107" s="9"/>
      <c r="AG107" s="9"/>
    </row>
    <row r="108" spans="1:33" ht="27" customHeight="1" x14ac:dyDescent="0.3">
      <c r="A108" s="56"/>
      <c r="B108" s="110" t="s">
        <v>630</v>
      </c>
      <c r="C108" s="110"/>
      <c r="D108" s="110"/>
      <c r="E108" s="25">
        <v>40</v>
      </c>
      <c r="F108" s="31"/>
      <c r="G108" s="31"/>
      <c r="H108" s="31"/>
      <c r="I108" s="31"/>
      <c r="J108" s="31"/>
      <c r="K108" s="31"/>
      <c r="L108" s="33"/>
      <c r="M108" s="36">
        <f>100-M106-M107</f>
        <v>13</v>
      </c>
      <c r="N108" s="33"/>
      <c r="O108" s="33"/>
      <c r="P108" s="33"/>
      <c r="Q108" s="20" t="s">
        <v>114</v>
      </c>
      <c r="R108" s="36">
        <f>$R$107/10</f>
        <v>48.6</v>
      </c>
      <c r="S108" s="36">
        <f t="shared" ref="S108:AA108" si="21">$R$107/10</f>
        <v>48.6</v>
      </c>
      <c r="T108" s="36">
        <f t="shared" si="21"/>
        <v>48.6</v>
      </c>
      <c r="U108" s="36">
        <f t="shared" si="21"/>
        <v>48.6</v>
      </c>
      <c r="V108" s="36">
        <f t="shared" si="21"/>
        <v>48.6</v>
      </c>
      <c r="W108" s="36">
        <f t="shared" si="21"/>
        <v>48.6</v>
      </c>
      <c r="X108" s="36">
        <f>$R$107/10</f>
        <v>48.6</v>
      </c>
      <c r="Y108" s="36">
        <f t="shared" si="21"/>
        <v>48.6</v>
      </c>
      <c r="Z108" s="36">
        <f t="shared" si="21"/>
        <v>48.6</v>
      </c>
      <c r="AA108" s="36">
        <f t="shared" si="21"/>
        <v>48.6</v>
      </c>
      <c r="AB108" s="36"/>
      <c r="AC108" s="36"/>
      <c r="AD108" s="36"/>
      <c r="AE108" s="36"/>
      <c r="AF108" s="9"/>
      <c r="AG108" s="9"/>
    </row>
    <row r="109" spans="1:33" ht="27" customHeight="1" x14ac:dyDescent="0.3">
      <c r="A109" s="54"/>
      <c r="B109" s="110" t="s">
        <v>631</v>
      </c>
      <c r="C109" s="110"/>
      <c r="D109" s="110"/>
      <c r="E109" s="25">
        <v>30</v>
      </c>
      <c r="F109" s="31"/>
      <c r="G109" s="31"/>
      <c r="H109" s="31"/>
      <c r="I109" s="31"/>
      <c r="J109" s="31"/>
      <c r="K109" s="31"/>
      <c r="L109" s="33"/>
      <c r="M109" s="33"/>
      <c r="N109" s="33"/>
      <c r="O109" s="33"/>
      <c r="P109" s="33"/>
      <c r="Q109" s="20" t="s">
        <v>115</v>
      </c>
      <c r="R109" s="10">
        <f>R106-R108</f>
        <v>0.39999999999999858</v>
      </c>
      <c r="S109" s="10">
        <f t="shared" ref="S109:AA109" si="22">S106-S108</f>
        <v>12.399999999999999</v>
      </c>
      <c r="T109" s="10">
        <f t="shared" si="22"/>
        <v>-3.6000000000000014</v>
      </c>
      <c r="U109" s="10">
        <f t="shared" si="22"/>
        <v>0.39999999999999858</v>
      </c>
      <c r="V109" s="10">
        <f t="shared" si="22"/>
        <v>-1.6000000000000014</v>
      </c>
      <c r="W109" s="10">
        <f t="shared" si="22"/>
        <v>-7.6000000000000014</v>
      </c>
      <c r="X109" s="10">
        <f t="shared" si="22"/>
        <v>2.3999999999999986</v>
      </c>
      <c r="Y109" s="10">
        <f t="shared" si="22"/>
        <v>-7.6000000000000014</v>
      </c>
      <c r="Z109" s="10">
        <f t="shared" si="22"/>
        <v>7.3999999999999986</v>
      </c>
      <c r="AA109" s="10">
        <f t="shared" si="22"/>
        <v>-2.6000000000000014</v>
      </c>
      <c r="AB109" s="36"/>
      <c r="AC109" s="36"/>
      <c r="AD109" s="36"/>
      <c r="AE109" s="36"/>
      <c r="AF109" s="9"/>
      <c r="AG109" s="9"/>
    </row>
    <row r="110" spans="1:33" ht="27" customHeight="1" x14ac:dyDescent="0.3">
      <c r="A110" s="53"/>
      <c r="B110" s="110" t="s">
        <v>632</v>
      </c>
      <c r="C110" s="110"/>
      <c r="D110" s="110"/>
      <c r="E110" s="25">
        <v>30</v>
      </c>
      <c r="F110" s="31"/>
      <c r="G110" s="31"/>
      <c r="H110" s="31"/>
      <c r="I110" s="31"/>
      <c r="J110" s="31"/>
      <c r="K110" s="31"/>
      <c r="L110" s="33"/>
      <c r="M110" s="33"/>
      <c r="N110" s="33"/>
      <c r="O110" s="33"/>
      <c r="P110" s="33"/>
      <c r="Q110" s="20" t="s">
        <v>116</v>
      </c>
      <c r="R110" s="11">
        <f>R109^2</f>
        <v>0.15999999999999887</v>
      </c>
      <c r="S110" s="11">
        <f t="shared" ref="S110:AA110" si="23">S109^2</f>
        <v>153.75999999999996</v>
      </c>
      <c r="T110" s="11">
        <f t="shared" si="23"/>
        <v>12.96000000000001</v>
      </c>
      <c r="U110" s="11">
        <f t="shared" si="23"/>
        <v>0.15999999999999887</v>
      </c>
      <c r="V110" s="11">
        <f t="shared" si="23"/>
        <v>2.5600000000000045</v>
      </c>
      <c r="W110" s="11">
        <f t="shared" si="23"/>
        <v>57.760000000000019</v>
      </c>
      <c r="X110" s="11">
        <f t="shared" si="23"/>
        <v>5.7599999999999936</v>
      </c>
      <c r="Y110" s="11">
        <f t="shared" si="23"/>
        <v>57.760000000000019</v>
      </c>
      <c r="Z110" s="11">
        <f t="shared" si="23"/>
        <v>54.759999999999977</v>
      </c>
      <c r="AA110" s="11">
        <f t="shared" si="23"/>
        <v>6.7600000000000078</v>
      </c>
      <c r="AB110" s="36"/>
      <c r="AC110" s="36"/>
      <c r="AD110" s="36"/>
      <c r="AE110" s="36"/>
      <c r="AF110" s="9"/>
      <c r="AG110" s="9"/>
    </row>
    <row r="111" spans="1:33" x14ac:dyDescent="0.3">
      <c r="A111" s="55"/>
      <c r="B111" s="31"/>
      <c r="C111" s="31"/>
      <c r="D111" s="31"/>
      <c r="E111" s="31"/>
      <c r="F111" s="31"/>
      <c r="G111" s="31"/>
      <c r="H111" s="31"/>
      <c r="I111" s="31"/>
      <c r="J111" s="31"/>
      <c r="K111" s="31"/>
      <c r="L111" s="33"/>
      <c r="M111" s="33"/>
      <c r="N111" s="33"/>
      <c r="O111" s="33"/>
      <c r="P111" s="33"/>
      <c r="Q111" s="20" t="s">
        <v>117</v>
      </c>
      <c r="R111" s="36">
        <f>SUM(R110:AA110)/10</f>
        <v>35.239999999999995</v>
      </c>
      <c r="S111" s="36"/>
      <c r="T111" s="36"/>
      <c r="U111" s="36"/>
      <c r="V111" s="36"/>
      <c r="W111" s="36"/>
      <c r="X111" s="36"/>
      <c r="Y111" s="36"/>
      <c r="Z111" s="36"/>
      <c r="AA111" s="36"/>
      <c r="AB111" s="36"/>
      <c r="AC111" s="36"/>
      <c r="AD111" s="36"/>
      <c r="AE111" s="36"/>
      <c r="AF111" s="9"/>
      <c r="AG111" s="9"/>
    </row>
    <row r="112" spans="1:33" x14ac:dyDescent="0.3">
      <c r="A112" s="55"/>
      <c r="B112" s="31"/>
      <c r="C112" s="31"/>
      <c r="D112" s="31"/>
      <c r="E112" s="31"/>
      <c r="F112" s="31"/>
      <c r="G112" s="31"/>
      <c r="H112" s="31"/>
      <c r="I112" s="31"/>
      <c r="J112" s="31"/>
      <c r="K112" s="31"/>
      <c r="L112" s="33"/>
      <c r="M112" s="33"/>
      <c r="N112" s="33"/>
      <c r="O112" s="33"/>
      <c r="P112" s="33"/>
      <c r="Q112" s="20" t="s">
        <v>118</v>
      </c>
      <c r="R112" s="10">
        <f>SQRT(R111)</f>
        <v>5.9363288318623315</v>
      </c>
      <c r="S112" s="36"/>
      <c r="T112" s="36"/>
      <c r="U112" s="36"/>
      <c r="V112" s="36"/>
      <c r="W112" s="36"/>
      <c r="X112" s="36"/>
      <c r="Y112" s="36"/>
      <c r="Z112" s="36"/>
      <c r="AA112" s="36"/>
      <c r="AB112" s="36"/>
      <c r="AC112" s="36"/>
      <c r="AD112" s="36"/>
      <c r="AE112" s="36"/>
      <c r="AF112" s="9"/>
      <c r="AG112" s="9"/>
    </row>
    <row r="113" spans="1:33" x14ac:dyDescent="0.3">
      <c r="A113" s="55"/>
      <c r="B113" s="31"/>
      <c r="C113" s="31"/>
      <c r="D113" s="31"/>
      <c r="E113" s="31"/>
      <c r="F113" s="31"/>
      <c r="G113" s="31"/>
      <c r="H113" s="31"/>
      <c r="I113" s="31"/>
      <c r="J113" s="31"/>
      <c r="K113" s="31"/>
      <c r="L113" s="33"/>
      <c r="M113" s="33"/>
      <c r="N113" s="33"/>
      <c r="O113" s="33"/>
      <c r="P113" s="33"/>
      <c r="Q113" s="41" t="s">
        <v>106</v>
      </c>
      <c r="R113" s="42">
        <f>100/(100-1)*(1-AD106/R111)</f>
        <v>0.3749183090840304</v>
      </c>
      <c r="S113" s="43" t="s">
        <v>119</v>
      </c>
      <c r="T113" s="36"/>
      <c r="U113" s="36"/>
      <c r="V113" s="36"/>
      <c r="W113" s="36"/>
      <c r="X113" s="36"/>
      <c r="Y113" s="36"/>
      <c r="Z113" s="36"/>
      <c r="AA113" s="36"/>
      <c r="AB113" s="36"/>
      <c r="AC113" s="36"/>
      <c r="AD113" s="36"/>
      <c r="AE113" s="36"/>
      <c r="AF113" s="9"/>
      <c r="AG113" s="9"/>
    </row>
    <row r="114" spans="1:33" x14ac:dyDescent="0.3">
      <c r="R114" s="9"/>
      <c r="S114" s="9"/>
      <c r="T114" s="9"/>
      <c r="U114" s="9"/>
      <c r="V114" s="9"/>
      <c r="W114" s="9"/>
      <c r="X114" s="9"/>
      <c r="Y114" s="9"/>
      <c r="Z114" s="9"/>
      <c r="AA114" s="9"/>
      <c r="AB114" s="9"/>
      <c r="AC114" s="9"/>
      <c r="AD114" s="9"/>
      <c r="AE114" s="9"/>
      <c r="AF114" s="9"/>
      <c r="AG114" s="9"/>
    </row>
    <row r="115" spans="1:33" x14ac:dyDescent="0.3">
      <c r="R115" s="9"/>
      <c r="S115" s="9"/>
      <c r="T115" s="9"/>
      <c r="U115" s="9"/>
      <c r="V115" s="9"/>
      <c r="W115" s="9"/>
      <c r="X115" s="9"/>
      <c r="Y115" s="9"/>
      <c r="Z115" s="9"/>
      <c r="AA115" s="9"/>
      <c r="AB115" s="9"/>
      <c r="AC115" s="9"/>
      <c r="AD115" s="9"/>
      <c r="AE115" s="9"/>
      <c r="AF115" s="9"/>
      <c r="AG115" s="9"/>
    </row>
  </sheetData>
  <mergeCells count="15">
    <mergeCell ref="B108:D108"/>
    <mergeCell ref="B109:D109"/>
    <mergeCell ref="B110:D110"/>
    <mergeCell ref="Q4:Q5"/>
    <mergeCell ref="B3:K3"/>
    <mergeCell ref="L3:L4"/>
    <mergeCell ref="M3:M4"/>
    <mergeCell ref="N3:N4"/>
    <mergeCell ref="O3:O4"/>
    <mergeCell ref="R4:AA4"/>
    <mergeCell ref="AB4:AB5"/>
    <mergeCell ref="AC4:AC5"/>
    <mergeCell ref="AD4:AD5"/>
    <mergeCell ref="A1:O1"/>
    <mergeCell ref="A3:A4"/>
  </mergeCells>
  <conditionalFormatting sqref="M5:M104 M3:O3 Q3">
    <cfRule type="containsText" dxfId="41" priority="10" operator="containsText" text="sedang">
      <formula>NOT(ISERROR(SEARCH("sedang",M3)))</formula>
    </cfRule>
  </conditionalFormatting>
  <conditionalFormatting sqref="M5:M104">
    <cfRule type="containsText" dxfId="40" priority="9" operator="containsText" text="sukar">
      <formula>NOT(ISERROR(SEARCH("sukar",M5)))</formula>
    </cfRule>
  </conditionalFormatting>
  <conditionalFormatting sqref="M106:M107">
    <cfRule type="containsText" dxfId="39" priority="4" operator="containsText" text="sukar">
      <formula>NOT(ISERROR(SEARCH("sukar",M106)))</formula>
    </cfRule>
    <cfRule type="containsText" dxfId="38" priority="5" operator="containsText" text="sedang">
      <formula>NOT(ISERROR(SEARCH("sedang",M106)))</formula>
    </cfRule>
    <cfRule type="containsText" dxfId="37" priority="6" operator="containsText" text="mudah">
      <formula>NOT(ISERROR(SEARCH("mudah",M106)))</formula>
    </cfRule>
  </conditionalFormatting>
  <conditionalFormatting sqref="M3:O3 Q3 M5:M104">
    <cfRule type="containsText" dxfId="36" priority="11" operator="containsText" text="mudah">
      <formula>NOT(ISERROR(SEARCH("mudah",M3)))</formula>
    </cfRule>
  </conditionalFormatting>
  <conditionalFormatting sqref="O5:O106">
    <cfRule type="containsText" dxfId="35" priority="8" operator="containsText" text="soal dibuang">
      <formula>NOT(ISERROR(SEARCH("soal dibuang",O5)))</formula>
    </cfRule>
  </conditionalFormatting>
  <pageMargins left="0.26" right="0.28000000000000003" top="0.47244094488188981" bottom="0.34" header="0.31496062992125984" footer="0.23"/>
  <pageSetup paperSize="9" scale="70"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EC0D6-7364-4843-A05A-E88798F42A46}">
  <dimension ref="A1:AC112"/>
  <sheetViews>
    <sheetView view="pageBreakPreview" zoomScale="48" zoomScaleNormal="48" zoomScaleSheetLayoutView="48" workbookViewId="0">
      <selection activeCell="L21" sqref="L21"/>
    </sheetView>
  </sheetViews>
  <sheetFormatPr defaultRowHeight="14.5" x14ac:dyDescent="0.35"/>
  <cols>
    <col min="1" max="1" width="34.81640625" customWidth="1"/>
    <col min="2" max="11" width="5.7265625" style="1" customWidth="1"/>
    <col min="12" max="12" width="5.36328125" style="1" bestFit="1" customWidth="1"/>
    <col min="13" max="13" width="5.453125" bestFit="1" customWidth="1"/>
    <col min="14" max="14" width="11.26953125" customWidth="1"/>
    <col min="15" max="15" width="5.81640625" customWidth="1"/>
    <col min="16" max="16" width="8.36328125" customWidth="1"/>
    <col min="17" max="17" width="8" customWidth="1"/>
    <col min="18" max="18" width="10.36328125" customWidth="1"/>
    <col min="19" max="19" width="8.81640625" customWidth="1"/>
    <col min="20" max="20" width="7.7265625" customWidth="1"/>
    <col min="21" max="21" width="7.453125" customWidth="1"/>
    <col min="22" max="22" width="6.08984375" bestFit="1" customWidth="1"/>
    <col min="23" max="23" width="6.1796875" bestFit="1" customWidth="1"/>
    <col min="24" max="24" width="7.81640625" customWidth="1"/>
    <col min="25" max="25" width="9.08984375" customWidth="1"/>
    <col min="26" max="26" width="5.54296875" bestFit="1" customWidth="1"/>
    <col min="27" max="27" width="10.6328125" customWidth="1"/>
    <col min="28" max="28" width="12.26953125" style="1" customWidth="1"/>
    <col min="29" max="29" width="35.1796875" customWidth="1"/>
  </cols>
  <sheetData>
    <row r="1" spans="1:29" ht="15.5" x14ac:dyDescent="0.35">
      <c r="A1" s="122" t="s">
        <v>798</v>
      </c>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row>
    <row r="2" spans="1:29" x14ac:dyDescent="0.35">
      <c r="A2" s="76"/>
      <c r="B2" s="77"/>
      <c r="C2" s="77"/>
      <c r="D2" s="77"/>
      <c r="E2" s="77"/>
      <c r="F2" s="77"/>
      <c r="G2" s="77"/>
      <c r="H2" s="77"/>
      <c r="I2" s="77"/>
      <c r="J2" s="77"/>
      <c r="K2" s="77"/>
      <c r="L2" s="77"/>
      <c r="M2" s="76"/>
      <c r="N2" s="76"/>
      <c r="O2" s="76"/>
      <c r="P2" s="76"/>
      <c r="Q2" s="76"/>
      <c r="R2" s="76"/>
      <c r="S2" s="76"/>
      <c r="T2" s="76"/>
      <c r="U2" s="76"/>
      <c r="V2" s="76"/>
      <c r="W2" s="76"/>
      <c r="X2" s="76"/>
      <c r="Y2" s="76"/>
      <c r="Z2" s="76"/>
      <c r="AA2" s="76"/>
      <c r="AB2" s="77"/>
      <c r="AC2" s="76"/>
    </row>
    <row r="3" spans="1:29" ht="14.5" customHeight="1" x14ac:dyDescent="0.35">
      <c r="A3" s="79" t="s">
        <v>759</v>
      </c>
      <c r="B3" s="87">
        <v>0.5</v>
      </c>
      <c r="C3" s="86"/>
      <c r="D3" s="86"/>
      <c r="E3" s="86"/>
      <c r="F3" s="86"/>
      <c r="G3" s="86"/>
      <c r="H3" s="86"/>
      <c r="I3" s="86"/>
      <c r="J3" s="93" t="s">
        <v>763</v>
      </c>
      <c r="K3" s="93"/>
      <c r="L3" s="93"/>
      <c r="M3" s="93"/>
      <c r="N3" s="92"/>
      <c r="O3" s="91"/>
      <c r="P3" s="127" t="s">
        <v>767</v>
      </c>
      <c r="Q3" s="127"/>
      <c r="R3" s="127"/>
      <c r="S3" s="127"/>
      <c r="T3" s="91"/>
      <c r="U3" s="76"/>
      <c r="V3" s="76"/>
      <c r="W3" s="76"/>
      <c r="X3" s="76"/>
      <c r="Y3" s="76"/>
      <c r="Z3" s="76"/>
      <c r="AA3" s="76"/>
      <c r="AB3" s="77"/>
      <c r="AC3" s="76"/>
    </row>
    <row r="4" spans="1:29" ht="14.5" customHeight="1" x14ac:dyDescent="0.35">
      <c r="A4" s="79" t="s">
        <v>760</v>
      </c>
      <c r="B4" s="87">
        <v>1</v>
      </c>
      <c r="C4" s="86"/>
      <c r="D4" s="86"/>
      <c r="E4" s="86"/>
      <c r="F4" s="86"/>
      <c r="G4" s="86"/>
      <c r="H4" s="86"/>
      <c r="I4" s="86"/>
      <c r="J4" s="85"/>
      <c r="K4" s="120" t="s">
        <v>764</v>
      </c>
      <c r="L4" s="120"/>
      <c r="M4" s="120"/>
      <c r="N4" s="90">
        <f>COUNTIF($AA$11:$AA$110,"DIF Besar - review")</f>
        <v>0</v>
      </c>
      <c r="O4" s="81"/>
      <c r="P4" s="119" t="s">
        <v>768</v>
      </c>
      <c r="Q4" s="119"/>
      <c r="R4" s="119"/>
      <c r="S4" s="89"/>
      <c r="T4" s="88">
        <f>COUNTIF($AB$11:$AB$110,"Berpotensi Bias - Tinjau Konten")</f>
        <v>0</v>
      </c>
      <c r="U4" s="76"/>
      <c r="V4" s="76"/>
      <c r="W4" s="76"/>
      <c r="X4" s="76"/>
      <c r="Y4" s="76"/>
      <c r="Z4" s="76"/>
      <c r="AA4" s="76"/>
      <c r="AB4" s="77"/>
      <c r="AC4" s="76"/>
    </row>
    <row r="5" spans="1:29" ht="14.5" customHeight="1" x14ac:dyDescent="0.35">
      <c r="A5" s="79" t="s">
        <v>761</v>
      </c>
      <c r="B5" s="87">
        <v>2</v>
      </c>
      <c r="C5" s="86"/>
      <c r="D5" s="86"/>
      <c r="E5" s="86"/>
      <c r="F5" s="86"/>
      <c r="G5" s="86"/>
      <c r="H5" s="86"/>
      <c r="I5" s="86"/>
      <c r="J5" s="85"/>
      <c r="K5" s="120" t="s">
        <v>765</v>
      </c>
      <c r="L5" s="120"/>
      <c r="M5" s="120"/>
      <c r="N5" s="84">
        <f>COUNTIF($AA$11:$AA$110,"DIF Moderat - cek")</f>
        <v>0</v>
      </c>
      <c r="O5" s="81"/>
      <c r="P5" s="119" t="s">
        <v>769</v>
      </c>
      <c r="Q5" s="119"/>
      <c r="R5" s="119"/>
      <c r="S5" s="119"/>
      <c r="T5" s="84">
        <f>COUNTIF($AB$11:$AB$110,"Indikasi Ringan - Pantau")</f>
        <v>0</v>
      </c>
      <c r="U5" s="76"/>
      <c r="V5" s="76"/>
      <c r="W5" s="76"/>
      <c r="X5" s="76"/>
      <c r="Y5" s="76"/>
      <c r="Z5" s="76"/>
      <c r="AA5" s="76"/>
      <c r="AB5" s="77"/>
      <c r="AC5" s="76"/>
    </row>
    <row r="6" spans="1:29" ht="14.5" customHeight="1" x14ac:dyDescent="0.35">
      <c r="A6" s="79" t="s">
        <v>762</v>
      </c>
      <c r="B6" s="83">
        <f>_xlfn.AGGREGATE(14,6,ABS(X11:X110),1)</f>
        <v>0</v>
      </c>
      <c r="C6" s="78"/>
      <c r="D6" s="78"/>
      <c r="E6" s="78"/>
      <c r="F6" s="78"/>
      <c r="G6" s="78"/>
      <c r="H6" s="78"/>
      <c r="I6" s="78"/>
      <c r="J6" s="82"/>
      <c r="K6" s="120" t="s">
        <v>766</v>
      </c>
      <c r="L6" s="120"/>
      <c r="M6" s="120"/>
      <c r="N6" s="80">
        <f>COUNTIF($AA$11:$AA$110,"Negligible")</f>
        <v>100</v>
      </c>
      <c r="O6" s="81"/>
      <c r="P6" s="119" t="s">
        <v>770</v>
      </c>
      <c r="Q6" s="119"/>
      <c r="R6" s="119"/>
      <c r="S6" s="119"/>
      <c r="T6" s="80">
        <f>COUNTIF($AB$11:$AB$110,"Tidak Ada Indikasi Bias")</f>
        <v>100</v>
      </c>
      <c r="U6" s="76"/>
      <c r="V6" s="76"/>
      <c r="W6" s="76"/>
      <c r="X6" s="76"/>
      <c r="Y6" s="76"/>
      <c r="Z6" s="76"/>
      <c r="AA6" s="76"/>
      <c r="AB6" s="77"/>
      <c r="AC6" s="76"/>
    </row>
    <row r="7" spans="1:29" ht="34.5" customHeight="1" x14ac:dyDescent="0.35">
      <c r="A7" s="79"/>
      <c r="B7" s="78"/>
      <c r="C7" s="78"/>
      <c r="D7" s="78"/>
      <c r="E7" s="78"/>
      <c r="F7" s="78"/>
      <c r="G7" s="78"/>
      <c r="H7" s="78"/>
      <c r="I7" s="78"/>
      <c r="J7" s="121" t="s">
        <v>803</v>
      </c>
      <c r="K7" s="121"/>
      <c r="L7" s="121"/>
      <c r="M7" s="121"/>
      <c r="N7" s="121"/>
      <c r="O7" s="121"/>
      <c r="P7" s="121"/>
      <c r="Q7" s="121"/>
      <c r="R7" s="121"/>
      <c r="S7" s="121"/>
      <c r="T7" s="121"/>
      <c r="U7" s="121"/>
      <c r="V7" s="121"/>
      <c r="W7" s="121"/>
      <c r="X7" s="121"/>
      <c r="Y7" s="121"/>
      <c r="Z7" s="121"/>
      <c r="AA7" s="121"/>
      <c r="AB7" s="77"/>
      <c r="AC7" s="76"/>
    </row>
    <row r="8" spans="1:29" s="73" customFormat="1" ht="27.5" customHeight="1" x14ac:dyDescent="0.35">
      <c r="A8" s="75" t="s">
        <v>756</v>
      </c>
      <c r="B8" s="74" t="str">
        <f>IMR!B2</f>
        <v>Laki-Laki</v>
      </c>
      <c r="C8" s="74" t="str">
        <f>IMR!C2</f>
        <v>Laki-Laki</v>
      </c>
      <c r="D8" s="74" t="str">
        <f>IMR!D2</f>
        <v>Perempuan</v>
      </c>
      <c r="E8" s="74" t="str">
        <f>IMR!E2</f>
        <v>Perempuan</v>
      </c>
      <c r="F8" s="74" t="str">
        <f>IMR!F2</f>
        <v>Perempuan</v>
      </c>
      <c r="G8" s="74" t="str">
        <f>IMR!G2</f>
        <v>Laki-Laki</v>
      </c>
      <c r="H8" s="74" t="str">
        <f>IMR!H2</f>
        <v>Laki-Laki</v>
      </c>
      <c r="I8" s="74" t="str">
        <f>IMR!I2</f>
        <v>Laki-Laki</v>
      </c>
      <c r="J8" s="74" t="str">
        <f>IMR!J2</f>
        <v>Perempuan</v>
      </c>
      <c r="K8" s="74" t="str">
        <f>IMR!K2</f>
        <v>Perempuan</v>
      </c>
      <c r="L8" s="74"/>
      <c r="M8" s="74"/>
      <c r="N8" s="74"/>
      <c r="O8" s="74"/>
      <c r="P8" s="74"/>
      <c r="Q8" s="74"/>
      <c r="R8" s="74"/>
      <c r="S8" s="74"/>
      <c r="T8" s="74"/>
      <c r="U8" s="74"/>
      <c r="V8" s="74"/>
      <c r="W8" s="74"/>
      <c r="X8" s="74"/>
      <c r="Y8" s="74"/>
      <c r="Z8" s="74"/>
      <c r="AA8" s="74"/>
      <c r="AB8" s="74"/>
    </row>
    <row r="9" spans="1:29" s="72" customFormat="1" ht="23" customHeight="1" x14ac:dyDescent="0.35">
      <c r="A9" s="117" t="s">
        <v>0</v>
      </c>
      <c r="B9" s="124" t="s">
        <v>633</v>
      </c>
      <c r="C9" s="125"/>
      <c r="D9" s="125"/>
      <c r="E9" s="125"/>
      <c r="F9" s="125"/>
      <c r="G9" s="125"/>
      <c r="H9" s="125"/>
      <c r="I9" s="125"/>
      <c r="J9" s="125"/>
      <c r="K9" s="126"/>
      <c r="L9" s="117" t="s">
        <v>771</v>
      </c>
      <c r="M9" s="117" t="s">
        <v>772</v>
      </c>
      <c r="N9" s="117" t="s">
        <v>773</v>
      </c>
      <c r="O9" s="117" t="s">
        <v>774</v>
      </c>
      <c r="P9" s="117" t="s">
        <v>775</v>
      </c>
      <c r="Q9" s="117" t="s">
        <v>776</v>
      </c>
      <c r="R9" s="117" t="s">
        <v>777</v>
      </c>
      <c r="S9" s="117" t="s">
        <v>778</v>
      </c>
      <c r="T9" s="117" t="s">
        <v>779</v>
      </c>
      <c r="U9" s="117" t="s">
        <v>780</v>
      </c>
      <c r="V9" s="117" t="s">
        <v>781</v>
      </c>
      <c r="W9" s="117" t="s">
        <v>782</v>
      </c>
      <c r="X9" s="117" t="s">
        <v>783</v>
      </c>
      <c r="Y9" s="117" t="s">
        <v>784</v>
      </c>
      <c r="Z9" s="117" t="s">
        <v>785</v>
      </c>
      <c r="AA9" s="117" t="s">
        <v>786</v>
      </c>
      <c r="AB9" s="117" t="s">
        <v>787</v>
      </c>
    </row>
    <row r="10" spans="1:29" s="72" customFormat="1" ht="23" customHeight="1" x14ac:dyDescent="0.35">
      <c r="A10" s="118"/>
      <c r="B10" s="69">
        <v>1</v>
      </c>
      <c r="C10" s="69">
        <v>2</v>
      </c>
      <c r="D10" s="69">
        <v>3</v>
      </c>
      <c r="E10" s="69">
        <v>4</v>
      </c>
      <c r="F10" s="69">
        <v>5</v>
      </c>
      <c r="G10" s="69">
        <v>6</v>
      </c>
      <c r="H10" s="69">
        <v>7</v>
      </c>
      <c r="I10" s="69">
        <v>8</v>
      </c>
      <c r="J10" s="69">
        <v>9</v>
      </c>
      <c r="K10" s="69">
        <v>10</v>
      </c>
      <c r="L10" s="118"/>
      <c r="M10" s="118"/>
      <c r="N10" s="118"/>
      <c r="O10" s="118"/>
      <c r="P10" s="118"/>
      <c r="Q10" s="118"/>
      <c r="R10" s="118"/>
      <c r="S10" s="118"/>
      <c r="T10" s="118"/>
      <c r="U10" s="118"/>
      <c r="V10" s="118"/>
      <c r="W10" s="118"/>
      <c r="X10" s="118"/>
      <c r="Y10" s="118"/>
      <c r="Z10" s="118"/>
      <c r="AA10" s="118"/>
      <c r="AB10" s="118"/>
    </row>
    <row r="11" spans="1:29" ht="25" x14ac:dyDescent="0.35">
      <c r="A11" s="71" t="str">
        <f>IMR!A5</f>
        <v>1. Sebuah project charter harus memuat ...</v>
      </c>
      <c r="B11" s="69">
        <f>IMR!B5</f>
        <v>1</v>
      </c>
      <c r="C11" s="69">
        <f>IMR!C5</f>
        <v>1</v>
      </c>
      <c r="D11" s="69">
        <f>IMR!D5</f>
        <v>0</v>
      </c>
      <c r="E11" s="69">
        <f>IMR!E5</f>
        <v>1</v>
      </c>
      <c r="F11" s="69">
        <f>IMR!F5</f>
        <v>1</v>
      </c>
      <c r="G11" s="69">
        <f>IMR!G5</f>
        <v>0</v>
      </c>
      <c r="H11" s="69">
        <f>IMR!H5</f>
        <v>0</v>
      </c>
      <c r="I11" s="69">
        <f>IMR!I5</f>
        <v>1</v>
      </c>
      <c r="J11" s="69">
        <f>IMR!J5</f>
        <v>1</v>
      </c>
      <c r="K11" s="69">
        <f>IMR!K5</f>
        <v>0</v>
      </c>
      <c r="L11" s="69">
        <f t="shared" ref="L11:L42" si="0">COUNTIF($B$8:$K$8,"Laki-Laki")</f>
        <v>5</v>
      </c>
      <c r="M11" s="69">
        <f t="shared" ref="M11:M42" si="1">COUNTIF($B$8:$K$8,"Perempuan")</f>
        <v>5</v>
      </c>
      <c r="N11" s="69">
        <f t="shared" ref="N11:N42" si="2">SUMIF($B$8:$K$8,"Laki-Laki",B11:K11)</f>
        <v>3</v>
      </c>
      <c r="O11" s="69">
        <f t="shared" ref="O11:O42" si="3">SUMIF($B$8:$K$8,"Perempuan",B11:K11)</f>
        <v>3</v>
      </c>
      <c r="P11" s="69">
        <f t="shared" ref="P11:P42" si="4">IF(N11=0,0.3,IF(N11=L11,L11-0.3,N11))</f>
        <v>3</v>
      </c>
      <c r="Q11" s="69">
        <f t="shared" ref="Q11:Q42" si="5">IF(O11=0,0.3,IF(O11=M11,M11-0.3,O11))</f>
        <v>3</v>
      </c>
      <c r="R11" s="70">
        <f t="shared" ref="R11:R42" si="6">LN((L11-P11)/P11)</f>
        <v>-0.40546510810816444</v>
      </c>
      <c r="S11" s="70">
        <f t="shared" ref="S11:S42" si="7">LN((M11-Q11)/Q11)</f>
        <v>-0.40546510810816444</v>
      </c>
      <c r="T11" s="70">
        <f t="shared" ref="T11:T42" si="8">R11-AVERAGE($R$11:$R$110)</f>
        <v>-0.46732719434716941</v>
      </c>
      <c r="U11" s="70">
        <f t="shared" ref="U11:U42" si="9">S11-AVERAGE($S$11:$S$110)</f>
        <v>-0.46732719434716941</v>
      </c>
      <c r="V11" s="70">
        <f t="shared" ref="V11:V42" si="10">SQRT(1/P11+1/(L11-P11))</f>
        <v>0.91287092917527679</v>
      </c>
      <c r="W11" s="70">
        <f t="shared" ref="W11:W42" si="11">SQRT(1/Q11+1/(M11-Q11))</f>
        <v>0.91287092917527679</v>
      </c>
      <c r="X11" s="70">
        <f t="shared" ref="X11:X42" si="12">T11-U11</f>
        <v>0</v>
      </c>
      <c r="Y11" s="70">
        <f t="shared" ref="Y11:Y42" si="13">SQRT(V11^2+W11^2)</f>
        <v>1.2909944487358056</v>
      </c>
      <c r="Z11" s="70">
        <f t="shared" ref="Z11:Z42" si="14">X11/Y11</f>
        <v>0</v>
      </c>
      <c r="AA11" s="69" t="str">
        <f t="shared" ref="AA11:AA42" si="15">IF(AND(ABS(X11)&gt;=$B$4,ABS(Z11)&gt;=$B$5),"DIF Besar - review",IF(AND(ABS(X11)&gt;=$B$3,ABS(Z11)&gt;=$B$5),"DIF Moderat - cek","Negligible"))</f>
        <v>Negligible</v>
      </c>
      <c r="AB11" s="69" t="str">
        <f t="shared" ref="AB11:AB42" si="16">IF(ABS(X11)&gt;=$B$4,"Berpotensi Bias - Tinjau Konten",IF(ABS(X11)&gt;=$B$3,"Indikasi Ringan - Pantau","Tidak Ada Indikasi Bias"))</f>
        <v>Tidak Ada Indikasi Bias</v>
      </c>
    </row>
    <row r="12" spans="1:29" ht="25" x14ac:dyDescent="0.35">
      <c r="A12" s="71" t="str">
        <f>IMR!A6</f>
        <v>2. Teknik penyusunan project charter salah satunya adalah …</v>
      </c>
      <c r="B12" s="69">
        <f>IMR!B6</f>
        <v>1</v>
      </c>
      <c r="C12" s="69">
        <f>IMR!C6</f>
        <v>1</v>
      </c>
      <c r="D12" s="69">
        <f>IMR!D6</f>
        <v>0</v>
      </c>
      <c r="E12" s="69">
        <f>IMR!E6</f>
        <v>1</v>
      </c>
      <c r="F12" s="69">
        <f>IMR!F6</f>
        <v>1</v>
      </c>
      <c r="G12" s="69">
        <f>IMR!G6</f>
        <v>0</v>
      </c>
      <c r="H12" s="69">
        <f>IMR!H6</f>
        <v>0</v>
      </c>
      <c r="I12" s="69">
        <f>IMR!I6</f>
        <v>0</v>
      </c>
      <c r="J12" s="69">
        <f>IMR!J6</f>
        <v>0</v>
      </c>
      <c r="K12" s="69">
        <f>IMR!K6</f>
        <v>0</v>
      </c>
      <c r="L12" s="69">
        <f t="shared" si="0"/>
        <v>5</v>
      </c>
      <c r="M12" s="69">
        <f t="shared" si="1"/>
        <v>5</v>
      </c>
      <c r="N12" s="69">
        <f t="shared" si="2"/>
        <v>2</v>
      </c>
      <c r="O12" s="69">
        <f t="shared" si="3"/>
        <v>2</v>
      </c>
      <c r="P12" s="69">
        <f t="shared" si="4"/>
        <v>2</v>
      </c>
      <c r="Q12" s="69">
        <f t="shared" si="5"/>
        <v>2</v>
      </c>
      <c r="R12" s="70">
        <f t="shared" si="6"/>
        <v>0.40546510810816438</v>
      </c>
      <c r="S12" s="70">
        <f t="shared" si="7"/>
        <v>0.40546510810816438</v>
      </c>
      <c r="T12" s="70">
        <f t="shared" si="8"/>
        <v>0.34360302186915948</v>
      </c>
      <c r="U12" s="70">
        <f t="shared" si="9"/>
        <v>0.34360302186915948</v>
      </c>
      <c r="V12" s="70">
        <f t="shared" si="10"/>
        <v>0.91287092917527679</v>
      </c>
      <c r="W12" s="70">
        <f t="shared" si="11"/>
        <v>0.91287092917527679</v>
      </c>
      <c r="X12" s="70">
        <f t="shared" si="12"/>
        <v>0</v>
      </c>
      <c r="Y12" s="70">
        <f t="shared" si="13"/>
        <v>1.2909944487358056</v>
      </c>
      <c r="Z12" s="70">
        <f t="shared" si="14"/>
        <v>0</v>
      </c>
      <c r="AA12" s="69" t="str">
        <f t="shared" si="15"/>
        <v>Negligible</v>
      </c>
      <c r="AB12" s="69" t="str">
        <f t="shared" si="16"/>
        <v>Tidak Ada Indikasi Bias</v>
      </c>
    </row>
    <row r="13" spans="1:29" ht="37.5" x14ac:dyDescent="0.35">
      <c r="A13" s="71" t="str">
        <f>IMR!A7</f>
        <v>3. Dalam menyusun rencana implementasi standar, seorang implementer harus mampu …</v>
      </c>
      <c r="B13" s="69">
        <f>IMR!B7</f>
        <v>1</v>
      </c>
      <c r="C13" s="69">
        <f>IMR!C7</f>
        <v>0</v>
      </c>
      <c r="D13" s="69">
        <f>IMR!D7</f>
        <v>0</v>
      </c>
      <c r="E13" s="69">
        <f>IMR!E7</f>
        <v>1</v>
      </c>
      <c r="F13" s="69">
        <f>IMR!F7</f>
        <v>1</v>
      </c>
      <c r="G13" s="69">
        <f>IMR!G7</f>
        <v>0</v>
      </c>
      <c r="H13" s="69">
        <f>IMR!H7</f>
        <v>0</v>
      </c>
      <c r="I13" s="69">
        <f>IMR!I7</f>
        <v>1</v>
      </c>
      <c r="J13" s="69">
        <f>IMR!J7</f>
        <v>0</v>
      </c>
      <c r="K13" s="69">
        <f>IMR!K7</f>
        <v>0</v>
      </c>
      <c r="L13" s="69">
        <f t="shared" si="0"/>
        <v>5</v>
      </c>
      <c r="M13" s="69">
        <f t="shared" si="1"/>
        <v>5</v>
      </c>
      <c r="N13" s="69">
        <f t="shared" si="2"/>
        <v>2</v>
      </c>
      <c r="O13" s="69">
        <f t="shared" si="3"/>
        <v>2</v>
      </c>
      <c r="P13" s="69">
        <f t="shared" si="4"/>
        <v>2</v>
      </c>
      <c r="Q13" s="69">
        <f t="shared" si="5"/>
        <v>2</v>
      </c>
      <c r="R13" s="70">
        <f t="shared" si="6"/>
        <v>0.40546510810816438</v>
      </c>
      <c r="S13" s="70">
        <f t="shared" si="7"/>
        <v>0.40546510810816438</v>
      </c>
      <c r="T13" s="70">
        <f t="shared" si="8"/>
        <v>0.34360302186915948</v>
      </c>
      <c r="U13" s="70">
        <f t="shared" si="9"/>
        <v>0.34360302186915948</v>
      </c>
      <c r="V13" s="70">
        <f t="shared" si="10"/>
        <v>0.91287092917527679</v>
      </c>
      <c r="W13" s="70">
        <f t="shared" si="11"/>
        <v>0.91287092917527679</v>
      </c>
      <c r="X13" s="70">
        <f t="shared" si="12"/>
        <v>0</v>
      </c>
      <c r="Y13" s="70">
        <f t="shared" si="13"/>
        <v>1.2909944487358056</v>
      </c>
      <c r="Z13" s="70">
        <f t="shared" si="14"/>
        <v>0</v>
      </c>
      <c r="AA13" s="69" t="str">
        <f t="shared" si="15"/>
        <v>Negligible</v>
      </c>
      <c r="AB13" s="69" t="str">
        <f t="shared" si="16"/>
        <v>Tidak Ada Indikasi Bias</v>
      </c>
    </row>
    <row r="14" spans="1:29" ht="25" x14ac:dyDescent="0.35">
      <c r="A14" s="71" t="str">
        <f>IMR!A8</f>
        <v>4. Besaran lingkup implementasi standar ditentukan oleh …</v>
      </c>
      <c r="B14" s="69">
        <f>IMR!B8</f>
        <v>1</v>
      </c>
      <c r="C14" s="69">
        <f>IMR!C8</f>
        <v>1</v>
      </c>
      <c r="D14" s="69">
        <f>IMR!D8</f>
        <v>0</v>
      </c>
      <c r="E14" s="69">
        <f>IMR!E8</f>
        <v>1</v>
      </c>
      <c r="F14" s="69">
        <f>IMR!F8</f>
        <v>0</v>
      </c>
      <c r="G14" s="69">
        <f>IMR!G8</f>
        <v>0</v>
      </c>
      <c r="H14" s="69">
        <f>IMR!H8</f>
        <v>0</v>
      </c>
      <c r="I14" s="69">
        <f>IMR!I8</f>
        <v>0</v>
      </c>
      <c r="J14" s="69">
        <f>IMR!J8</f>
        <v>1</v>
      </c>
      <c r="K14" s="69">
        <f>IMR!K8</f>
        <v>0</v>
      </c>
      <c r="L14" s="69">
        <f t="shared" si="0"/>
        <v>5</v>
      </c>
      <c r="M14" s="69">
        <f t="shared" si="1"/>
        <v>5</v>
      </c>
      <c r="N14" s="69">
        <f t="shared" si="2"/>
        <v>2</v>
      </c>
      <c r="O14" s="69">
        <f t="shared" si="3"/>
        <v>2</v>
      </c>
      <c r="P14" s="69">
        <f t="shared" si="4"/>
        <v>2</v>
      </c>
      <c r="Q14" s="69">
        <f t="shared" si="5"/>
        <v>2</v>
      </c>
      <c r="R14" s="70">
        <f t="shared" si="6"/>
        <v>0.40546510810816438</v>
      </c>
      <c r="S14" s="70">
        <f t="shared" si="7"/>
        <v>0.40546510810816438</v>
      </c>
      <c r="T14" s="70">
        <f t="shared" si="8"/>
        <v>0.34360302186915948</v>
      </c>
      <c r="U14" s="70">
        <f t="shared" si="9"/>
        <v>0.34360302186915948</v>
      </c>
      <c r="V14" s="70">
        <f t="shared" si="10"/>
        <v>0.91287092917527679</v>
      </c>
      <c r="W14" s="70">
        <f t="shared" si="11"/>
        <v>0.91287092917527679</v>
      </c>
      <c r="X14" s="70">
        <f t="shared" si="12"/>
        <v>0</v>
      </c>
      <c r="Y14" s="70">
        <f t="shared" si="13"/>
        <v>1.2909944487358056</v>
      </c>
      <c r="Z14" s="70">
        <f t="shared" si="14"/>
        <v>0</v>
      </c>
      <c r="AA14" s="69" t="str">
        <f t="shared" si="15"/>
        <v>Negligible</v>
      </c>
      <c r="AB14" s="69" t="str">
        <f t="shared" si="16"/>
        <v>Tidak Ada Indikasi Bias</v>
      </c>
    </row>
    <row r="15" spans="1:29" ht="25" x14ac:dyDescent="0.35">
      <c r="A15" s="71" t="str">
        <f>IMR!A9</f>
        <v>5. Tujuan penerapan ­time management dalam implementasi standar adalah …</v>
      </c>
      <c r="B15" s="69">
        <f>IMR!B9</f>
        <v>0</v>
      </c>
      <c r="C15" s="69">
        <f>IMR!C9</f>
        <v>0</v>
      </c>
      <c r="D15" s="69">
        <f>IMR!D9</f>
        <v>0</v>
      </c>
      <c r="E15" s="69">
        <f>IMR!E9</f>
        <v>1</v>
      </c>
      <c r="F15" s="69">
        <f>IMR!F9</f>
        <v>0</v>
      </c>
      <c r="G15" s="69">
        <f>IMR!G9</f>
        <v>0</v>
      </c>
      <c r="H15" s="69">
        <f>IMR!H9</f>
        <v>1</v>
      </c>
      <c r="I15" s="69">
        <f>IMR!I9</f>
        <v>1</v>
      </c>
      <c r="J15" s="69">
        <f>IMR!J9</f>
        <v>0</v>
      </c>
      <c r="K15" s="69">
        <f>IMR!K9</f>
        <v>1</v>
      </c>
      <c r="L15" s="69">
        <f t="shared" si="0"/>
        <v>5</v>
      </c>
      <c r="M15" s="69">
        <f t="shared" si="1"/>
        <v>5</v>
      </c>
      <c r="N15" s="69">
        <f t="shared" si="2"/>
        <v>2</v>
      </c>
      <c r="O15" s="69">
        <f t="shared" si="3"/>
        <v>2</v>
      </c>
      <c r="P15" s="69">
        <f t="shared" si="4"/>
        <v>2</v>
      </c>
      <c r="Q15" s="69">
        <f t="shared" si="5"/>
        <v>2</v>
      </c>
      <c r="R15" s="70">
        <f t="shared" si="6"/>
        <v>0.40546510810816438</v>
      </c>
      <c r="S15" s="70">
        <f t="shared" si="7"/>
        <v>0.40546510810816438</v>
      </c>
      <c r="T15" s="70">
        <f t="shared" si="8"/>
        <v>0.34360302186915948</v>
      </c>
      <c r="U15" s="70">
        <f t="shared" si="9"/>
        <v>0.34360302186915948</v>
      </c>
      <c r="V15" s="70">
        <f t="shared" si="10"/>
        <v>0.91287092917527679</v>
      </c>
      <c r="W15" s="70">
        <f t="shared" si="11"/>
        <v>0.91287092917527679</v>
      </c>
      <c r="X15" s="70">
        <f t="shared" si="12"/>
        <v>0</v>
      </c>
      <c r="Y15" s="70">
        <f t="shared" si="13"/>
        <v>1.2909944487358056</v>
      </c>
      <c r="Z15" s="70">
        <f t="shared" si="14"/>
        <v>0</v>
      </c>
      <c r="AA15" s="69" t="str">
        <f t="shared" si="15"/>
        <v>Negligible</v>
      </c>
      <c r="AB15" s="69" t="str">
        <f t="shared" si="16"/>
        <v>Tidak Ada Indikasi Bias</v>
      </c>
    </row>
    <row r="16" spans="1:29" ht="37.5" customHeight="1" x14ac:dyDescent="0.35">
      <c r="A16" s="71" t="str">
        <f>IMR!A10</f>
        <v>6. Salah satu kebutuhan dalam implementasi standar adalah biaya. Teknik berikut dapat diterapkan dalam menetapkan estimasi biaya implementasi standar, kecuai …</v>
      </c>
      <c r="B16" s="69">
        <f>IMR!B10</f>
        <v>1</v>
      </c>
      <c r="C16" s="69">
        <f>IMR!C10</f>
        <v>1</v>
      </c>
      <c r="D16" s="69">
        <f>IMR!D10</f>
        <v>1</v>
      </c>
      <c r="E16" s="69">
        <f>IMR!E10</f>
        <v>1</v>
      </c>
      <c r="F16" s="69">
        <f>IMR!F10</f>
        <v>1</v>
      </c>
      <c r="G16" s="69">
        <f>IMR!G10</f>
        <v>1</v>
      </c>
      <c r="H16" s="69">
        <f>IMR!H10</f>
        <v>0</v>
      </c>
      <c r="I16" s="69">
        <f>IMR!I10</f>
        <v>0</v>
      </c>
      <c r="J16" s="69">
        <f>IMR!J10</f>
        <v>0</v>
      </c>
      <c r="K16" s="69">
        <f>IMR!K10</f>
        <v>0</v>
      </c>
      <c r="L16" s="69">
        <f t="shared" si="0"/>
        <v>5</v>
      </c>
      <c r="M16" s="69">
        <f t="shared" si="1"/>
        <v>5</v>
      </c>
      <c r="N16" s="69">
        <f t="shared" si="2"/>
        <v>3</v>
      </c>
      <c r="O16" s="69">
        <f t="shared" si="3"/>
        <v>3</v>
      </c>
      <c r="P16" s="69">
        <f t="shared" si="4"/>
        <v>3</v>
      </c>
      <c r="Q16" s="69">
        <f t="shared" si="5"/>
        <v>3</v>
      </c>
      <c r="R16" s="70">
        <f t="shared" si="6"/>
        <v>-0.40546510810816444</v>
      </c>
      <c r="S16" s="70">
        <f t="shared" si="7"/>
        <v>-0.40546510810816444</v>
      </c>
      <c r="T16" s="70">
        <f t="shared" si="8"/>
        <v>-0.46732719434716941</v>
      </c>
      <c r="U16" s="70">
        <f t="shared" si="9"/>
        <v>-0.46732719434716941</v>
      </c>
      <c r="V16" s="70">
        <f t="shared" si="10"/>
        <v>0.91287092917527679</v>
      </c>
      <c r="W16" s="70">
        <f t="shared" si="11"/>
        <v>0.91287092917527679</v>
      </c>
      <c r="X16" s="70">
        <f t="shared" si="12"/>
        <v>0</v>
      </c>
      <c r="Y16" s="70">
        <f t="shared" si="13"/>
        <v>1.2909944487358056</v>
      </c>
      <c r="Z16" s="70">
        <f t="shared" si="14"/>
        <v>0</v>
      </c>
      <c r="AA16" s="69" t="str">
        <f t="shared" si="15"/>
        <v>Negligible</v>
      </c>
      <c r="AB16" s="69" t="str">
        <f t="shared" si="16"/>
        <v>Tidak Ada Indikasi Bias</v>
      </c>
    </row>
    <row r="17" spans="1:28" ht="37.5" customHeight="1" x14ac:dyDescent="0.35">
      <c r="A17" s="71" t="str">
        <f>IMR!A11</f>
        <v>7. Bentuk aktivitas komunikasi implementasi standar dapat dilakukan dengan beberapa teknik, salah satunya adalah secara formal dan informal. Bentuk komunikasi formal antara lain sebagai berikut, kecuali …</v>
      </c>
      <c r="B17" s="69">
        <f>IMR!B11</f>
        <v>1</v>
      </c>
      <c r="C17" s="69">
        <f>IMR!C11</f>
        <v>1</v>
      </c>
      <c r="D17" s="69">
        <f>IMR!D11</f>
        <v>0</v>
      </c>
      <c r="E17" s="69">
        <f>IMR!E11</f>
        <v>0</v>
      </c>
      <c r="F17" s="69">
        <f>IMR!F11</f>
        <v>1</v>
      </c>
      <c r="G17" s="69">
        <f>IMR!G11</f>
        <v>0</v>
      </c>
      <c r="H17" s="69">
        <f>IMR!H11</f>
        <v>0</v>
      </c>
      <c r="I17" s="69">
        <f>IMR!I11</f>
        <v>0</v>
      </c>
      <c r="J17" s="69">
        <f>IMR!J11</f>
        <v>1</v>
      </c>
      <c r="K17" s="69">
        <f>IMR!K11</f>
        <v>0</v>
      </c>
      <c r="L17" s="69">
        <f t="shared" si="0"/>
        <v>5</v>
      </c>
      <c r="M17" s="69">
        <f t="shared" si="1"/>
        <v>5</v>
      </c>
      <c r="N17" s="69">
        <f t="shared" si="2"/>
        <v>2</v>
      </c>
      <c r="O17" s="69">
        <f t="shared" si="3"/>
        <v>2</v>
      </c>
      <c r="P17" s="69">
        <f t="shared" si="4"/>
        <v>2</v>
      </c>
      <c r="Q17" s="69">
        <f t="shared" si="5"/>
        <v>2</v>
      </c>
      <c r="R17" s="70">
        <f t="shared" si="6"/>
        <v>0.40546510810816438</v>
      </c>
      <c r="S17" s="70">
        <f t="shared" si="7"/>
        <v>0.40546510810816438</v>
      </c>
      <c r="T17" s="70">
        <f t="shared" si="8"/>
        <v>0.34360302186915948</v>
      </c>
      <c r="U17" s="70">
        <f t="shared" si="9"/>
        <v>0.34360302186915948</v>
      </c>
      <c r="V17" s="70">
        <f t="shared" si="10"/>
        <v>0.91287092917527679</v>
      </c>
      <c r="W17" s="70">
        <f t="shared" si="11"/>
        <v>0.91287092917527679</v>
      </c>
      <c r="X17" s="70">
        <f t="shared" si="12"/>
        <v>0</v>
      </c>
      <c r="Y17" s="70">
        <f t="shared" si="13"/>
        <v>1.2909944487358056</v>
      </c>
      <c r="Z17" s="70">
        <f t="shared" si="14"/>
        <v>0</v>
      </c>
      <c r="AA17" s="69" t="str">
        <f t="shared" si="15"/>
        <v>Negligible</v>
      </c>
      <c r="AB17" s="69" t="str">
        <f t="shared" si="16"/>
        <v>Tidak Ada Indikasi Bias</v>
      </c>
    </row>
    <row r="18" spans="1:28" ht="37.5" x14ac:dyDescent="0.35">
      <c r="A18" s="71" t="str">
        <f>IMR!A12</f>
        <v>8. Seorang lead implementer harus memiliki kemampuan komunikasi sebagai berikut.</v>
      </c>
      <c r="B18" s="69">
        <f>IMR!B12</f>
        <v>0</v>
      </c>
      <c r="C18" s="69">
        <f>IMR!C12</f>
        <v>0</v>
      </c>
      <c r="D18" s="69">
        <f>IMR!D12</f>
        <v>0</v>
      </c>
      <c r="E18" s="69">
        <f>IMR!E12</f>
        <v>1</v>
      </c>
      <c r="F18" s="69">
        <f>IMR!F12</f>
        <v>1</v>
      </c>
      <c r="G18" s="69">
        <f>IMR!G12</f>
        <v>1</v>
      </c>
      <c r="H18" s="69">
        <f>IMR!H12</f>
        <v>1</v>
      </c>
      <c r="I18" s="69">
        <f>IMR!I12</f>
        <v>1</v>
      </c>
      <c r="J18" s="69">
        <f>IMR!J12</f>
        <v>1</v>
      </c>
      <c r="K18" s="69">
        <f>IMR!K12</f>
        <v>0</v>
      </c>
      <c r="L18" s="69">
        <f t="shared" si="0"/>
        <v>5</v>
      </c>
      <c r="M18" s="69">
        <f t="shared" si="1"/>
        <v>5</v>
      </c>
      <c r="N18" s="69">
        <f t="shared" si="2"/>
        <v>3</v>
      </c>
      <c r="O18" s="69">
        <f t="shared" si="3"/>
        <v>3</v>
      </c>
      <c r="P18" s="69">
        <f t="shared" si="4"/>
        <v>3</v>
      </c>
      <c r="Q18" s="69">
        <f t="shared" si="5"/>
        <v>3</v>
      </c>
      <c r="R18" s="70">
        <f t="shared" si="6"/>
        <v>-0.40546510810816444</v>
      </c>
      <c r="S18" s="70">
        <f t="shared" si="7"/>
        <v>-0.40546510810816444</v>
      </c>
      <c r="T18" s="70">
        <f t="shared" si="8"/>
        <v>-0.46732719434716941</v>
      </c>
      <c r="U18" s="70">
        <f t="shared" si="9"/>
        <v>-0.46732719434716941</v>
      </c>
      <c r="V18" s="70">
        <f t="shared" si="10"/>
        <v>0.91287092917527679</v>
      </c>
      <c r="W18" s="70">
        <f t="shared" si="11"/>
        <v>0.91287092917527679</v>
      </c>
      <c r="X18" s="70">
        <f t="shared" si="12"/>
        <v>0</v>
      </c>
      <c r="Y18" s="70">
        <f t="shared" si="13"/>
        <v>1.2909944487358056</v>
      </c>
      <c r="Z18" s="70">
        <f t="shared" si="14"/>
        <v>0</v>
      </c>
      <c r="AA18" s="69" t="str">
        <f t="shared" si="15"/>
        <v>Negligible</v>
      </c>
      <c r="AB18" s="69" t="str">
        <f t="shared" si="16"/>
        <v>Tidak Ada Indikasi Bias</v>
      </c>
    </row>
    <row r="19" spans="1:28" ht="50" x14ac:dyDescent="0.35">
      <c r="A19" s="71" t="str">
        <f>IMR!A13</f>
        <v>9. Teknik analisis risiko terdapat 2 macam yaitu kualitatif dan kuantitatif. Teknik analisis risiko secara kualitatif dapat dilakukan dengan …</v>
      </c>
      <c r="B19" s="69">
        <f>IMR!B13</f>
        <v>1</v>
      </c>
      <c r="C19" s="69">
        <f>IMR!C13</f>
        <v>1</v>
      </c>
      <c r="D19" s="69">
        <f>IMR!D13</f>
        <v>0</v>
      </c>
      <c r="E19" s="69">
        <f>IMR!E13</f>
        <v>1</v>
      </c>
      <c r="F19" s="69">
        <f>IMR!F13</f>
        <v>0</v>
      </c>
      <c r="G19" s="69">
        <f>IMR!G13</f>
        <v>0</v>
      </c>
      <c r="H19" s="69">
        <f>IMR!H13</f>
        <v>0</v>
      </c>
      <c r="I19" s="69">
        <f>IMR!I13</f>
        <v>0</v>
      </c>
      <c r="J19" s="69">
        <f>IMR!J13</f>
        <v>0</v>
      </c>
      <c r="K19" s="69">
        <f>IMR!K13</f>
        <v>1</v>
      </c>
      <c r="L19" s="69">
        <f t="shared" si="0"/>
        <v>5</v>
      </c>
      <c r="M19" s="69">
        <f t="shared" si="1"/>
        <v>5</v>
      </c>
      <c r="N19" s="69">
        <f t="shared" si="2"/>
        <v>2</v>
      </c>
      <c r="O19" s="69">
        <f t="shared" si="3"/>
        <v>2</v>
      </c>
      <c r="P19" s="69">
        <f t="shared" si="4"/>
        <v>2</v>
      </c>
      <c r="Q19" s="69">
        <f t="shared" si="5"/>
        <v>2</v>
      </c>
      <c r="R19" s="70">
        <f t="shared" si="6"/>
        <v>0.40546510810816438</v>
      </c>
      <c r="S19" s="70">
        <f t="shared" si="7"/>
        <v>0.40546510810816438</v>
      </c>
      <c r="T19" s="70">
        <f t="shared" si="8"/>
        <v>0.34360302186915948</v>
      </c>
      <c r="U19" s="70">
        <f t="shared" si="9"/>
        <v>0.34360302186915948</v>
      </c>
      <c r="V19" s="70">
        <f t="shared" si="10"/>
        <v>0.91287092917527679</v>
      </c>
      <c r="W19" s="70">
        <f t="shared" si="11"/>
        <v>0.91287092917527679</v>
      </c>
      <c r="X19" s="70">
        <f t="shared" si="12"/>
        <v>0</v>
      </c>
      <c r="Y19" s="70">
        <f t="shared" si="13"/>
        <v>1.2909944487358056</v>
      </c>
      <c r="Z19" s="70">
        <f t="shared" si="14"/>
        <v>0</v>
      </c>
      <c r="AA19" s="69" t="str">
        <f t="shared" si="15"/>
        <v>Negligible</v>
      </c>
      <c r="AB19" s="69" t="str">
        <f t="shared" si="16"/>
        <v>Tidak Ada Indikasi Bias</v>
      </c>
    </row>
    <row r="20" spans="1:28" ht="37.5" x14ac:dyDescent="0.35">
      <c r="A20" s="71" t="str">
        <f>IMR!A14</f>
        <v>10. Aktivitas manajemen perubahan dalam implementasi standar yang dapat dilakukan antara lain …</v>
      </c>
      <c r="B20" s="69">
        <f>IMR!B14</f>
        <v>0</v>
      </c>
      <c r="C20" s="69">
        <f>IMR!C14</f>
        <v>0</v>
      </c>
      <c r="D20" s="69">
        <f>IMR!D14</f>
        <v>1</v>
      </c>
      <c r="E20" s="69">
        <f>IMR!E14</f>
        <v>0</v>
      </c>
      <c r="F20" s="69">
        <f>IMR!F14</f>
        <v>0</v>
      </c>
      <c r="G20" s="69">
        <f>IMR!G14</f>
        <v>1</v>
      </c>
      <c r="H20" s="69">
        <f>IMR!H14</f>
        <v>1</v>
      </c>
      <c r="I20" s="69">
        <f>IMR!I14</f>
        <v>1</v>
      </c>
      <c r="J20" s="69">
        <f>IMR!J14</f>
        <v>1</v>
      </c>
      <c r="K20" s="69">
        <f>IMR!K14</f>
        <v>1</v>
      </c>
      <c r="L20" s="69">
        <f t="shared" si="0"/>
        <v>5</v>
      </c>
      <c r="M20" s="69">
        <f t="shared" si="1"/>
        <v>5</v>
      </c>
      <c r="N20" s="69">
        <f t="shared" si="2"/>
        <v>3</v>
      </c>
      <c r="O20" s="69">
        <f t="shared" si="3"/>
        <v>3</v>
      </c>
      <c r="P20" s="69">
        <f t="shared" si="4"/>
        <v>3</v>
      </c>
      <c r="Q20" s="69">
        <f t="shared" si="5"/>
        <v>3</v>
      </c>
      <c r="R20" s="70">
        <f t="shared" si="6"/>
        <v>-0.40546510810816444</v>
      </c>
      <c r="S20" s="70">
        <f t="shared" si="7"/>
        <v>-0.40546510810816444</v>
      </c>
      <c r="T20" s="70">
        <f t="shared" si="8"/>
        <v>-0.46732719434716941</v>
      </c>
      <c r="U20" s="70">
        <f t="shared" si="9"/>
        <v>-0.46732719434716941</v>
      </c>
      <c r="V20" s="70">
        <f t="shared" si="10"/>
        <v>0.91287092917527679</v>
      </c>
      <c r="W20" s="70">
        <f t="shared" si="11"/>
        <v>0.91287092917527679</v>
      </c>
      <c r="X20" s="70">
        <f t="shared" si="12"/>
        <v>0</v>
      </c>
      <c r="Y20" s="70">
        <f t="shared" si="13"/>
        <v>1.2909944487358056</v>
      </c>
      <c r="Z20" s="70">
        <f t="shared" si="14"/>
        <v>0</v>
      </c>
      <c r="AA20" s="69" t="str">
        <f t="shared" si="15"/>
        <v>Negligible</v>
      </c>
      <c r="AB20" s="69" t="str">
        <f t="shared" si="16"/>
        <v>Tidak Ada Indikasi Bias</v>
      </c>
    </row>
    <row r="21" spans="1:28" ht="50" x14ac:dyDescent="0.35">
      <c r="A21" s="71" t="str">
        <f>IMR!A15</f>
        <v>11. Dalam melakukan manajemen kualitas terdapat quality assurance dan quality control. Kegiatan berikut termasuk dalam quality assurance.</v>
      </c>
      <c r="B21" s="69">
        <f>IMR!B15</f>
        <v>1</v>
      </c>
      <c r="C21" s="69">
        <f>IMR!C15</f>
        <v>1</v>
      </c>
      <c r="D21" s="69">
        <f>IMR!D15</f>
        <v>1</v>
      </c>
      <c r="E21" s="69">
        <f>IMR!E15</f>
        <v>1</v>
      </c>
      <c r="F21" s="69">
        <f>IMR!F15</f>
        <v>0</v>
      </c>
      <c r="G21" s="69">
        <f>IMR!G15</f>
        <v>0</v>
      </c>
      <c r="H21" s="69">
        <f>IMR!H15</f>
        <v>0</v>
      </c>
      <c r="I21" s="69">
        <f>IMR!I15</f>
        <v>0</v>
      </c>
      <c r="J21" s="69">
        <f>IMR!J15</f>
        <v>0</v>
      </c>
      <c r="K21" s="69">
        <f>IMR!K15</f>
        <v>0</v>
      </c>
      <c r="L21" s="69">
        <f t="shared" si="0"/>
        <v>5</v>
      </c>
      <c r="M21" s="69">
        <f t="shared" si="1"/>
        <v>5</v>
      </c>
      <c r="N21" s="69">
        <f t="shared" si="2"/>
        <v>2</v>
      </c>
      <c r="O21" s="69">
        <f t="shared" si="3"/>
        <v>2</v>
      </c>
      <c r="P21" s="69">
        <f t="shared" si="4"/>
        <v>2</v>
      </c>
      <c r="Q21" s="69">
        <f t="shared" si="5"/>
        <v>2</v>
      </c>
      <c r="R21" s="70">
        <f t="shared" si="6"/>
        <v>0.40546510810816438</v>
      </c>
      <c r="S21" s="70">
        <f t="shared" si="7"/>
        <v>0.40546510810816438</v>
      </c>
      <c r="T21" s="70">
        <f t="shared" si="8"/>
        <v>0.34360302186915948</v>
      </c>
      <c r="U21" s="70">
        <f t="shared" si="9"/>
        <v>0.34360302186915948</v>
      </c>
      <c r="V21" s="70">
        <f t="shared" si="10"/>
        <v>0.91287092917527679</v>
      </c>
      <c r="W21" s="70">
        <f t="shared" si="11"/>
        <v>0.91287092917527679</v>
      </c>
      <c r="X21" s="70">
        <f t="shared" si="12"/>
        <v>0</v>
      </c>
      <c r="Y21" s="70">
        <f t="shared" si="13"/>
        <v>1.2909944487358056</v>
      </c>
      <c r="Z21" s="70">
        <f t="shared" si="14"/>
        <v>0</v>
      </c>
      <c r="AA21" s="69" t="str">
        <f t="shared" si="15"/>
        <v>Negligible</v>
      </c>
      <c r="AB21" s="69" t="str">
        <f t="shared" si="16"/>
        <v>Tidak Ada Indikasi Bias</v>
      </c>
    </row>
    <row r="22" spans="1:28" ht="75" x14ac:dyDescent="0.35">
      <c r="A22" s="71" t="str">
        <f>IMR!A16</f>
        <v>12. Implementasi standar harus mempertimbangkan kebutuhan dan ekspektasi pihak berkepentingan. Dalam organisasi pendidikan, minimal harus mempertimbangkan kebutuhan dan harapan dari …</v>
      </c>
      <c r="B22" s="69">
        <f>IMR!B16</f>
        <v>0</v>
      </c>
      <c r="C22" s="69">
        <f>IMR!C16</f>
        <v>0</v>
      </c>
      <c r="D22" s="69">
        <f>IMR!D16</f>
        <v>0</v>
      </c>
      <c r="E22" s="69">
        <f>IMR!E16</f>
        <v>0</v>
      </c>
      <c r="F22" s="69">
        <f>IMR!F16</f>
        <v>1</v>
      </c>
      <c r="G22" s="69">
        <f>IMR!G16</f>
        <v>1</v>
      </c>
      <c r="H22" s="69">
        <f>IMR!H16</f>
        <v>1</v>
      </c>
      <c r="I22" s="69">
        <f>IMR!I16</f>
        <v>1</v>
      </c>
      <c r="J22" s="69">
        <f>IMR!J16</f>
        <v>1</v>
      </c>
      <c r="K22" s="69">
        <f>IMR!K16</f>
        <v>1</v>
      </c>
      <c r="L22" s="69">
        <f t="shared" si="0"/>
        <v>5</v>
      </c>
      <c r="M22" s="69">
        <f t="shared" si="1"/>
        <v>5</v>
      </c>
      <c r="N22" s="69">
        <f t="shared" si="2"/>
        <v>3</v>
      </c>
      <c r="O22" s="69">
        <f t="shared" si="3"/>
        <v>3</v>
      </c>
      <c r="P22" s="69">
        <f t="shared" si="4"/>
        <v>3</v>
      </c>
      <c r="Q22" s="69">
        <f t="shared" si="5"/>
        <v>3</v>
      </c>
      <c r="R22" s="70">
        <f t="shared" si="6"/>
        <v>-0.40546510810816444</v>
      </c>
      <c r="S22" s="70">
        <f t="shared" si="7"/>
        <v>-0.40546510810816444</v>
      </c>
      <c r="T22" s="70">
        <f t="shared" si="8"/>
        <v>-0.46732719434716941</v>
      </c>
      <c r="U22" s="70">
        <f t="shared" si="9"/>
        <v>-0.46732719434716941</v>
      </c>
      <c r="V22" s="70">
        <f t="shared" si="10"/>
        <v>0.91287092917527679</v>
      </c>
      <c r="W22" s="70">
        <f t="shared" si="11"/>
        <v>0.91287092917527679</v>
      </c>
      <c r="X22" s="70">
        <f t="shared" si="12"/>
        <v>0</v>
      </c>
      <c r="Y22" s="70">
        <f t="shared" si="13"/>
        <v>1.2909944487358056</v>
      </c>
      <c r="Z22" s="70">
        <f t="shared" si="14"/>
        <v>0</v>
      </c>
      <c r="AA22" s="69" t="str">
        <f t="shared" si="15"/>
        <v>Negligible</v>
      </c>
      <c r="AB22" s="69" t="str">
        <f t="shared" si="16"/>
        <v>Tidak Ada Indikasi Bias</v>
      </c>
    </row>
    <row r="23" spans="1:28" ht="37.5" x14ac:dyDescent="0.35">
      <c r="A23" s="71" t="str">
        <f>IMR!A17</f>
        <v>13. Dalam melakukan perubahan budaya organisasi sebagai dampak penerapan standar, maka harus terdapat prosedur …</v>
      </c>
      <c r="B23" s="69">
        <f>IMR!B17</f>
        <v>0</v>
      </c>
      <c r="C23" s="69">
        <f>IMR!C17</f>
        <v>0</v>
      </c>
      <c r="D23" s="69">
        <f>IMR!D17</f>
        <v>0</v>
      </c>
      <c r="E23" s="69">
        <f>IMR!E17</f>
        <v>0</v>
      </c>
      <c r="F23" s="69">
        <f>IMR!F17</f>
        <v>0</v>
      </c>
      <c r="G23" s="69">
        <f>IMR!G17</f>
        <v>1</v>
      </c>
      <c r="H23" s="69">
        <f>IMR!H17</f>
        <v>0</v>
      </c>
      <c r="I23" s="69">
        <f>IMR!I17</f>
        <v>0</v>
      </c>
      <c r="J23" s="69">
        <f>IMR!J17</f>
        <v>1</v>
      </c>
      <c r="K23" s="69">
        <f>IMR!K17</f>
        <v>0</v>
      </c>
      <c r="L23" s="69">
        <f t="shared" si="0"/>
        <v>5</v>
      </c>
      <c r="M23" s="69">
        <f t="shared" si="1"/>
        <v>5</v>
      </c>
      <c r="N23" s="69">
        <f t="shared" si="2"/>
        <v>1</v>
      </c>
      <c r="O23" s="69">
        <f t="shared" si="3"/>
        <v>1</v>
      </c>
      <c r="P23" s="69">
        <f t="shared" si="4"/>
        <v>1</v>
      </c>
      <c r="Q23" s="69">
        <f t="shared" si="5"/>
        <v>1</v>
      </c>
      <c r="R23" s="70">
        <f t="shared" si="6"/>
        <v>1.3862943611198906</v>
      </c>
      <c r="S23" s="70">
        <f t="shared" si="7"/>
        <v>1.3862943611198906</v>
      </c>
      <c r="T23" s="70">
        <f t="shared" si="8"/>
        <v>1.3244322748808857</v>
      </c>
      <c r="U23" s="70">
        <f t="shared" si="9"/>
        <v>1.3244322748808857</v>
      </c>
      <c r="V23" s="70">
        <f t="shared" si="10"/>
        <v>1.1180339887498949</v>
      </c>
      <c r="W23" s="70">
        <f t="shared" si="11"/>
        <v>1.1180339887498949</v>
      </c>
      <c r="X23" s="70">
        <f t="shared" si="12"/>
        <v>0</v>
      </c>
      <c r="Y23" s="70">
        <f t="shared" si="13"/>
        <v>1.5811388300841898</v>
      </c>
      <c r="Z23" s="70">
        <f t="shared" si="14"/>
        <v>0</v>
      </c>
      <c r="AA23" s="69" t="str">
        <f t="shared" si="15"/>
        <v>Negligible</v>
      </c>
      <c r="AB23" s="69" t="str">
        <f t="shared" si="16"/>
        <v>Tidak Ada Indikasi Bias</v>
      </c>
    </row>
    <row r="24" spans="1:28" ht="50" x14ac:dyDescent="0.35">
      <c r="A24" s="71" t="str">
        <f>IMR!A18</f>
        <v>14. Organisasi pendidikan harus menetapkan tujuan dari sistem, dan prosesnya pada siklus PDCA. Tahapan ini merupakan tahap …</v>
      </c>
      <c r="B24" s="69">
        <f>IMR!B18</f>
        <v>1</v>
      </c>
      <c r="C24" s="69">
        <f>IMR!C18</f>
        <v>0</v>
      </c>
      <c r="D24" s="69">
        <f>IMR!D18</f>
        <v>1</v>
      </c>
      <c r="E24" s="69">
        <f>IMR!E18</f>
        <v>1</v>
      </c>
      <c r="F24" s="69">
        <f>IMR!F18</f>
        <v>0</v>
      </c>
      <c r="G24" s="69">
        <f>IMR!G18</f>
        <v>1</v>
      </c>
      <c r="H24" s="69">
        <f>IMR!H18</f>
        <v>1</v>
      </c>
      <c r="I24" s="69">
        <f>IMR!I18</f>
        <v>1</v>
      </c>
      <c r="J24" s="69">
        <f>IMR!J18</f>
        <v>1</v>
      </c>
      <c r="K24" s="69">
        <f>IMR!K18</f>
        <v>1</v>
      </c>
      <c r="L24" s="69">
        <f t="shared" si="0"/>
        <v>5</v>
      </c>
      <c r="M24" s="69">
        <f t="shared" si="1"/>
        <v>5</v>
      </c>
      <c r="N24" s="69">
        <f t="shared" si="2"/>
        <v>4</v>
      </c>
      <c r="O24" s="69">
        <f t="shared" si="3"/>
        <v>4</v>
      </c>
      <c r="P24" s="69">
        <f t="shared" si="4"/>
        <v>4</v>
      </c>
      <c r="Q24" s="69">
        <f t="shared" si="5"/>
        <v>4</v>
      </c>
      <c r="R24" s="70">
        <f t="shared" si="6"/>
        <v>-1.3862943611198906</v>
      </c>
      <c r="S24" s="70">
        <f t="shared" si="7"/>
        <v>-1.3862943611198906</v>
      </c>
      <c r="T24" s="70">
        <f t="shared" si="8"/>
        <v>-1.4481564473588955</v>
      </c>
      <c r="U24" s="70">
        <f t="shared" si="9"/>
        <v>-1.4481564473588955</v>
      </c>
      <c r="V24" s="70">
        <f t="shared" si="10"/>
        <v>1.1180339887498949</v>
      </c>
      <c r="W24" s="70">
        <f t="shared" si="11"/>
        <v>1.1180339887498949</v>
      </c>
      <c r="X24" s="70">
        <f t="shared" si="12"/>
        <v>0</v>
      </c>
      <c r="Y24" s="70">
        <f t="shared" si="13"/>
        <v>1.5811388300841898</v>
      </c>
      <c r="Z24" s="70">
        <f t="shared" si="14"/>
        <v>0</v>
      </c>
      <c r="AA24" s="69" t="str">
        <f t="shared" si="15"/>
        <v>Negligible</v>
      </c>
      <c r="AB24" s="69" t="str">
        <f t="shared" si="16"/>
        <v>Tidak Ada Indikasi Bias</v>
      </c>
    </row>
    <row r="25" spans="1:28" ht="75" customHeight="1" x14ac:dyDescent="0.35">
      <c r="A25" s="71" t="str">
        <f>IMR!A19</f>
        <v>15. Organisasi pendidikan diminta untuk mengambil tindakan untuk meningkatkan performa jika dibutuhkan pada siklus PDCA. Tahapan ini merupakan tahap …</v>
      </c>
      <c r="B25" s="69">
        <f>IMR!B19</f>
        <v>1</v>
      </c>
      <c r="C25" s="69">
        <f>IMR!C19</f>
        <v>1</v>
      </c>
      <c r="D25" s="69">
        <f>IMR!D19</f>
        <v>1</v>
      </c>
      <c r="E25" s="69">
        <f>IMR!E19</f>
        <v>1</v>
      </c>
      <c r="F25" s="69">
        <f>IMR!F19</f>
        <v>0</v>
      </c>
      <c r="G25" s="69">
        <f>IMR!G19</f>
        <v>0</v>
      </c>
      <c r="H25" s="69">
        <f>IMR!H19</f>
        <v>0</v>
      </c>
      <c r="I25" s="69">
        <f>IMR!I19</f>
        <v>0</v>
      </c>
      <c r="J25" s="69">
        <f>IMR!J19</f>
        <v>0</v>
      </c>
      <c r="K25" s="69">
        <f>IMR!K19</f>
        <v>0</v>
      </c>
      <c r="L25" s="69">
        <f t="shared" si="0"/>
        <v>5</v>
      </c>
      <c r="M25" s="69">
        <f t="shared" si="1"/>
        <v>5</v>
      </c>
      <c r="N25" s="69">
        <f t="shared" si="2"/>
        <v>2</v>
      </c>
      <c r="O25" s="69">
        <f t="shared" si="3"/>
        <v>2</v>
      </c>
      <c r="P25" s="69">
        <f t="shared" si="4"/>
        <v>2</v>
      </c>
      <c r="Q25" s="69">
        <f t="shared" si="5"/>
        <v>2</v>
      </c>
      <c r="R25" s="70">
        <f t="shared" si="6"/>
        <v>0.40546510810816438</v>
      </c>
      <c r="S25" s="70">
        <f t="shared" si="7"/>
        <v>0.40546510810816438</v>
      </c>
      <c r="T25" s="70">
        <f t="shared" si="8"/>
        <v>0.34360302186915948</v>
      </c>
      <c r="U25" s="70">
        <f t="shared" si="9"/>
        <v>0.34360302186915948</v>
      </c>
      <c r="V25" s="70">
        <f t="shared" si="10"/>
        <v>0.91287092917527679</v>
      </c>
      <c r="W25" s="70">
        <f t="shared" si="11"/>
        <v>0.91287092917527679</v>
      </c>
      <c r="X25" s="70">
        <f t="shared" si="12"/>
        <v>0</v>
      </c>
      <c r="Y25" s="70">
        <f t="shared" si="13"/>
        <v>1.2909944487358056</v>
      </c>
      <c r="Z25" s="70">
        <f t="shared" si="14"/>
        <v>0</v>
      </c>
      <c r="AA25" s="69" t="str">
        <f t="shared" si="15"/>
        <v>Negligible</v>
      </c>
      <c r="AB25" s="69" t="str">
        <f t="shared" si="16"/>
        <v>Tidak Ada Indikasi Bias</v>
      </c>
    </row>
    <row r="26" spans="1:28" ht="50" x14ac:dyDescent="0.35">
      <c r="A26" s="71" t="str">
        <f>IMR!A20</f>
        <v>16. Penerapan pendekatan proses pada SMOP memungkinkan organisasi untuk memperoleh keuntunngan berikut, kecuali …</v>
      </c>
      <c r="B26" s="69">
        <f>IMR!B20</f>
        <v>0</v>
      </c>
      <c r="C26" s="69">
        <f>IMR!C20</f>
        <v>0</v>
      </c>
      <c r="D26" s="69">
        <f>IMR!D20</f>
        <v>0</v>
      </c>
      <c r="E26" s="69">
        <f>IMR!E20</f>
        <v>0</v>
      </c>
      <c r="F26" s="69">
        <f>IMR!F20</f>
        <v>0</v>
      </c>
      <c r="G26" s="69">
        <f>IMR!G20</f>
        <v>1</v>
      </c>
      <c r="H26" s="69">
        <f>IMR!H20</f>
        <v>0</v>
      </c>
      <c r="I26" s="69">
        <f>IMR!I20</f>
        <v>0</v>
      </c>
      <c r="J26" s="69">
        <f>IMR!J20</f>
        <v>1</v>
      </c>
      <c r="K26" s="69">
        <f>IMR!K20</f>
        <v>0</v>
      </c>
      <c r="L26" s="69">
        <f t="shared" si="0"/>
        <v>5</v>
      </c>
      <c r="M26" s="69">
        <f t="shared" si="1"/>
        <v>5</v>
      </c>
      <c r="N26" s="69">
        <f t="shared" si="2"/>
        <v>1</v>
      </c>
      <c r="O26" s="69">
        <f t="shared" si="3"/>
        <v>1</v>
      </c>
      <c r="P26" s="69">
        <f t="shared" si="4"/>
        <v>1</v>
      </c>
      <c r="Q26" s="69">
        <f t="shared" si="5"/>
        <v>1</v>
      </c>
      <c r="R26" s="70">
        <f t="shared" si="6"/>
        <v>1.3862943611198906</v>
      </c>
      <c r="S26" s="70">
        <f t="shared" si="7"/>
        <v>1.3862943611198906</v>
      </c>
      <c r="T26" s="70">
        <f t="shared" si="8"/>
        <v>1.3244322748808857</v>
      </c>
      <c r="U26" s="70">
        <f t="shared" si="9"/>
        <v>1.3244322748808857</v>
      </c>
      <c r="V26" s="70">
        <f t="shared" si="10"/>
        <v>1.1180339887498949</v>
      </c>
      <c r="W26" s="70">
        <f t="shared" si="11"/>
        <v>1.1180339887498949</v>
      </c>
      <c r="X26" s="70">
        <f t="shared" si="12"/>
        <v>0</v>
      </c>
      <c r="Y26" s="70">
        <f t="shared" si="13"/>
        <v>1.5811388300841898</v>
      </c>
      <c r="Z26" s="70">
        <f t="shared" si="14"/>
        <v>0</v>
      </c>
      <c r="AA26" s="69" t="str">
        <f t="shared" si="15"/>
        <v>Negligible</v>
      </c>
      <c r="AB26" s="69" t="str">
        <f t="shared" si="16"/>
        <v>Tidak Ada Indikasi Bias</v>
      </c>
    </row>
    <row r="27" spans="1:28" ht="75" customHeight="1" x14ac:dyDescent="0.35">
      <c r="A27" s="71" t="str">
        <f>IMR!A21</f>
        <v>17. Penerapan SMOP dapat membantu organisasi pendidikan dalam mencapai visinya dengan …</v>
      </c>
      <c r="B27" s="69">
        <f>IMR!B21</f>
        <v>1</v>
      </c>
      <c r="C27" s="69">
        <f>IMR!C21</f>
        <v>1</v>
      </c>
      <c r="D27" s="69">
        <f>IMR!D21</f>
        <v>1</v>
      </c>
      <c r="E27" s="69">
        <f>IMR!E21</f>
        <v>1</v>
      </c>
      <c r="F27" s="69">
        <f>IMR!F21</f>
        <v>1</v>
      </c>
      <c r="G27" s="69">
        <f>IMR!G21</f>
        <v>0</v>
      </c>
      <c r="H27" s="69">
        <f>IMR!H21</f>
        <v>1</v>
      </c>
      <c r="I27" s="69">
        <f>IMR!I21</f>
        <v>0</v>
      </c>
      <c r="J27" s="69">
        <f>IMR!J21</f>
        <v>0</v>
      </c>
      <c r="K27" s="69">
        <f>IMR!K21</f>
        <v>0</v>
      </c>
      <c r="L27" s="69">
        <f t="shared" si="0"/>
        <v>5</v>
      </c>
      <c r="M27" s="69">
        <f t="shared" si="1"/>
        <v>5</v>
      </c>
      <c r="N27" s="69">
        <f t="shared" si="2"/>
        <v>3</v>
      </c>
      <c r="O27" s="69">
        <f t="shared" si="3"/>
        <v>3</v>
      </c>
      <c r="P27" s="69">
        <f t="shared" si="4"/>
        <v>3</v>
      </c>
      <c r="Q27" s="69">
        <f t="shared" si="5"/>
        <v>3</v>
      </c>
      <c r="R27" s="70">
        <f t="shared" si="6"/>
        <v>-0.40546510810816444</v>
      </c>
      <c r="S27" s="70">
        <f t="shared" si="7"/>
        <v>-0.40546510810816444</v>
      </c>
      <c r="T27" s="70">
        <f t="shared" si="8"/>
        <v>-0.46732719434716941</v>
      </c>
      <c r="U27" s="70">
        <f t="shared" si="9"/>
        <v>-0.46732719434716941</v>
      </c>
      <c r="V27" s="70">
        <f t="shared" si="10"/>
        <v>0.91287092917527679</v>
      </c>
      <c r="W27" s="70">
        <f t="shared" si="11"/>
        <v>0.91287092917527679</v>
      </c>
      <c r="X27" s="70">
        <f t="shared" si="12"/>
        <v>0</v>
      </c>
      <c r="Y27" s="70">
        <f t="shared" si="13"/>
        <v>1.2909944487358056</v>
      </c>
      <c r="Z27" s="70">
        <f t="shared" si="14"/>
        <v>0</v>
      </c>
      <c r="AA27" s="69" t="str">
        <f t="shared" si="15"/>
        <v>Negligible</v>
      </c>
      <c r="AB27" s="69" t="str">
        <f t="shared" si="16"/>
        <v>Tidak Ada Indikasi Bias</v>
      </c>
    </row>
    <row r="28" spans="1:28" ht="37.5" x14ac:dyDescent="0.35">
      <c r="A28" s="71" t="str">
        <f>IMR!A22</f>
        <v>18. Bermanfaat untuk meningkatkan proses pengambilan keputusan adalah prinsip SMOP yaitu …</v>
      </c>
      <c r="B28" s="69">
        <f>IMR!B22</f>
        <v>0</v>
      </c>
      <c r="C28" s="69">
        <f>IMR!C22</f>
        <v>1</v>
      </c>
      <c r="D28" s="69">
        <f>IMR!D22</f>
        <v>1</v>
      </c>
      <c r="E28" s="69">
        <f>IMR!E22</f>
        <v>0</v>
      </c>
      <c r="F28" s="69">
        <f>IMR!F22</f>
        <v>0</v>
      </c>
      <c r="G28" s="69">
        <f>IMR!G22</f>
        <v>0</v>
      </c>
      <c r="H28" s="69">
        <f>IMR!H22</f>
        <v>0</v>
      </c>
      <c r="I28" s="69">
        <f>IMR!I22</f>
        <v>0</v>
      </c>
      <c r="J28" s="69">
        <f>IMR!J22</f>
        <v>0</v>
      </c>
      <c r="K28" s="69">
        <f>IMR!K22</f>
        <v>0</v>
      </c>
      <c r="L28" s="69">
        <f t="shared" si="0"/>
        <v>5</v>
      </c>
      <c r="M28" s="69">
        <f t="shared" si="1"/>
        <v>5</v>
      </c>
      <c r="N28" s="69">
        <f t="shared" si="2"/>
        <v>1</v>
      </c>
      <c r="O28" s="69">
        <f t="shared" si="3"/>
        <v>1</v>
      </c>
      <c r="P28" s="69">
        <f t="shared" si="4"/>
        <v>1</v>
      </c>
      <c r="Q28" s="69">
        <f t="shared" si="5"/>
        <v>1</v>
      </c>
      <c r="R28" s="70">
        <f t="shared" si="6"/>
        <v>1.3862943611198906</v>
      </c>
      <c r="S28" s="70">
        <f t="shared" si="7"/>
        <v>1.3862943611198906</v>
      </c>
      <c r="T28" s="70">
        <f t="shared" si="8"/>
        <v>1.3244322748808857</v>
      </c>
      <c r="U28" s="70">
        <f t="shared" si="9"/>
        <v>1.3244322748808857</v>
      </c>
      <c r="V28" s="70">
        <f t="shared" si="10"/>
        <v>1.1180339887498949</v>
      </c>
      <c r="W28" s="70">
        <f t="shared" si="11"/>
        <v>1.1180339887498949</v>
      </c>
      <c r="X28" s="70">
        <f t="shared" si="12"/>
        <v>0</v>
      </c>
      <c r="Y28" s="70">
        <f t="shared" si="13"/>
        <v>1.5811388300841898</v>
      </c>
      <c r="Z28" s="70">
        <f t="shared" si="14"/>
        <v>0</v>
      </c>
      <c r="AA28" s="69" t="str">
        <f t="shared" si="15"/>
        <v>Negligible</v>
      </c>
      <c r="AB28" s="69" t="str">
        <f t="shared" si="16"/>
        <v>Tidak Ada Indikasi Bias</v>
      </c>
    </row>
    <row r="29" spans="1:28" ht="37.5" x14ac:dyDescent="0.35">
      <c r="A29" s="71" t="str">
        <f>IMR!A23</f>
        <v>19. Yang dimaksud dengan peserta didik berkebutuhan khusus dalam ISO 21001:2018 adalah …</v>
      </c>
      <c r="B29" s="69">
        <f>IMR!B23</f>
        <v>1</v>
      </c>
      <c r="C29" s="69">
        <f>IMR!C23</f>
        <v>0</v>
      </c>
      <c r="D29" s="69">
        <f>IMR!D23</f>
        <v>1</v>
      </c>
      <c r="E29" s="69">
        <f>IMR!E23</f>
        <v>0</v>
      </c>
      <c r="F29" s="69">
        <f>IMR!F23</f>
        <v>0</v>
      </c>
      <c r="G29" s="69">
        <f>IMR!G23</f>
        <v>0</v>
      </c>
      <c r="H29" s="69">
        <f>IMR!H23</f>
        <v>0</v>
      </c>
      <c r="I29" s="69">
        <f>IMR!I23</f>
        <v>0</v>
      </c>
      <c r="J29" s="69">
        <f>IMR!J23</f>
        <v>0</v>
      </c>
      <c r="K29" s="69">
        <f>IMR!K23</f>
        <v>0</v>
      </c>
      <c r="L29" s="69">
        <f t="shared" si="0"/>
        <v>5</v>
      </c>
      <c r="M29" s="69">
        <f t="shared" si="1"/>
        <v>5</v>
      </c>
      <c r="N29" s="69">
        <f t="shared" si="2"/>
        <v>1</v>
      </c>
      <c r="O29" s="69">
        <f t="shared" si="3"/>
        <v>1</v>
      </c>
      <c r="P29" s="69">
        <f t="shared" si="4"/>
        <v>1</v>
      </c>
      <c r="Q29" s="69">
        <f t="shared" si="5"/>
        <v>1</v>
      </c>
      <c r="R29" s="70">
        <f t="shared" si="6"/>
        <v>1.3862943611198906</v>
      </c>
      <c r="S29" s="70">
        <f t="shared" si="7"/>
        <v>1.3862943611198906</v>
      </c>
      <c r="T29" s="70">
        <f t="shared" si="8"/>
        <v>1.3244322748808857</v>
      </c>
      <c r="U29" s="70">
        <f t="shared" si="9"/>
        <v>1.3244322748808857</v>
      </c>
      <c r="V29" s="70">
        <f t="shared" si="10"/>
        <v>1.1180339887498949</v>
      </c>
      <c r="W29" s="70">
        <f t="shared" si="11"/>
        <v>1.1180339887498949</v>
      </c>
      <c r="X29" s="70">
        <f t="shared" si="12"/>
        <v>0</v>
      </c>
      <c r="Y29" s="70">
        <f t="shared" si="13"/>
        <v>1.5811388300841898</v>
      </c>
      <c r="Z29" s="70">
        <f t="shared" si="14"/>
        <v>0</v>
      </c>
      <c r="AA29" s="69" t="str">
        <f t="shared" si="15"/>
        <v>Negligible</v>
      </c>
      <c r="AB29" s="69" t="str">
        <f t="shared" si="16"/>
        <v>Tidak Ada Indikasi Bias</v>
      </c>
    </row>
    <row r="30" spans="1:28" ht="25" x14ac:dyDescent="0.35">
      <c r="A30" s="71" t="str">
        <f>IMR!A24</f>
        <v>20. Dokumen kebijakan SPMI merupakan bentuk pemenuhan siklus SPMI …</v>
      </c>
      <c r="B30" s="69">
        <f>IMR!B24</f>
        <v>1</v>
      </c>
      <c r="C30" s="69">
        <f>IMR!C24</f>
        <v>1</v>
      </c>
      <c r="D30" s="69">
        <f>IMR!D24</f>
        <v>1</v>
      </c>
      <c r="E30" s="69">
        <f>IMR!E24</f>
        <v>0</v>
      </c>
      <c r="F30" s="69">
        <f>IMR!F24</f>
        <v>1</v>
      </c>
      <c r="G30" s="69">
        <f>IMR!G24</f>
        <v>1</v>
      </c>
      <c r="H30" s="69">
        <f>IMR!H24</f>
        <v>0</v>
      </c>
      <c r="I30" s="69">
        <f>IMR!I24</f>
        <v>0</v>
      </c>
      <c r="J30" s="69">
        <f>IMR!J24</f>
        <v>1</v>
      </c>
      <c r="K30" s="69">
        <f>IMR!K24</f>
        <v>0</v>
      </c>
      <c r="L30" s="69">
        <f t="shared" si="0"/>
        <v>5</v>
      </c>
      <c r="M30" s="69">
        <f t="shared" si="1"/>
        <v>5</v>
      </c>
      <c r="N30" s="69">
        <f t="shared" si="2"/>
        <v>3</v>
      </c>
      <c r="O30" s="69">
        <f t="shared" si="3"/>
        <v>3</v>
      </c>
      <c r="P30" s="69">
        <f t="shared" si="4"/>
        <v>3</v>
      </c>
      <c r="Q30" s="69">
        <f t="shared" si="5"/>
        <v>3</v>
      </c>
      <c r="R30" s="70">
        <f t="shared" si="6"/>
        <v>-0.40546510810816444</v>
      </c>
      <c r="S30" s="70">
        <f t="shared" si="7"/>
        <v>-0.40546510810816444</v>
      </c>
      <c r="T30" s="70">
        <f t="shared" si="8"/>
        <v>-0.46732719434716941</v>
      </c>
      <c r="U30" s="70">
        <f t="shared" si="9"/>
        <v>-0.46732719434716941</v>
      </c>
      <c r="V30" s="70">
        <f t="shared" si="10"/>
        <v>0.91287092917527679</v>
      </c>
      <c r="W30" s="70">
        <f t="shared" si="11"/>
        <v>0.91287092917527679</v>
      </c>
      <c r="X30" s="70">
        <f t="shared" si="12"/>
        <v>0</v>
      </c>
      <c r="Y30" s="70">
        <f t="shared" si="13"/>
        <v>1.2909944487358056</v>
      </c>
      <c r="Z30" s="70">
        <f t="shared" si="14"/>
        <v>0</v>
      </c>
      <c r="AA30" s="69" t="str">
        <f t="shared" si="15"/>
        <v>Negligible</v>
      </c>
      <c r="AB30" s="69" t="str">
        <f t="shared" si="16"/>
        <v>Tidak Ada Indikasi Bias</v>
      </c>
    </row>
    <row r="31" spans="1:28" ht="37.5" x14ac:dyDescent="0.35">
      <c r="A31" s="71" t="str">
        <f>IMR!A25</f>
        <v>21. Dokumen survei kepuasan pemangku kepentingan merupakan bentuk pemenuhan siklus SPMI …</v>
      </c>
      <c r="B31" s="69">
        <f>IMR!B25</f>
        <v>1</v>
      </c>
      <c r="C31" s="69">
        <f>IMR!C25</f>
        <v>1</v>
      </c>
      <c r="D31" s="69">
        <f>IMR!D25</f>
        <v>1</v>
      </c>
      <c r="E31" s="69">
        <f>IMR!E25</f>
        <v>1</v>
      </c>
      <c r="F31" s="69">
        <f>IMR!F25</f>
        <v>0</v>
      </c>
      <c r="G31" s="69">
        <f>IMR!G25</f>
        <v>0</v>
      </c>
      <c r="H31" s="69">
        <f>IMR!H25</f>
        <v>0</v>
      </c>
      <c r="I31" s="69">
        <f>IMR!I25</f>
        <v>0</v>
      </c>
      <c r="J31" s="69">
        <f>IMR!J25</f>
        <v>0</v>
      </c>
      <c r="K31" s="69">
        <f>IMR!K25</f>
        <v>0</v>
      </c>
      <c r="L31" s="69">
        <f t="shared" si="0"/>
        <v>5</v>
      </c>
      <c r="M31" s="69">
        <f t="shared" si="1"/>
        <v>5</v>
      </c>
      <c r="N31" s="69">
        <f t="shared" si="2"/>
        <v>2</v>
      </c>
      <c r="O31" s="69">
        <f t="shared" si="3"/>
        <v>2</v>
      </c>
      <c r="P31" s="69">
        <f t="shared" si="4"/>
        <v>2</v>
      </c>
      <c r="Q31" s="69">
        <f t="shared" si="5"/>
        <v>2</v>
      </c>
      <c r="R31" s="70">
        <f t="shared" si="6"/>
        <v>0.40546510810816438</v>
      </c>
      <c r="S31" s="70">
        <f t="shared" si="7"/>
        <v>0.40546510810816438</v>
      </c>
      <c r="T31" s="70">
        <f t="shared" si="8"/>
        <v>0.34360302186915948</v>
      </c>
      <c r="U31" s="70">
        <f t="shared" si="9"/>
        <v>0.34360302186915948</v>
      </c>
      <c r="V31" s="70">
        <f t="shared" si="10"/>
        <v>0.91287092917527679</v>
      </c>
      <c r="W31" s="70">
        <f t="shared" si="11"/>
        <v>0.91287092917527679</v>
      </c>
      <c r="X31" s="70">
        <f t="shared" si="12"/>
        <v>0</v>
      </c>
      <c r="Y31" s="70">
        <f t="shared" si="13"/>
        <v>1.2909944487358056</v>
      </c>
      <c r="Z31" s="70">
        <f t="shared" si="14"/>
        <v>0</v>
      </c>
      <c r="AA31" s="69" t="str">
        <f t="shared" si="15"/>
        <v>Negligible</v>
      </c>
      <c r="AB31" s="69" t="str">
        <f t="shared" si="16"/>
        <v>Tidak Ada Indikasi Bias</v>
      </c>
    </row>
    <row r="32" spans="1:28" ht="37.5" customHeight="1" x14ac:dyDescent="0.35">
      <c r="A32" s="71" t="str">
        <f>IMR!A26</f>
        <v>22. Rapat tinjauan manajemen merupakan bentuk pemenuhan siklus SPMI …</v>
      </c>
      <c r="B32" s="69">
        <f>IMR!B26</f>
        <v>1</v>
      </c>
      <c r="C32" s="69">
        <f>IMR!C26</f>
        <v>0</v>
      </c>
      <c r="D32" s="69">
        <f>IMR!D26</f>
        <v>1</v>
      </c>
      <c r="E32" s="69">
        <f>IMR!E26</f>
        <v>0</v>
      </c>
      <c r="F32" s="69">
        <f>IMR!F26</f>
        <v>0</v>
      </c>
      <c r="G32" s="69">
        <f>IMR!G26</f>
        <v>1</v>
      </c>
      <c r="H32" s="69">
        <f>IMR!H26</f>
        <v>1</v>
      </c>
      <c r="I32" s="69">
        <f>IMR!I26</f>
        <v>0</v>
      </c>
      <c r="J32" s="69">
        <f>IMR!J26</f>
        <v>1</v>
      </c>
      <c r="K32" s="69">
        <f>IMR!K26</f>
        <v>1</v>
      </c>
      <c r="L32" s="69">
        <f t="shared" si="0"/>
        <v>5</v>
      </c>
      <c r="M32" s="69">
        <f t="shared" si="1"/>
        <v>5</v>
      </c>
      <c r="N32" s="69">
        <f t="shared" si="2"/>
        <v>3</v>
      </c>
      <c r="O32" s="69">
        <f t="shared" si="3"/>
        <v>3</v>
      </c>
      <c r="P32" s="69">
        <f t="shared" si="4"/>
        <v>3</v>
      </c>
      <c r="Q32" s="69">
        <f t="shared" si="5"/>
        <v>3</v>
      </c>
      <c r="R32" s="70">
        <f t="shared" si="6"/>
        <v>-0.40546510810816444</v>
      </c>
      <c r="S32" s="70">
        <f t="shared" si="7"/>
        <v>-0.40546510810816444</v>
      </c>
      <c r="T32" s="70">
        <f t="shared" si="8"/>
        <v>-0.46732719434716941</v>
      </c>
      <c r="U32" s="70">
        <f t="shared" si="9"/>
        <v>-0.46732719434716941</v>
      </c>
      <c r="V32" s="70">
        <f t="shared" si="10"/>
        <v>0.91287092917527679</v>
      </c>
      <c r="W32" s="70">
        <f t="shared" si="11"/>
        <v>0.91287092917527679</v>
      </c>
      <c r="X32" s="70">
        <f t="shared" si="12"/>
        <v>0</v>
      </c>
      <c r="Y32" s="70">
        <f t="shared" si="13"/>
        <v>1.2909944487358056</v>
      </c>
      <c r="Z32" s="70">
        <f t="shared" si="14"/>
        <v>0</v>
      </c>
      <c r="AA32" s="69" t="str">
        <f t="shared" si="15"/>
        <v>Negligible</v>
      </c>
      <c r="AB32" s="69" t="str">
        <f t="shared" si="16"/>
        <v>Tidak Ada Indikasi Bias</v>
      </c>
    </row>
    <row r="33" spans="1:28" ht="37.5" customHeight="1" x14ac:dyDescent="0.35">
      <c r="A33" s="71" t="str">
        <f>IMR!A27</f>
        <v>23. SK Auditor Mutu Internal merupakan bentuk pemenuhan siklus SPMI …</v>
      </c>
      <c r="B33" s="69">
        <f>IMR!B27</f>
        <v>1</v>
      </c>
      <c r="C33" s="69">
        <f>IMR!C27</f>
        <v>1</v>
      </c>
      <c r="D33" s="69">
        <f>IMR!D27</f>
        <v>0</v>
      </c>
      <c r="E33" s="69">
        <f>IMR!E27</f>
        <v>1</v>
      </c>
      <c r="F33" s="69">
        <f>IMR!F27</f>
        <v>1</v>
      </c>
      <c r="G33" s="69">
        <f>IMR!G27</f>
        <v>1</v>
      </c>
      <c r="H33" s="69">
        <f>IMR!H27</f>
        <v>0</v>
      </c>
      <c r="I33" s="69">
        <f>IMR!I27</f>
        <v>0</v>
      </c>
      <c r="J33" s="69">
        <f>IMR!J27</f>
        <v>0</v>
      </c>
      <c r="K33" s="69">
        <f>IMR!K27</f>
        <v>1</v>
      </c>
      <c r="L33" s="69">
        <f t="shared" si="0"/>
        <v>5</v>
      </c>
      <c r="M33" s="69">
        <f t="shared" si="1"/>
        <v>5</v>
      </c>
      <c r="N33" s="69">
        <f t="shared" si="2"/>
        <v>3</v>
      </c>
      <c r="O33" s="69">
        <f t="shared" si="3"/>
        <v>3</v>
      </c>
      <c r="P33" s="69">
        <f t="shared" si="4"/>
        <v>3</v>
      </c>
      <c r="Q33" s="69">
        <f t="shared" si="5"/>
        <v>3</v>
      </c>
      <c r="R33" s="70">
        <f t="shared" si="6"/>
        <v>-0.40546510810816444</v>
      </c>
      <c r="S33" s="70">
        <f t="shared" si="7"/>
        <v>-0.40546510810816444</v>
      </c>
      <c r="T33" s="70">
        <f t="shared" si="8"/>
        <v>-0.46732719434716941</v>
      </c>
      <c r="U33" s="70">
        <f t="shared" si="9"/>
        <v>-0.46732719434716941</v>
      </c>
      <c r="V33" s="70">
        <f t="shared" si="10"/>
        <v>0.91287092917527679</v>
      </c>
      <c r="W33" s="70">
        <f t="shared" si="11"/>
        <v>0.91287092917527679</v>
      </c>
      <c r="X33" s="70">
        <f t="shared" si="12"/>
        <v>0</v>
      </c>
      <c r="Y33" s="70">
        <f t="shared" si="13"/>
        <v>1.2909944487358056</v>
      </c>
      <c r="Z33" s="70">
        <f t="shared" si="14"/>
        <v>0</v>
      </c>
      <c r="AA33" s="69" t="str">
        <f t="shared" si="15"/>
        <v>Negligible</v>
      </c>
      <c r="AB33" s="69" t="str">
        <f t="shared" si="16"/>
        <v>Tidak Ada Indikasi Bias</v>
      </c>
    </row>
    <row r="34" spans="1:28" ht="37.5" x14ac:dyDescent="0.35">
      <c r="A34" s="71" t="str">
        <f>IMR!A28</f>
        <v>24. Berikut adalah cara yang tepat untuk melakukan integrasi antara ISO 21001:2018 dengan SPMI …</v>
      </c>
      <c r="B34" s="69">
        <f>IMR!B28</f>
        <v>0</v>
      </c>
      <c r="C34" s="69">
        <f>IMR!C28</f>
        <v>1</v>
      </c>
      <c r="D34" s="69">
        <f>IMR!D28</f>
        <v>0</v>
      </c>
      <c r="E34" s="69">
        <f>IMR!E28</f>
        <v>0</v>
      </c>
      <c r="F34" s="69">
        <f>IMR!F28</f>
        <v>1</v>
      </c>
      <c r="G34" s="69">
        <f>IMR!G28</f>
        <v>1</v>
      </c>
      <c r="H34" s="69">
        <f>IMR!H28</f>
        <v>1</v>
      </c>
      <c r="I34" s="69">
        <f>IMR!I28</f>
        <v>0</v>
      </c>
      <c r="J34" s="69">
        <f>IMR!J28</f>
        <v>1</v>
      </c>
      <c r="K34" s="69">
        <f>IMR!K28</f>
        <v>1</v>
      </c>
      <c r="L34" s="69">
        <f t="shared" si="0"/>
        <v>5</v>
      </c>
      <c r="M34" s="69">
        <f t="shared" si="1"/>
        <v>5</v>
      </c>
      <c r="N34" s="69">
        <f t="shared" si="2"/>
        <v>3</v>
      </c>
      <c r="O34" s="69">
        <f t="shared" si="3"/>
        <v>3</v>
      </c>
      <c r="P34" s="69">
        <f t="shared" si="4"/>
        <v>3</v>
      </c>
      <c r="Q34" s="69">
        <f t="shared" si="5"/>
        <v>3</v>
      </c>
      <c r="R34" s="70">
        <f t="shared" si="6"/>
        <v>-0.40546510810816444</v>
      </c>
      <c r="S34" s="70">
        <f t="shared" si="7"/>
        <v>-0.40546510810816444</v>
      </c>
      <c r="T34" s="70">
        <f t="shared" si="8"/>
        <v>-0.46732719434716941</v>
      </c>
      <c r="U34" s="70">
        <f t="shared" si="9"/>
        <v>-0.46732719434716941</v>
      </c>
      <c r="V34" s="70">
        <f t="shared" si="10"/>
        <v>0.91287092917527679</v>
      </c>
      <c r="W34" s="70">
        <f t="shared" si="11"/>
        <v>0.91287092917527679</v>
      </c>
      <c r="X34" s="70">
        <f t="shared" si="12"/>
        <v>0</v>
      </c>
      <c r="Y34" s="70">
        <f t="shared" si="13"/>
        <v>1.2909944487358056</v>
      </c>
      <c r="Z34" s="70">
        <f t="shared" si="14"/>
        <v>0</v>
      </c>
      <c r="AA34" s="69" t="str">
        <f t="shared" si="15"/>
        <v>Negligible</v>
      </c>
      <c r="AB34" s="69" t="str">
        <f t="shared" si="16"/>
        <v>Tidak Ada Indikasi Bias</v>
      </c>
    </row>
    <row r="35" spans="1:28" ht="25" x14ac:dyDescent="0.35">
      <c r="A35" s="71" t="str">
        <f>IMR!A29</f>
        <v>25. Risiko di dalam ISO 21001:2018 adalah …</v>
      </c>
      <c r="B35" s="69">
        <f>IMR!B29</f>
        <v>1</v>
      </c>
      <c r="C35" s="69">
        <f>IMR!C29</f>
        <v>0</v>
      </c>
      <c r="D35" s="69">
        <f>IMR!D29</f>
        <v>0</v>
      </c>
      <c r="E35" s="69">
        <f>IMR!E29</f>
        <v>1</v>
      </c>
      <c r="F35" s="69">
        <f>IMR!F29</f>
        <v>0</v>
      </c>
      <c r="G35" s="69">
        <f>IMR!G29</f>
        <v>0</v>
      </c>
      <c r="H35" s="69">
        <f>IMR!H29</f>
        <v>1</v>
      </c>
      <c r="I35" s="69">
        <f>IMR!I29</f>
        <v>1</v>
      </c>
      <c r="J35" s="69">
        <f>IMR!J29</f>
        <v>1</v>
      </c>
      <c r="K35" s="69">
        <f>IMR!K29</f>
        <v>1</v>
      </c>
      <c r="L35" s="69">
        <f t="shared" si="0"/>
        <v>5</v>
      </c>
      <c r="M35" s="69">
        <f t="shared" si="1"/>
        <v>5</v>
      </c>
      <c r="N35" s="69">
        <f t="shared" si="2"/>
        <v>3</v>
      </c>
      <c r="O35" s="69">
        <f t="shared" si="3"/>
        <v>3</v>
      </c>
      <c r="P35" s="69">
        <f t="shared" si="4"/>
        <v>3</v>
      </c>
      <c r="Q35" s="69">
        <f t="shared" si="5"/>
        <v>3</v>
      </c>
      <c r="R35" s="70">
        <f t="shared" si="6"/>
        <v>-0.40546510810816444</v>
      </c>
      <c r="S35" s="70">
        <f t="shared" si="7"/>
        <v>-0.40546510810816444</v>
      </c>
      <c r="T35" s="70">
        <f t="shared" si="8"/>
        <v>-0.46732719434716941</v>
      </c>
      <c r="U35" s="70">
        <f t="shared" si="9"/>
        <v>-0.46732719434716941</v>
      </c>
      <c r="V35" s="70">
        <f t="shared" si="10"/>
        <v>0.91287092917527679</v>
      </c>
      <c r="W35" s="70">
        <f t="shared" si="11"/>
        <v>0.91287092917527679</v>
      </c>
      <c r="X35" s="70">
        <f t="shared" si="12"/>
        <v>0</v>
      </c>
      <c r="Y35" s="70">
        <f t="shared" si="13"/>
        <v>1.2909944487358056</v>
      </c>
      <c r="Z35" s="70">
        <f t="shared" si="14"/>
        <v>0</v>
      </c>
      <c r="AA35" s="69" t="str">
        <f t="shared" si="15"/>
        <v>Negligible</v>
      </c>
      <c r="AB35" s="69" t="str">
        <f t="shared" si="16"/>
        <v>Tidak Ada Indikasi Bias</v>
      </c>
    </row>
    <row r="36" spans="1:28" ht="37.5" customHeight="1" x14ac:dyDescent="0.35">
      <c r="A36" s="71" t="str">
        <f>IMR!A30</f>
        <v>26. Melakukan benchmarking merupakan bentuk penerapan siklus SPMI …</v>
      </c>
      <c r="B36" s="69">
        <f>IMR!B30</f>
        <v>0</v>
      </c>
      <c r="C36" s="69">
        <f>IMR!C30</f>
        <v>0</v>
      </c>
      <c r="D36" s="69">
        <f>IMR!D30</f>
        <v>0</v>
      </c>
      <c r="E36" s="69">
        <f>IMR!E30</f>
        <v>0</v>
      </c>
      <c r="F36" s="69">
        <f>IMR!F30</f>
        <v>0</v>
      </c>
      <c r="G36" s="69">
        <f>IMR!G30</f>
        <v>0</v>
      </c>
      <c r="H36" s="69">
        <f>IMR!H30</f>
        <v>1</v>
      </c>
      <c r="I36" s="69">
        <f>IMR!I30</f>
        <v>0</v>
      </c>
      <c r="J36" s="69">
        <f>IMR!J30</f>
        <v>0</v>
      </c>
      <c r="K36" s="69">
        <f>IMR!K30</f>
        <v>1</v>
      </c>
      <c r="L36" s="69">
        <f t="shared" si="0"/>
        <v>5</v>
      </c>
      <c r="M36" s="69">
        <f t="shared" si="1"/>
        <v>5</v>
      </c>
      <c r="N36" s="69">
        <f t="shared" si="2"/>
        <v>1</v>
      </c>
      <c r="O36" s="69">
        <f t="shared" si="3"/>
        <v>1</v>
      </c>
      <c r="P36" s="69">
        <f t="shared" si="4"/>
        <v>1</v>
      </c>
      <c r="Q36" s="69">
        <f t="shared" si="5"/>
        <v>1</v>
      </c>
      <c r="R36" s="70">
        <f t="shared" si="6"/>
        <v>1.3862943611198906</v>
      </c>
      <c r="S36" s="70">
        <f t="shared" si="7"/>
        <v>1.3862943611198906</v>
      </c>
      <c r="T36" s="70">
        <f t="shared" si="8"/>
        <v>1.3244322748808857</v>
      </c>
      <c r="U36" s="70">
        <f t="shared" si="9"/>
        <v>1.3244322748808857</v>
      </c>
      <c r="V36" s="70">
        <f t="shared" si="10"/>
        <v>1.1180339887498949</v>
      </c>
      <c r="W36" s="70">
        <f t="shared" si="11"/>
        <v>1.1180339887498949</v>
      </c>
      <c r="X36" s="70">
        <f t="shared" si="12"/>
        <v>0</v>
      </c>
      <c r="Y36" s="70">
        <f t="shared" si="13"/>
        <v>1.5811388300841898</v>
      </c>
      <c r="Z36" s="70">
        <f t="shared" si="14"/>
        <v>0</v>
      </c>
      <c r="AA36" s="69" t="str">
        <f t="shared" si="15"/>
        <v>Negligible</v>
      </c>
      <c r="AB36" s="69" t="str">
        <f t="shared" si="16"/>
        <v>Tidak Ada Indikasi Bias</v>
      </c>
    </row>
    <row r="37" spans="1:28" ht="37.5" customHeight="1" x14ac:dyDescent="0.35">
      <c r="A37" s="71" t="str">
        <f>IMR!A31</f>
        <v>27. Dokumen yang berisi uraian garis besar tentang bagaimana perguruan tinggi memahami, merancang, dan mengimplementasikan SPMI adalah …</v>
      </c>
      <c r="B37" s="69">
        <f>IMR!B31</f>
        <v>1</v>
      </c>
      <c r="C37" s="69">
        <f>IMR!C31</f>
        <v>1</v>
      </c>
      <c r="D37" s="69">
        <f>IMR!D31</f>
        <v>1</v>
      </c>
      <c r="E37" s="69">
        <f>IMR!E31</f>
        <v>1</v>
      </c>
      <c r="F37" s="69">
        <f>IMR!F31</f>
        <v>1</v>
      </c>
      <c r="G37" s="69">
        <f>IMR!G31</f>
        <v>0</v>
      </c>
      <c r="H37" s="69">
        <f>IMR!H31</f>
        <v>1</v>
      </c>
      <c r="I37" s="69">
        <f>IMR!I31</f>
        <v>0</v>
      </c>
      <c r="J37" s="69">
        <f>IMR!J31</f>
        <v>0</v>
      </c>
      <c r="K37" s="69">
        <f>IMR!K31</f>
        <v>0</v>
      </c>
      <c r="L37" s="69">
        <f t="shared" si="0"/>
        <v>5</v>
      </c>
      <c r="M37" s="69">
        <f t="shared" si="1"/>
        <v>5</v>
      </c>
      <c r="N37" s="69">
        <f t="shared" si="2"/>
        <v>3</v>
      </c>
      <c r="O37" s="69">
        <f t="shared" si="3"/>
        <v>3</v>
      </c>
      <c r="P37" s="69">
        <f t="shared" si="4"/>
        <v>3</v>
      </c>
      <c r="Q37" s="69">
        <f t="shared" si="5"/>
        <v>3</v>
      </c>
      <c r="R37" s="70">
        <f t="shared" si="6"/>
        <v>-0.40546510810816444</v>
      </c>
      <c r="S37" s="70">
        <f t="shared" si="7"/>
        <v>-0.40546510810816444</v>
      </c>
      <c r="T37" s="70">
        <f t="shared" si="8"/>
        <v>-0.46732719434716941</v>
      </c>
      <c r="U37" s="70">
        <f t="shared" si="9"/>
        <v>-0.46732719434716941</v>
      </c>
      <c r="V37" s="70">
        <f t="shared" si="10"/>
        <v>0.91287092917527679</v>
      </c>
      <c r="W37" s="70">
        <f t="shared" si="11"/>
        <v>0.91287092917527679</v>
      </c>
      <c r="X37" s="70">
        <f t="shared" si="12"/>
        <v>0</v>
      </c>
      <c r="Y37" s="70">
        <f t="shared" si="13"/>
        <v>1.2909944487358056</v>
      </c>
      <c r="Z37" s="70">
        <f t="shared" si="14"/>
        <v>0</v>
      </c>
      <c r="AA37" s="69" t="str">
        <f t="shared" si="15"/>
        <v>Negligible</v>
      </c>
      <c r="AB37" s="69" t="str">
        <f t="shared" si="16"/>
        <v>Tidak Ada Indikasi Bias</v>
      </c>
    </row>
    <row r="38" spans="1:28" ht="37.5" x14ac:dyDescent="0.35">
      <c r="A38" s="71" t="str">
        <f>IMR!A32</f>
        <v>28. Dokumen yang berisi petunjuk penetapan, pelaksanaan, evaluasi, pengendalian, dan peningkatan adalah …</v>
      </c>
      <c r="B38" s="69">
        <f>IMR!B32</f>
        <v>1</v>
      </c>
      <c r="C38" s="69">
        <f>IMR!C32</f>
        <v>1</v>
      </c>
      <c r="D38" s="69">
        <f>IMR!D32</f>
        <v>1</v>
      </c>
      <c r="E38" s="69">
        <f>IMR!E32</f>
        <v>1</v>
      </c>
      <c r="F38" s="69">
        <f>IMR!F32</f>
        <v>1</v>
      </c>
      <c r="G38" s="69">
        <f>IMR!G32</f>
        <v>1</v>
      </c>
      <c r="H38" s="69">
        <f>IMR!H32</f>
        <v>1</v>
      </c>
      <c r="I38" s="69">
        <f>IMR!I32</f>
        <v>0</v>
      </c>
      <c r="J38" s="69">
        <f>IMR!J32</f>
        <v>1</v>
      </c>
      <c r="K38" s="69">
        <f>IMR!K32</f>
        <v>0</v>
      </c>
      <c r="L38" s="69">
        <f t="shared" si="0"/>
        <v>5</v>
      </c>
      <c r="M38" s="69">
        <f t="shared" si="1"/>
        <v>5</v>
      </c>
      <c r="N38" s="69">
        <f t="shared" si="2"/>
        <v>4</v>
      </c>
      <c r="O38" s="69">
        <f t="shared" si="3"/>
        <v>4</v>
      </c>
      <c r="P38" s="69">
        <f t="shared" si="4"/>
        <v>4</v>
      </c>
      <c r="Q38" s="69">
        <f t="shared" si="5"/>
        <v>4</v>
      </c>
      <c r="R38" s="70">
        <f t="shared" si="6"/>
        <v>-1.3862943611198906</v>
      </c>
      <c r="S38" s="70">
        <f t="shared" si="7"/>
        <v>-1.3862943611198906</v>
      </c>
      <c r="T38" s="70">
        <f t="shared" si="8"/>
        <v>-1.4481564473588955</v>
      </c>
      <c r="U38" s="70">
        <f t="shared" si="9"/>
        <v>-1.4481564473588955</v>
      </c>
      <c r="V38" s="70">
        <f t="shared" si="10"/>
        <v>1.1180339887498949</v>
      </c>
      <c r="W38" s="70">
        <f t="shared" si="11"/>
        <v>1.1180339887498949</v>
      </c>
      <c r="X38" s="70">
        <f t="shared" si="12"/>
        <v>0</v>
      </c>
      <c r="Y38" s="70">
        <f t="shared" si="13"/>
        <v>1.5811388300841898</v>
      </c>
      <c r="Z38" s="70">
        <f t="shared" si="14"/>
        <v>0</v>
      </c>
      <c r="AA38" s="69" t="str">
        <f t="shared" si="15"/>
        <v>Negligible</v>
      </c>
      <c r="AB38" s="69" t="str">
        <f t="shared" si="16"/>
        <v>Tidak Ada Indikasi Bias</v>
      </c>
    </row>
    <row r="39" spans="1:28" ht="25" x14ac:dyDescent="0.35">
      <c r="A39" s="71" t="str">
        <f>IMR!A33</f>
        <v>29. Dokumen kebijakan SPMI harus paling sedikit memuat …</v>
      </c>
      <c r="B39" s="69">
        <f>IMR!B33</f>
        <v>0</v>
      </c>
      <c r="C39" s="69">
        <f>IMR!C33</f>
        <v>1</v>
      </c>
      <c r="D39" s="69">
        <f>IMR!D33</f>
        <v>0</v>
      </c>
      <c r="E39" s="69">
        <f>IMR!E33</f>
        <v>1</v>
      </c>
      <c r="F39" s="69">
        <f>IMR!F33</f>
        <v>0</v>
      </c>
      <c r="G39" s="69">
        <f>IMR!G33</f>
        <v>0</v>
      </c>
      <c r="H39" s="69">
        <f>IMR!H33</f>
        <v>0</v>
      </c>
      <c r="I39" s="69">
        <f>IMR!I33</f>
        <v>0</v>
      </c>
      <c r="J39" s="69">
        <f>IMR!J33</f>
        <v>0</v>
      </c>
      <c r="K39" s="69">
        <f>IMR!K33</f>
        <v>0</v>
      </c>
      <c r="L39" s="69">
        <f t="shared" si="0"/>
        <v>5</v>
      </c>
      <c r="M39" s="69">
        <f t="shared" si="1"/>
        <v>5</v>
      </c>
      <c r="N39" s="69">
        <f t="shared" si="2"/>
        <v>1</v>
      </c>
      <c r="O39" s="69">
        <f t="shared" si="3"/>
        <v>1</v>
      </c>
      <c r="P39" s="69">
        <f t="shared" si="4"/>
        <v>1</v>
      </c>
      <c r="Q39" s="69">
        <f t="shared" si="5"/>
        <v>1</v>
      </c>
      <c r="R39" s="70">
        <f t="shared" si="6"/>
        <v>1.3862943611198906</v>
      </c>
      <c r="S39" s="70">
        <f t="shared" si="7"/>
        <v>1.3862943611198906</v>
      </c>
      <c r="T39" s="70">
        <f t="shared" si="8"/>
        <v>1.3244322748808857</v>
      </c>
      <c r="U39" s="70">
        <f t="shared" si="9"/>
        <v>1.3244322748808857</v>
      </c>
      <c r="V39" s="70">
        <f t="shared" si="10"/>
        <v>1.1180339887498949</v>
      </c>
      <c r="W39" s="70">
        <f t="shared" si="11"/>
        <v>1.1180339887498949</v>
      </c>
      <c r="X39" s="70">
        <f t="shared" si="12"/>
        <v>0</v>
      </c>
      <c r="Y39" s="70">
        <f t="shared" si="13"/>
        <v>1.5811388300841898</v>
      </c>
      <c r="Z39" s="70">
        <f t="shared" si="14"/>
        <v>0</v>
      </c>
      <c r="AA39" s="69" t="str">
        <f t="shared" si="15"/>
        <v>Negligible</v>
      </c>
      <c r="AB39" s="69" t="str">
        <f t="shared" si="16"/>
        <v>Tidak Ada Indikasi Bias</v>
      </c>
    </row>
    <row r="40" spans="1:28" ht="25" x14ac:dyDescent="0.35">
      <c r="A40" s="71" t="str">
        <f>IMR!A34</f>
        <v>30. Latar belakang SPMI dapat disusun dengan mempertimbangkan …</v>
      </c>
      <c r="B40" s="69">
        <f>IMR!B34</f>
        <v>1</v>
      </c>
      <c r="C40" s="69">
        <f>IMR!C34</f>
        <v>1</v>
      </c>
      <c r="D40" s="69">
        <f>IMR!D34</f>
        <v>0</v>
      </c>
      <c r="E40" s="69">
        <f>IMR!E34</f>
        <v>1</v>
      </c>
      <c r="F40" s="69">
        <f>IMR!F34</f>
        <v>1</v>
      </c>
      <c r="G40" s="69">
        <f>IMR!G34</f>
        <v>0</v>
      </c>
      <c r="H40" s="69">
        <f>IMR!H34</f>
        <v>1</v>
      </c>
      <c r="I40" s="69">
        <f>IMR!I34</f>
        <v>0</v>
      </c>
      <c r="J40" s="69">
        <f>IMR!J34</f>
        <v>1</v>
      </c>
      <c r="K40" s="69">
        <f>IMR!K34</f>
        <v>0</v>
      </c>
      <c r="L40" s="69">
        <f t="shared" si="0"/>
        <v>5</v>
      </c>
      <c r="M40" s="69">
        <f t="shared" si="1"/>
        <v>5</v>
      </c>
      <c r="N40" s="69">
        <f t="shared" si="2"/>
        <v>3</v>
      </c>
      <c r="O40" s="69">
        <f t="shared" si="3"/>
        <v>3</v>
      </c>
      <c r="P40" s="69">
        <f t="shared" si="4"/>
        <v>3</v>
      </c>
      <c r="Q40" s="69">
        <f t="shared" si="5"/>
        <v>3</v>
      </c>
      <c r="R40" s="70">
        <f t="shared" si="6"/>
        <v>-0.40546510810816444</v>
      </c>
      <c r="S40" s="70">
        <f t="shared" si="7"/>
        <v>-0.40546510810816444</v>
      </c>
      <c r="T40" s="70">
        <f t="shared" si="8"/>
        <v>-0.46732719434716941</v>
      </c>
      <c r="U40" s="70">
        <f t="shared" si="9"/>
        <v>-0.46732719434716941</v>
      </c>
      <c r="V40" s="70">
        <f t="shared" si="10"/>
        <v>0.91287092917527679</v>
      </c>
      <c r="W40" s="70">
        <f t="shared" si="11"/>
        <v>0.91287092917527679</v>
      </c>
      <c r="X40" s="70">
        <f t="shared" si="12"/>
        <v>0</v>
      </c>
      <c r="Y40" s="70">
        <f t="shared" si="13"/>
        <v>1.2909944487358056</v>
      </c>
      <c r="Z40" s="70">
        <f t="shared" si="14"/>
        <v>0</v>
      </c>
      <c r="AA40" s="69" t="str">
        <f t="shared" si="15"/>
        <v>Negligible</v>
      </c>
      <c r="AB40" s="69" t="str">
        <f t="shared" si="16"/>
        <v>Tidak Ada Indikasi Bias</v>
      </c>
    </row>
    <row r="41" spans="1:28" ht="37.5" x14ac:dyDescent="0.35">
      <c r="A41" s="71" t="str">
        <f>IMR!A35</f>
        <v>31. Memberi petunjuk tentang bagaimana standar SPMI dapat dipenuhi, adalah manfaat dari dokumen …</v>
      </c>
      <c r="B41" s="69">
        <f>IMR!B35</f>
        <v>0</v>
      </c>
      <c r="C41" s="69">
        <f>IMR!C35</f>
        <v>1</v>
      </c>
      <c r="D41" s="69">
        <f>IMR!D35</f>
        <v>0</v>
      </c>
      <c r="E41" s="69">
        <f>IMR!E35</f>
        <v>0</v>
      </c>
      <c r="F41" s="69">
        <f>IMR!F35</f>
        <v>0</v>
      </c>
      <c r="G41" s="69">
        <f>IMR!G35</f>
        <v>1</v>
      </c>
      <c r="H41" s="69">
        <f>IMR!H35</f>
        <v>0</v>
      </c>
      <c r="I41" s="69">
        <f>IMR!I35</f>
        <v>0</v>
      </c>
      <c r="J41" s="69">
        <f>IMR!J35</f>
        <v>1</v>
      </c>
      <c r="K41" s="69">
        <f>IMR!K35</f>
        <v>1</v>
      </c>
      <c r="L41" s="69">
        <f t="shared" si="0"/>
        <v>5</v>
      </c>
      <c r="M41" s="69">
        <f t="shared" si="1"/>
        <v>5</v>
      </c>
      <c r="N41" s="69">
        <f t="shared" si="2"/>
        <v>2</v>
      </c>
      <c r="O41" s="69">
        <f t="shared" si="3"/>
        <v>2</v>
      </c>
      <c r="P41" s="69">
        <f t="shared" si="4"/>
        <v>2</v>
      </c>
      <c r="Q41" s="69">
        <f t="shared" si="5"/>
        <v>2</v>
      </c>
      <c r="R41" s="70">
        <f t="shared" si="6"/>
        <v>0.40546510810816438</v>
      </c>
      <c r="S41" s="70">
        <f t="shared" si="7"/>
        <v>0.40546510810816438</v>
      </c>
      <c r="T41" s="70">
        <f t="shared" si="8"/>
        <v>0.34360302186915948</v>
      </c>
      <c r="U41" s="70">
        <f t="shared" si="9"/>
        <v>0.34360302186915948</v>
      </c>
      <c r="V41" s="70">
        <f t="shared" si="10"/>
        <v>0.91287092917527679</v>
      </c>
      <c r="W41" s="70">
        <f t="shared" si="11"/>
        <v>0.91287092917527679</v>
      </c>
      <c r="X41" s="70">
        <f t="shared" si="12"/>
        <v>0</v>
      </c>
      <c r="Y41" s="70">
        <f t="shared" si="13"/>
        <v>1.2909944487358056</v>
      </c>
      <c r="Z41" s="70">
        <f t="shared" si="14"/>
        <v>0</v>
      </c>
      <c r="AA41" s="69" t="str">
        <f t="shared" si="15"/>
        <v>Negligible</v>
      </c>
      <c r="AB41" s="69" t="str">
        <f t="shared" si="16"/>
        <v>Tidak Ada Indikasi Bias</v>
      </c>
    </row>
    <row r="42" spans="1:28" ht="25" x14ac:dyDescent="0.35">
      <c r="A42" s="71" t="str">
        <f>IMR!A36</f>
        <v>32. Format ABCD dalam penyusunan dokumen standar SPMI adalah …</v>
      </c>
      <c r="B42" s="69">
        <f>IMR!B36</f>
        <v>1</v>
      </c>
      <c r="C42" s="69">
        <f>IMR!C36</f>
        <v>1</v>
      </c>
      <c r="D42" s="69">
        <f>IMR!D36</f>
        <v>1</v>
      </c>
      <c r="E42" s="69">
        <f>IMR!E36</f>
        <v>1</v>
      </c>
      <c r="F42" s="69">
        <f>IMR!F36</f>
        <v>1</v>
      </c>
      <c r="G42" s="69">
        <f>IMR!G36</f>
        <v>0</v>
      </c>
      <c r="H42" s="69">
        <f>IMR!H36</f>
        <v>1</v>
      </c>
      <c r="I42" s="69">
        <f>IMR!I36</f>
        <v>1</v>
      </c>
      <c r="J42" s="69">
        <f>IMR!J36</f>
        <v>0</v>
      </c>
      <c r="K42" s="69">
        <f>IMR!K36</f>
        <v>1</v>
      </c>
      <c r="L42" s="69">
        <f t="shared" si="0"/>
        <v>5</v>
      </c>
      <c r="M42" s="69">
        <f t="shared" si="1"/>
        <v>5</v>
      </c>
      <c r="N42" s="69">
        <f t="shared" si="2"/>
        <v>4</v>
      </c>
      <c r="O42" s="69">
        <f t="shared" si="3"/>
        <v>4</v>
      </c>
      <c r="P42" s="69">
        <f t="shared" si="4"/>
        <v>4</v>
      </c>
      <c r="Q42" s="69">
        <f t="shared" si="5"/>
        <v>4</v>
      </c>
      <c r="R42" s="70">
        <f t="shared" si="6"/>
        <v>-1.3862943611198906</v>
      </c>
      <c r="S42" s="70">
        <f t="shared" si="7"/>
        <v>-1.3862943611198906</v>
      </c>
      <c r="T42" s="70">
        <f t="shared" si="8"/>
        <v>-1.4481564473588955</v>
      </c>
      <c r="U42" s="70">
        <f t="shared" si="9"/>
        <v>-1.4481564473588955</v>
      </c>
      <c r="V42" s="70">
        <f t="shared" si="10"/>
        <v>1.1180339887498949</v>
      </c>
      <c r="W42" s="70">
        <f t="shared" si="11"/>
        <v>1.1180339887498949</v>
      </c>
      <c r="X42" s="70">
        <f t="shared" si="12"/>
        <v>0</v>
      </c>
      <c r="Y42" s="70">
        <f t="shared" si="13"/>
        <v>1.5811388300841898</v>
      </c>
      <c r="Z42" s="70">
        <f t="shared" si="14"/>
        <v>0</v>
      </c>
      <c r="AA42" s="69" t="str">
        <f t="shared" si="15"/>
        <v>Negligible</v>
      </c>
      <c r="AB42" s="69" t="str">
        <f t="shared" si="16"/>
        <v>Tidak Ada Indikasi Bias</v>
      </c>
    </row>
    <row r="43" spans="1:28" ht="37.5" x14ac:dyDescent="0.35">
      <c r="A43" s="71" t="str">
        <f>IMR!A37</f>
        <v>33. Format KPI dalam penyusunan dokumen standar SPMI terdiri dari komponen …</v>
      </c>
      <c r="B43" s="69">
        <f>IMR!B37</f>
        <v>0</v>
      </c>
      <c r="C43" s="69">
        <f>IMR!C37</f>
        <v>0</v>
      </c>
      <c r="D43" s="69">
        <f>IMR!D37</f>
        <v>0</v>
      </c>
      <c r="E43" s="69">
        <f>IMR!E37</f>
        <v>1</v>
      </c>
      <c r="F43" s="69">
        <f>IMR!F37</f>
        <v>0</v>
      </c>
      <c r="G43" s="69">
        <f>IMR!G37</f>
        <v>1</v>
      </c>
      <c r="H43" s="69">
        <f>IMR!H37</f>
        <v>1</v>
      </c>
      <c r="I43" s="69">
        <f>IMR!I37</f>
        <v>1</v>
      </c>
      <c r="J43" s="69">
        <f>IMR!J37</f>
        <v>1</v>
      </c>
      <c r="K43" s="69">
        <f>IMR!K37</f>
        <v>1</v>
      </c>
      <c r="L43" s="69">
        <f t="shared" ref="L43:L74" si="17">COUNTIF($B$8:$K$8,"Laki-Laki")</f>
        <v>5</v>
      </c>
      <c r="M43" s="69">
        <f t="shared" ref="M43:M74" si="18">COUNTIF($B$8:$K$8,"Perempuan")</f>
        <v>5</v>
      </c>
      <c r="N43" s="69">
        <f t="shared" ref="N43:N74" si="19">SUMIF($B$8:$K$8,"Laki-Laki",B43:K43)</f>
        <v>3</v>
      </c>
      <c r="O43" s="69">
        <f t="shared" ref="O43:O74" si="20">SUMIF($B$8:$K$8,"Perempuan",B43:K43)</f>
        <v>3</v>
      </c>
      <c r="P43" s="69">
        <f t="shared" ref="P43:P74" si="21">IF(N43=0,0.3,IF(N43=L43,L43-0.3,N43))</f>
        <v>3</v>
      </c>
      <c r="Q43" s="69">
        <f t="shared" ref="Q43:Q74" si="22">IF(O43=0,0.3,IF(O43=M43,M43-0.3,O43))</f>
        <v>3</v>
      </c>
      <c r="R43" s="70">
        <f t="shared" ref="R43:R74" si="23">LN((L43-P43)/P43)</f>
        <v>-0.40546510810816444</v>
      </c>
      <c r="S43" s="70">
        <f t="shared" ref="S43:S74" si="24">LN((M43-Q43)/Q43)</f>
        <v>-0.40546510810816444</v>
      </c>
      <c r="T43" s="70">
        <f t="shared" ref="T43:T74" si="25">R43-AVERAGE($R$11:$R$110)</f>
        <v>-0.46732719434716941</v>
      </c>
      <c r="U43" s="70">
        <f t="shared" ref="U43:U74" si="26">S43-AVERAGE($S$11:$S$110)</f>
        <v>-0.46732719434716941</v>
      </c>
      <c r="V43" s="70">
        <f t="shared" ref="V43:V74" si="27">SQRT(1/P43+1/(L43-P43))</f>
        <v>0.91287092917527679</v>
      </c>
      <c r="W43" s="70">
        <f t="shared" ref="W43:W74" si="28">SQRT(1/Q43+1/(M43-Q43))</f>
        <v>0.91287092917527679</v>
      </c>
      <c r="X43" s="70">
        <f t="shared" ref="X43:X74" si="29">T43-U43</f>
        <v>0</v>
      </c>
      <c r="Y43" s="70">
        <f t="shared" ref="Y43:Y74" si="30">SQRT(V43^2+W43^2)</f>
        <v>1.2909944487358056</v>
      </c>
      <c r="Z43" s="70">
        <f t="shared" ref="Z43:Z74" si="31">X43/Y43</f>
        <v>0</v>
      </c>
      <c r="AA43" s="69" t="str">
        <f t="shared" ref="AA43:AA74" si="32">IF(AND(ABS(X43)&gt;=$B$4,ABS(Z43)&gt;=$B$5),"DIF Besar - review",IF(AND(ABS(X43)&gt;=$B$3,ABS(Z43)&gt;=$B$5),"DIF Moderat - cek","Negligible"))</f>
        <v>Negligible</v>
      </c>
      <c r="AB43" s="69" t="str">
        <f t="shared" ref="AB43:AB74" si="33">IF(ABS(X43)&gt;=$B$4,"Berpotensi Bias - Tinjau Konten",IF(ABS(X43)&gt;=$B$3,"Indikasi Ringan - Pantau","Tidak Ada Indikasi Bias"))</f>
        <v>Tidak Ada Indikasi Bias</v>
      </c>
    </row>
    <row r="44" spans="1:28" ht="87.5" x14ac:dyDescent="0.35">
      <c r="A44" s="71" t="str">
        <f>IMR!A38</f>
        <v>34. Dekan dan Ketua Jurusan melakukan rekrutasi, pembinaan dan pengembangan dosen agar tercapai rasio dosen-mahasiswa sebesar 1:45 paling lambat akhir tahun 2017. Pernyataan tersebut mengikuti format penyusunan dokumen standar SPMI …</v>
      </c>
      <c r="B44" s="69">
        <f>IMR!B38</f>
        <v>0</v>
      </c>
      <c r="C44" s="69">
        <f>IMR!C38</f>
        <v>1</v>
      </c>
      <c r="D44" s="69">
        <f>IMR!D38</f>
        <v>1</v>
      </c>
      <c r="E44" s="69">
        <f>IMR!E38</f>
        <v>0</v>
      </c>
      <c r="F44" s="69">
        <f>IMR!F38</f>
        <v>1</v>
      </c>
      <c r="G44" s="69">
        <f>IMR!G38</f>
        <v>0</v>
      </c>
      <c r="H44" s="69">
        <f>IMR!H38</f>
        <v>0</v>
      </c>
      <c r="I44" s="69">
        <f>IMR!I38</f>
        <v>1</v>
      </c>
      <c r="J44" s="69">
        <f>IMR!J38</f>
        <v>0</v>
      </c>
      <c r="K44" s="69">
        <f>IMR!K38</f>
        <v>0</v>
      </c>
      <c r="L44" s="69">
        <f t="shared" si="17"/>
        <v>5</v>
      </c>
      <c r="M44" s="69">
        <f t="shared" si="18"/>
        <v>5</v>
      </c>
      <c r="N44" s="69">
        <f t="shared" si="19"/>
        <v>2</v>
      </c>
      <c r="O44" s="69">
        <f t="shared" si="20"/>
        <v>2</v>
      </c>
      <c r="P44" s="69">
        <f t="shared" si="21"/>
        <v>2</v>
      </c>
      <c r="Q44" s="69">
        <f t="shared" si="22"/>
        <v>2</v>
      </c>
      <c r="R44" s="70">
        <f t="shared" si="23"/>
        <v>0.40546510810816438</v>
      </c>
      <c r="S44" s="70">
        <f t="shared" si="24"/>
        <v>0.40546510810816438</v>
      </c>
      <c r="T44" s="70">
        <f t="shared" si="25"/>
        <v>0.34360302186915948</v>
      </c>
      <c r="U44" s="70">
        <f t="shared" si="26"/>
        <v>0.34360302186915948</v>
      </c>
      <c r="V44" s="70">
        <f t="shared" si="27"/>
        <v>0.91287092917527679</v>
      </c>
      <c r="W44" s="70">
        <f t="shared" si="28"/>
        <v>0.91287092917527679</v>
      </c>
      <c r="X44" s="70">
        <f t="shared" si="29"/>
        <v>0</v>
      </c>
      <c r="Y44" s="70">
        <f t="shared" si="30"/>
        <v>1.2909944487358056</v>
      </c>
      <c r="Z44" s="70">
        <f t="shared" si="31"/>
        <v>0</v>
      </c>
      <c r="AA44" s="69" t="str">
        <f t="shared" si="32"/>
        <v>Negligible</v>
      </c>
      <c r="AB44" s="69" t="str">
        <f t="shared" si="33"/>
        <v>Tidak Ada Indikasi Bias</v>
      </c>
    </row>
    <row r="45" spans="1:28" ht="37.5" x14ac:dyDescent="0.35">
      <c r="A45" s="71" t="str">
        <f>IMR!A39</f>
        <v>35. dokumen yang berisi standar Dikti untuk mewujudkan visi perguruan tinggi adalah dokumen SPMI …</v>
      </c>
      <c r="B45" s="69">
        <f>IMR!B39</f>
        <v>1</v>
      </c>
      <c r="C45" s="69">
        <f>IMR!C39</f>
        <v>0</v>
      </c>
      <c r="D45" s="69">
        <f>IMR!D39</f>
        <v>1</v>
      </c>
      <c r="E45" s="69">
        <f>IMR!E39</f>
        <v>0</v>
      </c>
      <c r="F45" s="69">
        <f>IMR!F39</f>
        <v>0</v>
      </c>
      <c r="G45" s="69">
        <f>IMR!G39</f>
        <v>1</v>
      </c>
      <c r="H45" s="69">
        <f>IMR!H39</f>
        <v>1</v>
      </c>
      <c r="I45" s="69">
        <f>IMR!I39</f>
        <v>0</v>
      </c>
      <c r="J45" s="69">
        <f>IMR!J39</f>
        <v>1</v>
      </c>
      <c r="K45" s="69">
        <f>IMR!K39</f>
        <v>1</v>
      </c>
      <c r="L45" s="69">
        <f t="shared" si="17"/>
        <v>5</v>
      </c>
      <c r="M45" s="69">
        <f t="shared" si="18"/>
        <v>5</v>
      </c>
      <c r="N45" s="69">
        <f t="shared" si="19"/>
        <v>3</v>
      </c>
      <c r="O45" s="69">
        <f t="shared" si="20"/>
        <v>3</v>
      </c>
      <c r="P45" s="69">
        <f t="shared" si="21"/>
        <v>3</v>
      </c>
      <c r="Q45" s="69">
        <f t="shared" si="22"/>
        <v>3</v>
      </c>
      <c r="R45" s="70">
        <f t="shared" si="23"/>
        <v>-0.40546510810816444</v>
      </c>
      <c r="S45" s="70">
        <f t="shared" si="24"/>
        <v>-0.40546510810816444</v>
      </c>
      <c r="T45" s="70">
        <f t="shared" si="25"/>
        <v>-0.46732719434716941</v>
      </c>
      <c r="U45" s="70">
        <f t="shared" si="26"/>
        <v>-0.46732719434716941</v>
      </c>
      <c r="V45" s="70">
        <f t="shared" si="27"/>
        <v>0.91287092917527679</v>
      </c>
      <c r="W45" s="70">
        <f t="shared" si="28"/>
        <v>0.91287092917527679</v>
      </c>
      <c r="X45" s="70">
        <f t="shared" si="29"/>
        <v>0</v>
      </c>
      <c r="Y45" s="70">
        <f t="shared" si="30"/>
        <v>1.2909944487358056</v>
      </c>
      <c r="Z45" s="70">
        <f t="shared" si="31"/>
        <v>0</v>
      </c>
      <c r="AA45" s="69" t="str">
        <f t="shared" si="32"/>
        <v>Negligible</v>
      </c>
      <c r="AB45" s="69" t="str">
        <f t="shared" si="33"/>
        <v>Tidak Ada Indikasi Bias</v>
      </c>
    </row>
    <row r="46" spans="1:28" ht="25" x14ac:dyDescent="0.35">
      <c r="A46" s="71" t="str">
        <f>IMR!A40</f>
        <v>36. Dokumen SPMI yang tidak dapat distandarisasi adalah dokumen …</v>
      </c>
      <c r="B46" s="69">
        <f>IMR!B40</f>
        <v>0</v>
      </c>
      <c r="C46" s="69">
        <f>IMR!C40</f>
        <v>1</v>
      </c>
      <c r="D46" s="69">
        <f>IMR!D40</f>
        <v>1</v>
      </c>
      <c r="E46" s="69">
        <f>IMR!E40</f>
        <v>0</v>
      </c>
      <c r="F46" s="69">
        <f>IMR!F40</f>
        <v>1</v>
      </c>
      <c r="G46" s="69">
        <f>IMR!G40</f>
        <v>1</v>
      </c>
      <c r="H46" s="69">
        <f>IMR!H40</f>
        <v>0</v>
      </c>
      <c r="I46" s="69">
        <f>IMR!I40</f>
        <v>0</v>
      </c>
      <c r="J46" s="69">
        <f>IMR!J40</f>
        <v>0</v>
      </c>
      <c r="K46" s="69">
        <f>IMR!K40</f>
        <v>0</v>
      </c>
      <c r="L46" s="69">
        <f t="shared" si="17"/>
        <v>5</v>
      </c>
      <c r="M46" s="69">
        <f t="shared" si="18"/>
        <v>5</v>
      </c>
      <c r="N46" s="69">
        <f t="shared" si="19"/>
        <v>2</v>
      </c>
      <c r="O46" s="69">
        <f t="shared" si="20"/>
        <v>2</v>
      </c>
      <c r="P46" s="69">
        <f t="shared" si="21"/>
        <v>2</v>
      </c>
      <c r="Q46" s="69">
        <f t="shared" si="22"/>
        <v>2</v>
      </c>
      <c r="R46" s="70">
        <f t="shared" si="23"/>
        <v>0.40546510810816438</v>
      </c>
      <c r="S46" s="70">
        <f t="shared" si="24"/>
        <v>0.40546510810816438</v>
      </c>
      <c r="T46" s="70">
        <f t="shared" si="25"/>
        <v>0.34360302186915948</v>
      </c>
      <c r="U46" s="70">
        <f t="shared" si="26"/>
        <v>0.34360302186915948</v>
      </c>
      <c r="V46" s="70">
        <f t="shared" si="27"/>
        <v>0.91287092917527679</v>
      </c>
      <c r="W46" s="70">
        <f t="shared" si="28"/>
        <v>0.91287092917527679</v>
      </c>
      <c r="X46" s="70">
        <f t="shared" si="29"/>
        <v>0</v>
      </c>
      <c r="Y46" s="70">
        <f t="shared" si="30"/>
        <v>1.2909944487358056</v>
      </c>
      <c r="Z46" s="70">
        <f t="shared" si="31"/>
        <v>0</v>
      </c>
      <c r="AA46" s="69" t="str">
        <f t="shared" si="32"/>
        <v>Negligible</v>
      </c>
      <c r="AB46" s="69" t="str">
        <f t="shared" si="33"/>
        <v>Tidak Ada Indikasi Bias</v>
      </c>
    </row>
    <row r="47" spans="1:28" ht="25" x14ac:dyDescent="0.35">
      <c r="A47" s="71" t="str">
        <f>IMR!A41</f>
        <v>37. Visi organsiasi pendidikan dapat menjadi input dalam penyusunan …</v>
      </c>
      <c r="B47" s="69">
        <f>IMR!B41</f>
        <v>0</v>
      </c>
      <c r="C47" s="69">
        <f>IMR!C41</f>
        <v>0</v>
      </c>
      <c r="D47" s="69">
        <f>IMR!D41</f>
        <v>0</v>
      </c>
      <c r="E47" s="69">
        <f>IMR!E41</f>
        <v>0</v>
      </c>
      <c r="F47" s="69">
        <f>IMR!F41</f>
        <v>0</v>
      </c>
      <c r="G47" s="69">
        <f>IMR!G41</f>
        <v>0</v>
      </c>
      <c r="H47" s="69">
        <f>IMR!H41</f>
        <v>1</v>
      </c>
      <c r="I47" s="69">
        <f>IMR!I41</f>
        <v>1</v>
      </c>
      <c r="J47" s="69">
        <f>IMR!J41</f>
        <v>1</v>
      </c>
      <c r="K47" s="69">
        <f>IMR!K41</f>
        <v>1</v>
      </c>
      <c r="L47" s="69">
        <f t="shared" si="17"/>
        <v>5</v>
      </c>
      <c r="M47" s="69">
        <f t="shared" si="18"/>
        <v>5</v>
      </c>
      <c r="N47" s="69">
        <f t="shared" si="19"/>
        <v>2</v>
      </c>
      <c r="O47" s="69">
        <f t="shared" si="20"/>
        <v>2</v>
      </c>
      <c r="P47" s="69">
        <f t="shared" si="21"/>
        <v>2</v>
      </c>
      <c r="Q47" s="69">
        <f t="shared" si="22"/>
        <v>2</v>
      </c>
      <c r="R47" s="70">
        <f t="shared" si="23"/>
        <v>0.40546510810816438</v>
      </c>
      <c r="S47" s="70">
        <f t="shared" si="24"/>
        <v>0.40546510810816438</v>
      </c>
      <c r="T47" s="70">
        <f t="shared" si="25"/>
        <v>0.34360302186915948</v>
      </c>
      <c r="U47" s="70">
        <f t="shared" si="26"/>
        <v>0.34360302186915948</v>
      </c>
      <c r="V47" s="70">
        <f t="shared" si="27"/>
        <v>0.91287092917527679</v>
      </c>
      <c r="W47" s="70">
        <f t="shared" si="28"/>
        <v>0.91287092917527679</v>
      </c>
      <c r="X47" s="70">
        <f t="shared" si="29"/>
        <v>0</v>
      </c>
      <c r="Y47" s="70">
        <f t="shared" si="30"/>
        <v>1.2909944487358056</v>
      </c>
      <c r="Z47" s="70">
        <f t="shared" si="31"/>
        <v>0</v>
      </c>
      <c r="AA47" s="69" t="str">
        <f t="shared" si="32"/>
        <v>Negligible</v>
      </c>
      <c r="AB47" s="69" t="str">
        <f t="shared" si="33"/>
        <v>Tidak Ada Indikasi Bias</v>
      </c>
    </row>
    <row r="48" spans="1:28" ht="25" x14ac:dyDescent="0.35">
      <c r="A48" s="71" t="str">
        <f>IMR!A42</f>
        <v>38. Dalam menyusun garis besar kebijakan SPMI harus memuat …</v>
      </c>
      <c r="B48" s="69">
        <f>IMR!B42</f>
        <v>0</v>
      </c>
      <c r="C48" s="69">
        <f>IMR!C42</f>
        <v>0</v>
      </c>
      <c r="D48" s="69">
        <f>IMR!D42</f>
        <v>0</v>
      </c>
      <c r="E48" s="69">
        <f>IMR!E42</f>
        <v>0</v>
      </c>
      <c r="F48" s="69">
        <f>IMR!F42</f>
        <v>1</v>
      </c>
      <c r="G48" s="69">
        <f>IMR!G42</f>
        <v>0</v>
      </c>
      <c r="H48" s="69">
        <f>IMR!H42</f>
        <v>1</v>
      </c>
      <c r="I48" s="69">
        <f>IMR!I42</f>
        <v>1</v>
      </c>
      <c r="J48" s="69">
        <f>IMR!J42</f>
        <v>1</v>
      </c>
      <c r="K48" s="69">
        <f>IMR!K42</f>
        <v>0</v>
      </c>
      <c r="L48" s="69">
        <f t="shared" si="17"/>
        <v>5</v>
      </c>
      <c r="M48" s="69">
        <f t="shared" si="18"/>
        <v>5</v>
      </c>
      <c r="N48" s="69">
        <f t="shared" si="19"/>
        <v>2</v>
      </c>
      <c r="O48" s="69">
        <f t="shared" si="20"/>
        <v>2</v>
      </c>
      <c r="P48" s="69">
        <f t="shared" si="21"/>
        <v>2</v>
      </c>
      <c r="Q48" s="69">
        <f t="shared" si="22"/>
        <v>2</v>
      </c>
      <c r="R48" s="70">
        <f t="shared" si="23"/>
        <v>0.40546510810816438</v>
      </c>
      <c r="S48" s="70">
        <f t="shared" si="24"/>
        <v>0.40546510810816438</v>
      </c>
      <c r="T48" s="70">
        <f t="shared" si="25"/>
        <v>0.34360302186915948</v>
      </c>
      <c r="U48" s="70">
        <f t="shared" si="26"/>
        <v>0.34360302186915948</v>
      </c>
      <c r="V48" s="70">
        <f t="shared" si="27"/>
        <v>0.91287092917527679</v>
      </c>
      <c r="W48" s="70">
        <f t="shared" si="28"/>
        <v>0.91287092917527679</v>
      </c>
      <c r="X48" s="70">
        <f t="shared" si="29"/>
        <v>0</v>
      </c>
      <c r="Y48" s="70">
        <f t="shared" si="30"/>
        <v>1.2909944487358056</v>
      </c>
      <c r="Z48" s="70">
        <f t="shared" si="31"/>
        <v>0</v>
      </c>
      <c r="AA48" s="69" t="str">
        <f t="shared" si="32"/>
        <v>Negligible</v>
      </c>
      <c r="AB48" s="69" t="str">
        <f t="shared" si="33"/>
        <v>Tidak Ada Indikasi Bias</v>
      </c>
    </row>
    <row r="49" spans="1:28" ht="37.5" x14ac:dyDescent="0.35">
      <c r="A49" s="71" t="str">
        <f>IMR!A43</f>
        <v>39. Dalam menerapkan SPMI, organisasi pendidikan wajib memiliki dokumen manual SPMI minimal sejumal …</v>
      </c>
      <c r="B49" s="69">
        <f>IMR!B43</f>
        <v>0</v>
      </c>
      <c r="C49" s="69">
        <f>IMR!C43</f>
        <v>1</v>
      </c>
      <c r="D49" s="69">
        <f>IMR!D43</f>
        <v>0</v>
      </c>
      <c r="E49" s="69">
        <f>IMR!E43</f>
        <v>1</v>
      </c>
      <c r="F49" s="69">
        <f>IMR!F43</f>
        <v>0</v>
      </c>
      <c r="G49" s="69">
        <f>IMR!G43</f>
        <v>1</v>
      </c>
      <c r="H49" s="69">
        <f>IMR!H43</f>
        <v>1</v>
      </c>
      <c r="I49" s="69">
        <f>IMR!I43</f>
        <v>0</v>
      </c>
      <c r="J49" s="69">
        <f>IMR!J43</f>
        <v>1</v>
      </c>
      <c r="K49" s="69">
        <f>IMR!K43</f>
        <v>1</v>
      </c>
      <c r="L49" s="69">
        <f t="shared" si="17"/>
        <v>5</v>
      </c>
      <c r="M49" s="69">
        <f t="shared" si="18"/>
        <v>5</v>
      </c>
      <c r="N49" s="69">
        <f t="shared" si="19"/>
        <v>3</v>
      </c>
      <c r="O49" s="69">
        <f t="shared" si="20"/>
        <v>3</v>
      </c>
      <c r="P49" s="69">
        <f t="shared" si="21"/>
        <v>3</v>
      </c>
      <c r="Q49" s="69">
        <f t="shared" si="22"/>
        <v>3</v>
      </c>
      <c r="R49" s="70">
        <f t="shared" si="23"/>
        <v>-0.40546510810816444</v>
      </c>
      <c r="S49" s="70">
        <f t="shared" si="24"/>
        <v>-0.40546510810816444</v>
      </c>
      <c r="T49" s="70">
        <f t="shared" si="25"/>
        <v>-0.46732719434716941</v>
      </c>
      <c r="U49" s="70">
        <f t="shared" si="26"/>
        <v>-0.46732719434716941</v>
      </c>
      <c r="V49" s="70">
        <f t="shared" si="27"/>
        <v>0.91287092917527679</v>
      </c>
      <c r="W49" s="70">
        <f t="shared" si="28"/>
        <v>0.91287092917527679</v>
      </c>
      <c r="X49" s="70">
        <f t="shared" si="29"/>
        <v>0</v>
      </c>
      <c r="Y49" s="70">
        <f t="shared" si="30"/>
        <v>1.2909944487358056</v>
      </c>
      <c r="Z49" s="70">
        <f t="shared" si="31"/>
        <v>0</v>
      </c>
      <c r="AA49" s="69" t="str">
        <f t="shared" si="32"/>
        <v>Negligible</v>
      </c>
      <c r="AB49" s="69" t="str">
        <f t="shared" si="33"/>
        <v>Tidak Ada Indikasi Bias</v>
      </c>
    </row>
    <row r="50" spans="1:28" ht="37.5" x14ac:dyDescent="0.35">
      <c r="A50" s="71" t="str">
        <f>IMR!A44</f>
        <v>40. Manual SPMI berisi prosedur yang dibutuhkan dalam siklus SPMI. Prosedur yang baik harus memuat minimal …</v>
      </c>
      <c r="B50" s="69">
        <f>IMR!B44</f>
        <v>0</v>
      </c>
      <c r="C50" s="69">
        <f>IMR!C44</f>
        <v>0</v>
      </c>
      <c r="D50" s="69">
        <f>IMR!D44</f>
        <v>0</v>
      </c>
      <c r="E50" s="69">
        <f>IMR!E44</f>
        <v>1</v>
      </c>
      <c r="F50" s="69">
        <f>IMR!F44</f>
        <v>0</v>
      </c>
      <c r="G50" s="69">
        <f>IMR!G44</f>
        <v>1</v>
      </c>
      <c r="H50" s="69">
        <f>IMR!H44</f>
        <v>1</v>
      </c>
      <c r="I50" s="69">
        <f>IMR!I44</f>
        <v>1</v>
      </c>
      <c r="J50" s="69">
        <f>IMR!J44</f>
        <v>1</v>
      </c>
      <c r="K50" s="69">
        <f>IMR!K44</f>
        <v>1</v>
      </c>
      <c r="L50" s="69">
        <f t="shared" si="17"/>
        <v>5</v>
      </c>
      <c r="M50" s="69">
        <f t="shared" si="18"/>
        <v>5</v>
      </c>
      <c r="N50" s="69">
        <f t="shared" si="19"/>
        <v>3</v>
      </c>
      <c r="O50" s="69">
        <f t="shared" si="20"/>
        <v>3</v>
      </c>
      <c r="P50" s="69">
        <f t="shared" si="21"/>
        <v>3</v>
      </c>
      <c r="Q50" s="69">
        <f t="shared" si="22"/>
        <v>3</v>
      </c>
      <c r="R50" s="70">
        <f t="shared" si="23"/>
        <v>-0.40546510810816444</v>
      </c>
      <c r="S50" s="70">
        <f t="shared" si="24"/>
        <v>-0.40546510810816444</v>
      </c>
      <c r="T50" s="70">
        <f t="shared" si="25"/>
        <v>-0.46732719434716941</v>
      </c>
      <c r="U50" s="70">
        <f t="shared" si="26"/>
        <v>-0.46732719434716941</v>
      </c>
      <c r="V50" s="70">
        <f t="shared" si="27"/>
        <v>0.91287092917527679</v>
      </c>
      <c r="W50" s="70">
        <f t="shared" si="28"/>
        <v>0.91287092917527679</v>
      </c>
      <c r="X50" s="70">
        <f t="shared" si="29"/>
        <v>0</v>
      </c>
      <c r="Y50" s="70">
        <f t="shared" si="30"/>
        <v>1.2909944487358056</v>
      </c>
      <c r="Z50" s="70">
        <f t="shared" si="31"/>
        <v>0</v>
      </c>
      <c r="AA50" s="69" t="str">
        <f t="shared" si="32"/>
        <v>Negligible</v>
      </c>
      <c r="AB50" s="69" t="str">
        <f t="shared" si="33"/>
        <v>Tidak Ada Indikasi Bias</v>
      </c>
    </row>
    <row r="51" spans="1:28" ht="37.5" x14ac:dyDescent="0.35">
      <c r="A51" s="71" t="str">
        <f>IMR!A45</f>
        <v>41. Rancangan manual SPMI pada PTS ditetapkan oleh pemimpin PTS dengan pertimbangan …</v>
      </c>
      <c r="B51" s="69">
        <f>IMR!B45</f>
        <v>0</v>
      </c>
      <c r="C51" s="69">
        <f>IMR!C45</f>
        <v>0</v>
      </c>
      <c r="D51" s="69">
        <f>IMR!D45</f>
        <v>0</v>
      </c>
      <c r="E51" s="69">
        <f>IMR!E45</f>
        <v>0</v>
      </c>
      <c r="F51" s="69">
        <f>IMR!F45</f>
        <v>0</v>
      </c>
      <c r="G51" s="69">
        <f>IMR!G45</f>
        <v>0</v>
      </c>
      <c r="H51" s="69">
        <f>IMR!H45</f>
        <v>1</v>
      </c>
      <c r="I51" s="69">
        <f>IMR!I45</f>
        <v>0</v>
      </c>
      <c r="J51" s="69">
        <f>IMR!J45</f>
        <v>0</v>
      </c>
      <c r="K51" s="69">
        <f>IMR!K45</f>
        <v>1</v>
      </c>
      <c r="L51" s="69">
        <f t="shared" si="17"/>
        <v>5</v>
      </c>
      <c r="M51" s="69">
        <f t="shared" si="18"/>
        <v>5</v>
      </c>
      <c r="N51" s="69">
        <f t="shared" si="19"/>
        <v>1</v>
      </c>
      <c r="O51" s="69">
        <f t="shared" si="20"/>
        <v>1</v>
      </c>
      <c r="P51" s="69">
        <f t="shared" si="21"/>
        <v>1</v>
      </c>
      <c r="Q51" s="69">
        <f t="shared" si="22"/>
        <v>1</v>
      </c>
      <c r="R51" s="70">
        <f t="shared" si="23"/>
        <v>1.3862943611198906</v>
      </c>
      <c r="S51" s="70">
        <f t="shared" si="24"/>
        <v>1.3862943611198906</v>
      </c>
      <c r="T51" s="70">
        <f t="shared" si="25"/>
        <v>1.3244322748808857</v>
      </c>
      <c r="U51" s="70">
        <f t="shared" si="26"/>
        <v>1.3244322748808857</v>
      </c>
      <c r="V51" s="70">
        <f t="shared" si="27"/>
        <v>1.1180339887498949</v>
      </c>
      <c r="W51" s="70">
        <f t="shared" si="28"/>
        <v>1.1180339887498949</v>
      </c>
      <c r="X51" s="70">
        <f t="shared" si="29"/>
        <v>0</v>
      </c>
      <c r="Y51" s="70">
        <f t="shared" si="30"/>
        <v>1.5811388300841898</v>
      </c>
      <c r="Z51" s="70">
        <f t="shared" si="31"/>
        <v>0</v>
      </c>
      <c r="AA51" s="69" t="str">
        <f t="shared" si="32"/>
        <v>Negligible</v>
      </c>
      <c r="AB51" s="69" t="str">
        <f t="shared" si="33"/>
        <v>Tidak Ada Indikasi Bias</v>
      </c>
    </row>
    <row r="52" spans="1:28" ht="25" x14ac:dyDescent="0.35">
      <c r="A52" s="71" t="str">
        <f>IMR!A46</f>
        <v>42. Standar SPMI terdiri dari SN Dikti dan standar Dikti. SN Dikti terdiri dari …</v>
      </c>
      <c r="B52" s="69">
        <f>IMR!B46</f>
        <v>0</v>
      </c>
      <c r="C52" s="69">
        <f>IMR!C46</f>
        <v>0</v>
      </c>
      <c r="D52" s="69">
        <f>IMR!D46</f>
        <v>0</v>
      </c>
      <c r="E52" s="69">
        <f>IMR!E46</f>
        <v>0</v>
      </c>
      <c r="F52" s="69">
        <f>IMR!F46</f>
        <v>0</v>
      </c>
      <c r="G52" s="69">
        <f>IMR!G46</f>
        <v>1</v>
      </c>
      <c r="H52" s="69">
        <f>IMR!H46</f>
        <v>0</v>
      </c>
      <c r="I52" s="69">
        <f>IMR!I46</f>
        <v>1</v>
      </c>
      <c r="J52" s="69">
        <f>IMR!J46</f>
        <v>1</v>
      </c>
      <c r="K52" s="69">
        <f>IMR!K46</f>
        <v>1</v>
      </c>
      <c r="L52" s="69">
        <f t="shared" si="17"/>
        <v>5</v>
      </c>
      <c r="M52" s="69">
        <f t="shared" si="18"/>
        <v>5</v>
      </c>
      <c r="N52" s="69">
        <f t="shared" si="19"/>
        <v>2</v>
      </c>
      <c r="O52" s="69">
        <f t="shared" si="20"/>
        <v>2</v>
      </c>
      <c r="P52" s="69">
        <f t="shared" si="21"/>
        <v>2</v>
      </c>
      <c r="Q52" s="69">
        <f t="shared" si="22"/>
        <v>2</v>
      </c>
      <c r="R52" s="70">
        <f t="shared" si="23"/>
        <v>0.40546510810816438</v>
      </c>
      <c r="S52" s="70">
        <f t="shared" si="24"/>
        <v>0.40546510810816438</v>
      </c>
      <c r="T52" s="70">
        <f t="shared" si="25"/>
        <v>0.34360302186915948</v>
      </c>
      <c r="U52" s="70">
        <f t="shared" si="26"/>
        <v>0.34360302186915948</v>
      </c>
      <c r="V52" s="70">
        <f t="shared" si="27"/>
        <v>0.91287092917527679</v>
      </c>
      <c r="W52" s="70">
        <f t="shared" si="28"/>
        <v>0.91287092917527679</v>
      </c>
      <c r="X52" s="70">
        <f t="shared" si="29"/>
        <v>0</v>
      </c>
      <c r="Y52" s="70">
        <f t="shared" si="30"/>
        <v>1.2909944487358056</v>
      </c>
      <c r="Z52" s="70">
        <f t="shared" si="31"/>
        <v>0</v>
      </c>
      <c r="AA52" s="69" t="str">
        <f t="shared" si="32"/>
        <v>Negligible</v>
      </c>
      <c r="AB52" s="69" t="str">
        <f t="shared" si="33"/>
        <v>Tidak Ada Indikasi Bias</v>
      </c>
    </row>
    <row r="53" spans="1:28" ht="62.5" customHeight="1" x14ac:dyDescent="0.35">
      <c r="A53" s="71" t="str">
        <f>IMR!A47</f>
        <v>43. Indikator pencapaian standar SPMI yang baik berisi …</v>
      </c>
      <c r="B53" s="69">
        <f>IMR!B47</f>
        <v>0</v>
      </c>
      <c r="C53" s="69">
        <f>IMR!C47</f>
        <v>0</v>
      </c>
      <c r="D53" s="69">
        <f>IMR!D47</f>
        <v>0</v>
      </c>
      <c r="E53" s="69">
        <f>IMR!E47</f>
        <v>0</v>
      </c>
      <c r="F53" s="69">
        <f>IMR!F47</f>
        <v>0</v>
      </c>
      <c r="G53" s="69">
        <f>IMR!G47</f>
        <v>0</v>
      </c>
      <c r="H53" s="69">
        <f>IMR!H47</f>
        <v>1</v>
      </c>
      <c r="I53" s="69">
        <f>IMR!I47</f>
        <v>1</v>
      </c>
      <c r="J53" s="69">
        <f>IMR!J47</f>
        <v>1</v>
      </c>
      <c r="K53" s="69">
        <f>IMR!K47</f>
        <v>1</v>
      </c>
      <c r="L53" s="69">
        <f t="shared" si="17"/>
        <v>5</v>
      </c>
      <c r="M53" s="69">
        <f t="shared" si="18"/>
        <v>5</v>
      </c>
      <c r="N53" s="69">
        <f t="shared" si="19"/>
        <v>2</v>
      </c>
      <c r="O53" s="69">
        <f t="shared" si="20"/>
        <v>2</v>
      </c>
      <c r="P53" s="69">
        <f t="shared" si="21"/>
        <v>2</v>
      </c>
      <c r="Q53" s="69">
        <f t="shared" si="22"/>
        <v>2</v>
      </c>
      <c r="R53" s="70">
        <f t="shared" si="23"/>
        <v>0.40546510810816438</v>
      </c>
      <c r="S53" s="70">
        <f t="shared" si="24"/>
        <v>0.40546510810816438</v>
      </c>
      <c r="T53" s="70">
        <f t="shared" si="25"/>
        <v>0.34360302186915948</v>
      </c>
      <c r="U53" s="70">
        <f t="shared" si="26"/>
        <v>0.34360302186915948</v>
      </c>
      <c r="V53" s="70">
        <f t="shared" si="27"/>
        <v>0.91287092917527679</v>
      </c>
      <c r="W53" s="70">
        <f t="shared" si="28"/>
        <v>0.91287092917527679</v>
      </c>
      <c r="X53" s="70">
        <f t="shared" si="29"/>
        <v>0</v>
      </c>
      <c r="Y53" s="70">
        <f t="shared" si="30"/>
        <v>1.2909944487358056</v>
      </c>
      <c r="Z53" s="70">
        <f t="shared" si="31"/>
        <v>0</v>
      </c>
      <c r="AA53" s="69" t="str">
        <f t="shared" si="32"/>
        <v>Negligible</v>
      </c>
      <c r="AB53" s="69" t="str">
        <f t="shared" si="33"/>
        <v>Tidak Ada Indikasi Bias</v>
      </c>
    </row>
    <row r="54" spans="1:28" ht="62.5" x14ac:dyDescent="0.35">
      <c r="A54" s="71" t="str">
        <f>IMR!A48</f>
        <v>44. ISO 21001:2018 mengharuskan organisasi pendidikan untuk meninjau isu internal dan eksternal organisasi. Berikut adalah beberapa contoh isu internal organisasi, kecuali …</v>
      </c>
      <c r="B54" s="69">
        <f>IMR!B48</f>
        <v>0</v>
      </c>
      <c r="C54" s="69">
        <f>IMR!C48</f>
        <v>1</v>
      </c>
      <c r="D54" s="69">
        <f>IMR!D48</f>
        <v>1</v>
      </c>
      <c r="E54" s="69">
        <f>IMR!E48</f>
        <v>1</v>
      </c>
      <c r="F54" s="69">
        <f>IMR!F48</f>
        <v>1</v>
      </c>
      <c r="G54" s="69">
        <f>IMR!G48</f>
        <v>0</v>
      </c>
      <c r="H54" s="69">
        <f>IMR!H48</f>
        <v>1</v>
      </c>
      <c r="I54" s="69">
        <f>IMR!I48</f>
        <v>1</v>
      </c>
      <c r="J54" s="69">
        <f>IMR!J48</f>
        <v>0</v>
      </c>
      <c r="K54" s="69">
        <f>IMR!K48</f>
        <v>0</v>
      </c>
      <c r="L54" s="69">
        <f t="shared" si="17"/>
        <v>5</v>
      </c>
      <c r="M54" s="69">
        <f t="shared" si="18"/>
        <v>5</v>
      </c>
      <c r="N54" s="69">
        <f t="shared" si="19"/>
        <v>3</v>
      </c>
      <c r="O54" s="69">
        <f t="shared" si="20"/>
        <v>3</v>
      </c>
      <c r="P54" s="69">
        <f t="shared" si="21"/>
        <v>3</v>
      </c>
      <c r="Q54" s="69">
        <f t="shared" si="22"/>
        <v>3</v>
      </c>
      <c r="R54" s="70">
        <f t="shared" si="23"/>
        <v>-0.40546510810816444</v>
      </c>
      <c r="S54" s="70">
        <f t="shared" si="24"/>
        <v>-0.40546510810816444</v>
      </c>
      <c r="T54" s="70">
        <f t="shared" si="25"/>
        <v>-0.46732719434716941</v>
      </c>
      <c r="U54" s="70">
        <f t="shared" si="26"/>
        <v>-0.46732719434716941</v>
      </c>
      <c r="V54" s="70">
        <f t="shared" si="27"/>
        <v>0.91287092917527679</v>
      </c>
      <c r="W54" s="70">
        <f t="shared" si="28"/>
        <v>0.91287092917527679</v>
      </c>
      <c r="X54" s="70">
        <f t="shared" si="29"/>
        <v>0</v>
      </c>
      <c r="Y54" s="70">
        <f t="shared" si="30"/>
        <v>1.2909944487358056</v>
      </c>
      <c r="Z54" s="70">
        <f t="shared" si="31"/>
        <v>0</v>
      </c>
      <c r="AA54" s="69" t="str">
        <f t="shared" si="32"/>
        <v>Negligible</v>
      </c>
      <c r="AB54" s="69" t="str">
        <f t="shared" si="33"/>
        <v>Tidak Ada Indikasi Bias</v>
      </c>
    </row>
    <row r="55" spans="1:28" ht="37.5" customHeight="1" x14ac:dyDescent="0.35">
      <c r="A55" s="71" t="str">
        <f>IMR!A49</f>
        <v>45. Berikut adalah tujuan analisis menggunakan Matriks SWOT, kecuali …</v>
      </c>
      <c r="B55" s="69">
        <f>IMR!B49</f>
        <v>0</v>
      </c>
      <c r="C55" s="69">
        <f>IMR!C49</f>
        <v>1</v>
      </c>
      <c r="D55" s="69">
        <f>IMR!D49</f>
        <v>0</v>
      </c>
      <c r="E55" s="69">
        <f>IMR!E49</f>
        <v>1</v>
      </c>
      <c r="F55" s="69">
        <f>IMR!F49</f>
        <v>1</v>
      </c>
      <c r="G55" s="69">
        <f>IMR!G49</f>
        <v>1</v>
      </c>
      <c r="H55" s="69">
        <f>IMR!H49</f>
        <v>1</v>
      </c>
      <c r="I55" s="69">
        <f>IMR!I49</f>
        <v>1</v>
      </c>
      <c r="J55" s="69">
        <f>IMR!J49</f>
        <v>1</v>
      </c>
      <c r="K55" s="69">
        <f>IMR!K49</f>
        <v>1</v>
      </c>
      <c r="L55" s="69">
        <f t="shared" si="17"/>
        <v>5</v>
      </c>
      <c r="M55" s="69">
        <f t="shared" si="18"/>
        <v>5</v>
      </c>
      <c r="N55" s="69">
        <f t="shared" si="19"/>
        <v>4</v>
      </c>
      <c r="O55" s="69">
        <f t="shared" si="20"/>
        <v>4</v>
      </c>
      <c r="P55" s="69">
        <f t="shared" si="21"/>
        <v>4</v>
      </c>
      <c r="Q55" s="69">
        <f t="shared" si="22"/>
        <v>4</v>
      </c>
      <c r="R55" s="70">
        <f t="shared" si="23"/>
        <v>-1.3862943611198906</v>
      </c>
      <c r="S55" s="70">
        <f t="shared" si="24"/>
        <v>-1.3862943611198906</v>
      </c>
      <c r="T55" s="70">
        <f t="shared" si="25"/>
        <v>-1.4481564473588955</v>
      </c>
      <c r="U55" s="70">
        <f t="shared" si="26"/>
        <v>-1.4481564473588955</v>
      </c>
      <c r="V55" s="70">
        <f t="shared" si="27"/>
        <v>1.1180339887498949</v>
      </c>
      <c r="W55" s="70">
        <f t="shared" si="28"/>
        <v>1.1180339887498949</v>
      </c>
      <c r="X55" s="70">
        <f t="shared" si="29"/>
        <v>0</v>
      </c>
      <c r="Y55" s="70">
        <f t="shared" si="30"/>
        <v>1.5811388300841898</v>
      </c>
      <c r="Z55" s="70">
        <f t="shared" si="31"/>
        <v>0</v>
      </c>
      <c r="AA55" s="69" t="str">
        <f t="shared" si="32"/>
        <v>Negligible</v>
      </c>
      <c r="AB55" s="69" t="str">
        <f t="shared" si="33"/>
        <v>Tidak Ada Indikasi Bias</v>
      </c>
    </row>
    <row r="56" spans="1:28" ht="37.5" x14ac:dyDescent="0.35">
      <c r="A56" s="71" t="str">
        <f>IMR!A50</f>
        <v>46. Dalam menetapkan peta proses bisnis, organisasi pendidikan harus menetapkan hal-hal berikut, kecuali …</v>
      </c>
      <c r="B56" s="69">
        <f>IMR!B50</f>
        <v>0</v>
      </c>
      <c r="C56" s="69">
        <f>IMR!C50</f>
        <v>1</v>
      </c>
      <c r="D56" s="69">
        <f>IMR!D50</f>
        <v>0</v>
      </c>
      <c r="E56" s="69">
        <f>IMR!E50</f>
        <v>0</v>
      </c>
      <c r="F56" s="69">
        <f>IMR!F50</f>
        <v>0</v>
      </c>
      <c r="G56" s="69">
        <f>IMR!G50</f>
        <v>0</v>
      </c>
      <c r="H56" s="69">
        <f>IMR!H50</f>
        <v>1</v>
      </c>
      <c r="I56" s="69">
        <f>IMR!I50</f>
        <v>0</v>
      </c>
      <c r="J56" s="69">
        <f>IMR!J50</f>
        <v>1</v>
      </c>
      <c r="K56" s="69">
        <f>IMR!K50</f>
        <v>1</v>
      </c>
      <c r="L56" s="69">
        <f t="shared" si="17"/>
        <v>5</v>
      </c>
      <c r="M56" s="69">
        <f t="shared" si="18"/>
        <v>5</v>
      </c>
      <c r="N56" s="69">
        <f t="shared" si="19"/>
        <v>2</v>
      </c>
      <c r="O56" s="69">
        <f t="shared" si="20"/>
        <v>2</v>
      </c>
      <c r="P56" s="69">
        <f t="shared" si="21"/>
        <v>2</v>
      </c>
      <c r="Q56" s="69">
        <f t="shared" si="22"/>
        <v>2</v>
      </c>
      <c r="R56" s="70">
        <f t="shared" si="23"/>
        <v>0.40546510810816438</v>
      </c>
      <c r="S56" s="70">
        <f t="shared" si="24"/>
        <v>0.40546510810816438</v>
      </c>
      <c r="T56" s="70">
        <f t="shared" si="25"/>
        <v>0.34360302186915948</v>
      </c>
      <c r="U56" s="70">
        <f t="shared" si="26"/>
        <v>0.34360302186915948</v>
      </c>
      <c r="V56" s="70">
        <f t="shared" si="27"/>
        <v>0.91287092917527679</v>
      </c>
      <c r="W56" s="70">
        <f t="shared" si="28"/>
        <v>0.91287092917527679</v>
      </c>
      <c r="X56" s="70">
        <f t="shared" si="29"/>
        <v>0</v>
      </c>
      <c r="Y56" s="70">
        <f t="shared" si="30"/>
        <v>1.2909944487358056</v>
      </c>
      <c r="Z56" s="70">
        <f t="shared" si="31"/>
        <v>0</v>
      </c>
      <c r="AA56" s="69" t="str">
        <f t="shared" si="32"/>
        <v>Negligible</v>
      </c>
      <c r="AB56" s="69" t="str">
        <f t="shared" si="33"/>
        <v>Tidak Ada Indikasi Bias</v>
      </c>
    </row>
    <row r="57" spans="1:28" ht="50" customHeight="1" x14ac:dyDescent="0.35">
      <c r="A57" s="71" t="str">
        <f>IMR!A51</f>
        <v>47. Pilihlah pernyataan berikut yang benar tentang kebijakan SMOP!</v>
      </c>
      <c r="B57" s="69">
        <f>IMR!B51</f>
        <v>0</v>
      </c>
      <c r="C57" s="69">
        <f>IMR!C51</f>
        <v>0</v>
      </c>
      <c r="D57" s="69">
        <f>IMR!D51</f>
        <v>1</v>
      </c>
      <c r="E57" s="69">
        <f>IMR!E51</f>
        <v>0</v>
      </c>
      <c r="F57" s="69">
        <f>IMR!F51</f>
        <v>1</v>
      </c>
      <c r="G57" s="69">
        <f>IMR!G51</f>
        <v>1</v>
      </c>
      <c r="H57" s="69">
        <f>IMR!H51</f>
        <v>1</v>
      </c>
      <c r="I57" s="69">
        <f>IMR!I51</f>
        <v>1</v>
      </c>
      <c r="J57" s="69">
        <f>IMR!J51</f>
        <v>1</v>
      </c>
      <c r="K57" s="69">
        <f>IMR!K51</f>
        <v>0</v>
      </c>
      <c r="L57" s="69">
        <f t="shared" si="17"/>
        <v>5</v>
      </c>
      <c r="M57" s="69">
        <f t="shared" si="18"/>
        <v>5</v>
      </c>
      <c r="N57" s="69">
        <f t="shared" si="19"/>
        <v>3</v>
      </c>
      <c r="O57" s="69">
        <f t="shared" si="20"/>
        <v>3</v>
      </c>
      <c r="P57" s="69">
        <f t="shared" si="21"/>
        <v>3</v>
      </c>
      <c r="Q57" s="69">
        <f t="shared" si="22"/>
        <v>3</v>
      </c>
      <c r="R57" s="70">
        <f t="shared" si="23"/>
        <v>-0.40546510810816444</v>
      </c>
      <c r="S57" s="70">
        <f t="shared" si="24"/>
        <v>-0.40546510810816444</v>
      </c>
      <c r="T57" s="70">
        <f t="shared" si="25"/>
        <v>-0.46732719434716941</v>
      </c>
      <c r="U57" s="70">
        <f t="shared" si="26"/>
        <v>-0.46732719434716941</v>
      </c>
      <c r="V57" s="70">
        <f t="shared" si="27"/>
        <v>0.91287092917527679</v>
      </c>
      <c r="W57" s="70">
        <f t="shared" si="28"/>
        <v>0.91287092917527679</v>
      </c>
      <c r="X57" s="70">
        <f t="shared" si="29"/>
        <v>0</v>
      </c>
      <c r="Y57" s="70">
        <f t="shared" si="30"/>
        <v>1.2909944487358056</v>
      </c>
      <c r="Z57" s="70">
        <f t="shared" si="31"/>
        <v>0</v>
      </c>
      <c r="AA57" s="69" t="str">
        <f t="shared" si="32"/>
        <v>Negligible</v>
      </c>
      <c r="AB57" s="69" t="str">
        <f t="shared" si="33"/>
        <v>Tidak Ada Indikasi Bias</v>
      </c>
    </row>
    <row r="58" spans="1:28" ht="50" customHeight="1" x14ac:dyDescent="0.35">
      <c r="A58" s="71" t="str">
        <f>IMR!A52</f>
        <v>48. Penyusunan struktur organisasi, tanggung jawab, dan wewenang dalam perwujudan SMOP harus mempertimbangkan adanya personel organisasi yang memiiliki tanggung jawab sebagai berikut, kecuali …</v>
      </c>
      <c r="B58" s="69">
        <f>IMR!B52</f>
        <v>0</v>
      </c>
      <c r="C58" s="69">
        <f>IMR!C52</f>
        <v>0</v>
      </c>
      <c r="D58" s="69">
        <f>IMR!D52</f>
        <v>0</v>
      </c>
      <c r="E58" s="69">
        <f>IMR!E52</f>
        <v>1</v>
      </c>
      <c r="F58" s="69">
        <f>IMR!F52</f>
        <v>0</v>
      </c>
      <c r="G58" s="69">
        <f>IMR!G52</f>
        <v>1</v>
      </c>
      <c r="H58" s="69">
        <f>IMR!H52</f>
        <v>1</v>
      </c>
      <c r="I58" s="69">
        <f>IMR!I52</f>
        <v>1</v>
      </c>
      <c r="J58" s="69">
        <f>IMR!J52</f>
        <v>1</v>
      </c>
      <c r="K58" s="69">
        <f>IMR!K52</f>
        <v>1</v>
      </c>
      <c r="L58" s="69">
        <f t="shared" si="17"/>
        <v>5</v>
      </c>
      <c r="M58" s="69">
        <f t="shared" si="18"/>
        <v>5</v>
      </c>
      <c r="N58" s="69">
        <f t="shared" si="19"/>
        <v>3</v>
      </c>
      <c r="O58" s="69">
        <f t="shared" si="20"/>
        <v>3</v>
      </c>
      <c r="P58" s="69">
        <f t="shared" si="21"/>
        <v>3</v>
      </c>
      <c r="Q58" s="69">
        <f t="shared" si="22"/>
        <v>3</v>
      </c>
      <c r="R58" s="70">
        <f t="shared" si="23"/>
        <v>-0.40546510810816444</v>
      </c>
      <c r="S58" s="70">
        <f t="shared" si="24"/>
        <v>-0.40546510810816444</v>
      </c>
      <c r="T58" s="70">
        <f t="shared" si="25"/>
        <v>-0.46732719434716941</v>
      </c>
      <c r="U58" s="70">
        <f t="shared" si="26"/>
        <v>-0.46732719434716941</v>
      </c>
      <c r="V58" s="70">
        <f t="shared" si="27"/>
        <v>0.91287092917527679</v>
      </c>
      <c r="W58" s="70">
        <f t="shared" si="28"/>
        <v>0.91287092917527679</v>
      </c>
      <c r="X58" s="70">
        <f t="shared" si="29"/>
        <v>0</v>
      </c>
      <c r="Y58" s="70">
        <f t="shared" si="30"/>
        <v>1.2909944487358056</v>
      </c>
      <c r="Z58" s="70">
        <f t="shared" si="31"/>
        <v>0</v>
      </c>
      <c r="AA58" s="69" t="str">
        <f t="shared" si="32"/>
        <v>Negligible</v>
      </c>
      <c r="AB58" s="69" t="str">
        <f t="shared" si="33"/>
        <v>Tidak Ada Indikasi Bias</v>
      </c>
    </row>
    <row r="59" spans="1:28" ht="50" customHeight="1" x14ac:dyDescent="0.35">
      <c r="A59" s="71" t="str">
        <f>IMR!A53</f>
        <v>49. Pernyataan berikut yang benar terkait risiko …</v>
      </c>
      <c r="B59" s="69">
        <f>IMR!B53</f>
        <v>0</v>
      </c>
      <c r="C59" s="69">
        <f>IMR!C53</f>
        <v>1</v>
      </c>
      <c r="D59" s="69">
        <f>IMR!D53</f>
        <v>0</v>
      </c>
      <c r="E59" s="69">
        <f>IMR!E53</f>
        <v>1</v>
      </c>
      <c r="F59" s="69">
        <f>IMR!F53</f>
        <v>1</v>
      </c>
      <c r="G59" s="69">
        <f>IMR!G53</f>
        <v>0</v>
      </c>
      <c r="H59" s="69">
        <f>IMR!H53</f>
        <v>1</v>
      </c>
      <c r="I59" s="69">
        <f>IMR!I53</f>
        <v>0</v>
      </c>
      <c r="J59" s="69">
        <f>IMR!J53</f>
        <v>0</v>
      </c>
      <c r="K59" s="69">
        <f>IMR!K53</f>
        <v>0</v>
      </c>
      <c r="L59" s="69">
        <f t="shared" si="17"/>
        <v>5</v>
      </c>
      <c r="M59" s="69">
        <f t="shared" si="18"/>
        <v>5</v>
      </c>
      <c r="N59" s="69">
        <f t="shared" si="19"/>
        <v>2</v>
      </c>
      <c r="O59" s="69">
        <f t="shared" si="20"/>
        <v>2</v>
      </c>
      <c r="P59" s="69">
        <f t="shared" si="21"/>
        <v>2</v>
      </c>
      <c r="Q59" s="69">
        <f t="shared" si="22"/>
        <v>2</v>
      </c>
      <c r="R59" s="70">
        <f t="shared" si="23"/>
        <v>0.40546510810816438</v>
      </c>
      <c r="S59" s="70">
        <f t="shared" si="24"/>
        <v>0.40546510810816438</v>
      </c>
      <c r="T59" s="70">
        <f t="shared" si="25"/>
        <v>0.34360302186915948</v>
      </c>
      <c r="U59" s="70">
        <f t="shared" si="26"/>
        <v>0.34360302186915948</v>
      </c>
      <c r="V59" s="70">
        <f t="shared" si="27"/>
        <v>0.91287092917527679</v>
      </c>
      <c r="W59" s="70">
        <f t="shared" si="28"/>
        <v>0.91287092917527679</v>
      </c>
      <c r="X59" s="70">
        <f t="shared" si="29"/>
        <v>0</v>
      </c>
      <c r="Y59" s="70">
        <f t="shared" si="30"/>
        <v>1.2909944487358056</v>
      </c>
      <c r="Z59" s="70">
        <f t="shared" si="31"/>
        <v>0</v>
      </c>
      <c r="AA59" s="69" t="str">
        <f t="shared" si="32"/>
        <v>Negligible</v>
      </c>
      <c r="AB59" s="69" t="str">
        <f t="shared" si="33"/>
        <v>Tidak Ada Indikasi Bias</v>
      </c>
    </row>
    <row r="60" spans="1:28" ht="25" x14ac:dyDescent="0.35">
      <c r="A60" s="71" t="str">
        <f>IMR!A54</f>
        <v>50. Alasan ISO 21001:2018 mensyaratkan adanya perencanaan perubahan, kecuali ...</v>
      </c>
      <c r="B60" s="69">
        <f>IMR!B54</f>
        <v>0</v>
      </c>
      <c r="C60" s="69">
        <f>IMR!C54</f>
        <v>1</v>
      </c>
      <c r="D60" s="69">
        <f>IMR!D54</f>
        <v>0</v>
      </c>
      <c r="E60" s="69">
        <f>IMR!E54</f>
        <v>1</v>
      </c>
      <c r="F60" s="69">
        <f>IMR!F54</f>
        <v>1</v>
      </c>
      <c r="G60" s="69">
        <f>IMR!G54</f>
        <v>1</v>
      </c>
      <c r="H60" s="69">
        <f>IMR!H54</f>
        <v>1</v>
      </c>
      <c r="I60" s="69">
        <f>IMR!I54</f>
        <v>1</v>
      </c>
      <c r="J60" s="69">
        <f>IMR!J54</f>
        <v>1</v>
      </c>
      <c r="K60" s="69">
        <f>IMR!K54</f>
        <v>1</v>
      </c>
      <c r="L60" s="69">
        <f t="shared" si="17"/>
        <v>5</v>
      </c>
      <c r="M60" s="69">
        <f t="shared" si="18"/>
        <v>5</v>
      </c>
      <c r="N60" s="69">
        <f t="shared" si="19"/>
        <v>4</v>
      </c>
      <c r="O60" s="69">
        <f t="shared" si="20"/>
        <v>4</v>
      </c>
      <c r="P60" s="69">
        <f t="shared" si="21"/>
        <v>4</v>
      </c>
      <c r="Q60" s="69">
        <f t="shared" si="22"/>
        <v>4</v>
      </c>
      <c r="R60" s="70">
        <f t="shared" si="23"/>
        <v>-1.3862943611198906</v>
      </c>
      <c r="S60" s="70">
        <f t="shared" si="24"/>
        <v>-1.3862943611198906</v>
      </c>
      <c r="T60" s="70">
        <f t="shared" si="25"/>
        <v>-1.4481564473588955</v>
      </c>
      <c r="U60" s="70">
        <f t="shared" si="26"/>
        <v>-1.4481564473588955</v>
      </c>
      <c r="V60" s="70">
        <f t="shared" si="27"/>
        <v>1.1180339887498949</v>
      </c>
      <c r="W60" s="70">
        <f t="shared" si="28"/>
        <v>1.1180339887498949</v>
      </c>
      <c r="X60" s="70">
        <f t="shared" si="29"/>
        <v>0</v>
      </c>
      <c r="Y60" s="70">
        <f t="shared" si="30"/>
        <v>1.5811388300841898</v>
      </c>
      <c r="Z60" s="70">
        <f t="shared" si="31"/>
        <v>0</v>
      </c>
      <c r="AA60" s="69" t="str">
        <f t="shared" si="32"/>
        <v>Negligible</v>
      </c>
      <c r="AB60" s="69" t="str">
        <f t="shared" si="33"/>
        <v>Tidak Ada Indikasi Bias</v>
      </c>
    </row>
    <row r="61" spans="1:28" ht="25" x14ac:dyDescent="0.35">
      <c r="A61" s="71" t="str">
        <f>IMR!A55</f>
        <v>51. Sasaran mutu yang baik harus mengikuti prinsip SMART, yaitu …</v>
      </c>
      <c r="B61" s="69">
        <f>IMR!B55</f>
        <v>1</v>
      </c>
      <c r="C61" s="69">
        <f>IMR!C55</f>
        <v>0</v>
      </c>
      <c r="D61" s="69">
        <f>IMR!D55</f>
        <v>0</v>
      </c>
      <c r="E61" s="69">
        <f>IMR!E55</f>
        <v>0</v>
      </c>
      <c r="F61" s="69">
        <f>IMR!F55</f>
        <v>1</v>
      </c>
      <c r="G61" s="69">
        <f>IMR!G55</f>
        <v>0</v>
      </c>
      <c r="H61" s="69">
        <f>IMR!H55</f>
        <v>0</v>
      </c>
      <c r="I61" s="69">
        <f>IMR!I55</f>
        <v>0</v>
      </c>
      <c r="J61" s="69">
        <f>IMR!J55</f>
        <v>0</v>
      </c>
      <c r="K61" s="69">
        <f>IMR!K55</f>
        <v>0</v>
      </c>
      <c r="L61" s="69">
        <f t="shared" si="17"/>
        <v>5</v>
      </c>
      <c r="M61" s="69">
        <f t="shared" si="18"/>
        <v>5</v>
      </c>
      <c r="N61" s="69">
        <f t="shared" si="19"/>
        <v>1</v>
      </c>
      <c r="O61" s="69">
        <f t="shared" si="20"/>
        <v>1</v>
      </c>
      <c r="P61" s="69">
        <f t="shared" si="21"/>
        <v>1</v>
      </c>
      <c r="Q61" s="69">
        <f t="shared" si="22"/>
        <v>1</v>
      </c>
      <c r="R61" s="70">
        <f t="shared" si="23"/>
        <v>1.3862943611198906</v>
      </c>
      <c r="S61" s="70">
        <f t="shared" si="24"/>
        <v>1.3862943611198906</v>
      </c>
      <c r="T61" s="70">
        <f t="shared" si="25"/>
        <v>1.3244322748808857</v>
      </c>
      <c r="U61" s="70">
        <f t="shared" si="26"/>
        <v>1.3244322748808857</v>
      </c>
      <c r="V61" s="70">
        <f t="shared" si="27"/>
        <v>1.1180339887498949</v>
      </c>
      <c r="W61" s="70">
        <f t="shared" si="28"/>
        <v>1.1180339887498949</v>
      </c>
      <c r="X61" s="70">
        <f t="shared" si="29"/>
        <v>0</v>
      </c>
      <c r="Y61" s="70">
        <f t="shared" si="30"/>
        <v>1.5811388300841898</v>
      </c>
      <c r="Z61" s="70">
        <f t="shared" si="31"/>
        <v>0</v>
      </c>
      <c r="AA61" s="69" t="str">
        <f t="shared" si="32"/>
        <v>Negligible</v>
      </c>
      <c r="AB61" s="69" t="str">
        <f t="shared" si="33"/>
        <v>Tidak Ada Indikasi Bias</v>
      </c>
    </row>
    <row r="62" spans="1:28" ht="37.5" customHeight="1" x14ac:dyDescent="0.35">
      <c r="A62" s="71" t="str">
        <f>IMR!A56</f>
        <v>52. Tuntutan kerja, kejelasan peran, dan penghargaan, merupakan bentuk perwujudan dari …</v>
      </c>
      <c r="B62" s="69">
        <f>IMR!B56</f>
        <v>1</v>
      </c>
      <c r="C62" s="69">
        <f>IMR!C56</f>
        <v>1</v>
      </c>
      <c r="D62" s="69">
        <f>IMR!D56</f>
        <v>1</v>
      </c>
      <c r="E62" s="69">
        <f>IMR!E56</f>
        <v>1</v>
      </c>
      <c r="F62" s="69">
        <f>IMR!F56</f>
        <v>1</v>
      </c>
      <c r="G62" s="69">
        <f>IMR!G56</f>
        <v>1</v>
      </c>
      <c r="H62" s="69">
        <f>IMR!H56</f>
        <v>0</v>
      </c>
      <c r="I62" s="69">
        <f>IMR!I56</f>
        <v>0</v>
      </c>
      <c r="J62" s="69">
        <f>IMR!J56</f>
        <v>0</v>
      </c>
      <c r="K62" s="69">
        <f>IMR!K56</f>
        <v>0</v>
      </c>
      <c r="L62" s="69">
        <f t="shared" si="17"/>
        <v>5</v>
      </c>
      <c r="M62" s="69">
        <f t="shared" si="18"/>
        <v>5</v>
      </c>
      <c r="N62" s="69">
        <f t="shared" si="19"/>
        <v>3</v>
      </c>
      <c r="O62" s="69">
        <f t="shared" si="20"/>
        <v>3</v>
      </c>
      <c r="P62" s="69">
        <f t="shared" si="21"/>
        <v>3</v>
      </c>
      <c r="Q62" s="69">
        <f t="shared" si="22"/>
        <v>3</v>
      </c>
      <c r="R62" s="70">
        <f t="shared" si="23"/>
        <v>-0.40546510810816444</v>
      </c>
      <c r="S62" s="70">
        <f t="shared" si="24"/>
        <v>-0.40546510810816444</v>
      </c>
      <c r="T62" s="70">
        <f t="shared" si="25"/>
        <v>-0.46732719434716941</v>
      </c>
      <c r="U62" s="70">
        <f t="shared" si="26"/>
        <v>-0.46732719434716941</v>
      </c>
      <c r="V62" s="70">
        <f t="shared" si="27"/>
        <v>0.91287092917527679</v>
      </c>
      <c r="W62" s="70">
        <f t="shared" si="28"/>
        <v>0.91287092917527679</v>
      </c>
      <c r="X62" s="70">
        <f t="shared" si="29"/>
        <v>0</v>
      </c>
      <c r="Y62" s="70">
        <f t="shared" si="30"/>
        <v>1.2909944487358056</v>
      </c>
      <c r="Z62" s="70">
        <f t="shared" si="31"/>
        <v>0</v>
      </c>
      <c r="AA62" s="69" t="str">
        <f t="shared" si="32"/>
        <v>Negligible</v>
      </c>
      <c r="AB62" s="69" t="str">
        <f t="shared" si="33"/>
        <v>Tidak Ada Indikasi Bias</v>
      </c>
    </row>
    <row r="63" spans="1:28" ht="62.5" x14ac:dyDescent="0.35">
      <c r="A63" s="71" t="str">
        <f>IMR!A57</f>
        <v>53. Tujuan ISO 21001:2018 mensyaratkan adanya pengelolaan sumber daya pengetahuan adalah untuk mencegah adanya tacid knowledge. Berikut benar terkait tacid knowledge kecuali …</v>
      </c>
      <c r="B63" s="69">
        <f>IMR!B57</f>
        <v>1</v>
      </c>
      <c r="C63" s="69">
        <f>IMR!C57</f>
        <v>1</v>
      </c>
      <c r="D63" s="69">
        <f>IMR!D57</f>
        <v>1</v>
      </c>
      <c r="E63" s="69">
        <f>IMR!E57</f>
        <v>0</v>
      </c>
      <c r="F63" s="69">
        <f>IMR!F57</f>
        <v>1</v>
      </c>
      <c r="G63" s="69">
        <f>IMR!G57</f>
        <v>0</v>
      </c>
      <c r="H63" s="69">
        <f>IMR!H57</f>
        <v>0</v>
      </c>
      <c r="I63" s="69">
        <f>IMR!I57</f>
        <v>1</v>
      </c>
      <c r="J63" s="69">
        <f>IMR!J57</f>
        <v>0</v>
      </c>
      <c r="K63" s="69">
        <f>IMR!K57</f>
        <v>1</v>
      </c>
      <c r="L63" s="69">
        <f t="shared" si="17"/>
        <v>5</v>
      </c>
      <c r="M63" s="69">
        <f t="shared" si="18"/>
        <v>5</v>
      </c>
      <c r="N63" s="69">
        <f t="shared" si="19"/>
        <v>3</v>
      </c>
      <c r="O63" s="69">
        <f t="shared" si="20"/>
        <v>3</v>
      </c>
      <c r="P63" s="69">
        <f t="shared" si="21"/>
        <v>3</v>
      </c>
      <c r="Q63" s="69">
        <f t="shared" si="22"/>
        <v>3</v>
      </c>
      <c r="R63" s="70">
        <f t="shared" si="23"/>
        <v>-0.40546510810816444</v>
      </c>
      <c r="S63" s="70">
        <f t="shared" si="24"/>
        <v>-0.40546510810816444</v>
      </c>
      <c r="T63" s="70">
        <f t="shared" si="25"/>
        <v>-0.46732719434716941</v>
      </c>
      <c r="U63" s="70">
        <f t="shared" si="26"/>
        <v>-0.46732719434716941</v>
      </c>
      <c r="V63" s="70">
        <f t="shared" si="27"/>
        <v>0.91287092917527679</v>
      </c>
      <c r="W63" s="70">
        <f t="shared" si="28"/>
        <v>0.91287092917527679</v>
      </c>
      <c r="X63" s="70">
        <f t="shared" si="29"/>
        <v>0</v>
      </c>
      <c r="Y63" s="70">
        <f t="shared" si="30"/>
        <v>1.2909944487358056</v>
      </c>
      <c r="Z63" s="70">
        <f t="shared" si="31"/>
        <v>0</v>
      </c>
      <c r="AA63" s="69" t="str">
        <f t="shared" si="32"/>
        <v>Negligible</v>
      </c>
      <c r="AB63" s="69" t="str">
        <f t="shared" si="33"/>
        <v>Tidak Ada Indikasi Bias</v>
      </c>
    </row>
    <row r="64" spans="1:28" ht="37.5" customHeight="1" x14ac:dyDescent="0.35">
      <c r="A64" s="71" t="str">
        <f>IMR!A58</f>
        <v>54. Dalam kaitannya dengan mengelola personel, organsiasi pendidikan harus mendokumentasikan …</v>
      </c>
      <c r="B64" s="69">
        <f>IMR!B58</f>
        <v>0</v>
      </c>
      <c r="C64" s="69">
        <f>IMR!C58</f>
        <v>1</v>
      </c>
      <c r="D64" s="69">
        <f>IMR!D58</f>
        <v>0</v>
      </c>
      <c r="E64" s="69">
        <f>IMR!E58</f>
        <v>0</v>
      </c>
      <c r="F64" s="69">
        <f>IMR!F58</f>
        <v>0</v>
      </c>
      <c r="G64" s="69">
        <f>IMR!G58</f>
        <v>1</v>
      </c>
      <c r="H64" s="69">
        <f>IMR!H58</f>
        <v>0</v>
      </c>
      <c r="I64" s="69">
        <f>IMR!I58</f>
        <v>0</v>
      </c>
      <c r="J64" s="69">
        <f>IMR!J58</f>
        <v>1</v>
      </c>
      <c r="K64" s="69">
        <f>IMR!K58</f>
        <v>1</v>
      </c>
      <c r="L64" s="69">
        <f t="shared" si="17"/>
        <v>5</v>
      </c>
      <c r="M64" s="69">
        <f t="shared" si="18"/>
        <v>5</v>
      </c>
      <c r="N64" s="69">
        <f t="shared" si="19"/>
        <v>2</v>
      </c>
      <c r="O64" s="69">
        <f t="shared" si="20"/>
        <v>2</v>
      </c>
      <c r="P64" s="69">
        <f t="shared" si="21"/>
        <v>2</v>
      </c>
      <c r="Q64" s="69">
        <f t="shared" si="22"/>
        <v>2</v>
      </c>
      <c r="R64" s="70">
        <f t="shared" si="23"/>
        <v>0.40546510810816438</v>
      </c>
      <c r="S64" s="70">
        <f t="shared" si="24"/>
        <v>0.40546510810816438</v>
      </c>
      <c r="T64" s="70">
        <f t="shared" si="25"/>
        <v>0.34360302186915948</v>
      </c>
      <c r="U64" s="70">
        <f t="shared" si="26"/>
        <v>0.34360302186915948</v>
      </c>
      <c r="V64" s="70">
        <f t="shared" si="27"/>
        <v>0.91287092917527679</v>
      </c>
      <c r="W64" s="70">
        <f t="shared" si="28"/>
        <v>0.91287092917527679</v>
      </c>
      <c r="X64" s="70">
        <f t="shared" si="29"/>
        <v>0</v>
      </c>
      <c r="Y64" s="70">
        <f t="shared" si="30"/>
        <v>1.2909944487358056</v>
      </c>
      <c r="Z64" s="70">
        <f t="shared" si="31"/>
        <v>0</v>
      </c>
      <c r="AA64" s="69" t="str">
        <f t="shared" si="32"/>
        <v>Negligible</v>
      </c>
      <c r="AB64" s="69" t="str">
        <f t="shared" si="33"/>
        <v>Tidak Ada Indikasi Bias</v>
      </c>
    </row>
    <row r="65" spans="1:28" ht="37.5" customHeight="1" x14ac:dyDescent="0.35">
      <c r="A65" s="71" t="str">
        <f>IMR!A59</f>
        <v>55. Dalam menyelenggarakan organisasi pendidikan, minimal harus terdapat fasilitas …</v>
      </c>
      <c r="B65" s="69">
        <f>IMR!B59</f>
        <v>1</v>
      </c>
      <c r="C65" s="69">
        <f>IMR!C59</f>
        <v>1</v>
      </c>
      <c r="D65" s="69">
        <f>IMR!D59</f>
        <v>1</v>
      </c>
      <c r="E65" s="69">
        <f>IMR!E59</f>
        <v>1</v>
      </c>
      <c r="F65" s="69">
        <f>IMR!F59</f>
        <v>1</v>
      </c>
      <c r="G65" s="69">
        <f>IMR!G59</f>
        <v>1</v>
      </c>
      <c r="H65" s="69">
        <f>IMR!H59</f>
        <v>1</v>
      </c>
      <c r="I65" s="69">
        <f>IMR!I59</f>
        <v>0</v>
      </c>
      <c r="J65" s="69">
        <f>IMR!J59</f>
        <v>0</v>
      </c>
      <c r="K65" s="69">
        <f>IMR!K59</f>
        <v>1</v>
      </c>
      <c r="L65" s="69">
        <f t="shared" si="17"/>
        <v>5</v>
      </c>
      <c r="M65" s="69">
        <f t="shared" si="18"/>
        <v>5</v>
      </c>
      <c r="N65" s="69">
        <f t="shared" si="19"/>
        <v>4</v>
      </c>
      <c r="O65" s="69">
        <f t="shared" si="20"/>
        <v>4</v>
      </c>
      <c r="P65" s="69">
        <f t="shared" si="21"/>
        <v>4</v>
      </c>
      <c r="Q65" s="69">
        <f t="shared" si="22"/>
        <v>4</v>
      </c>
      <c r="R65" s="70">
        <f t="shared" si="23"/>
        <v>-1.3862943611198906</v>
      </c>
      <c r="S65" s="70">
        <f t="shared" si="24"/>
        <v>-1.3862943611198906</v>
      </c>
      <c r="T65" s="70">
        <f t="shared" si="25"/>
        <v>-1.4481564473588955</v>
      </c>
      <c r="U65" s="70">
        <f t="shared" si="26"/>
        <v>-1.4481564473588955</v>
      </c>
      <c r="V65" s="70">
        <f t="shared" si="27"/>
        <v>1.1180339887498949</v>
      </c>
      <c r="W65" s="70">
        <f t="shared" si="28"/>
        <v>1.1180339887498949</v>
      </c>
      <c r="X65" s="70">
        <f t="shared" si="29"/>
        <v>0</v>
      </c>
      <c r="Y65" s="70">
        <f t="shared" si="30"/>
        <v>1.5811388300841898</v>
      </c>
      <c r="Z65" s="70">
        <f t="shared" si="31"/>
        <v>0</v>
      </c>
      <c r="AA65" s="69" t="str">
        <f t="shared" si="32"/>
        <v>Negligible</v>
      </c>
      <c r="AB65" s="69" t="str">
        <f t="shared" si="33"/>
        <v>Tidak Ada Indikasi Bias</v>
      </c>
    </row>
    <row r="66" spans="1:28" ht="37.5" customHeight="1" x14ac:dyDescent="0.35">
      <c r="A66" s="71" t="str">
        <f>IMR!A60</f>
        <v>56. Apa yang harus dilakukan ketika didapati ada hasil pengukuran yang tidak sesuai?</v>
      </c>
      <c r="B66" s="69">
        <f>IMR!B60</f>
        <v>1</v>
      </c>
      <c r="C66" s="69">
        <f>IMR!C60</f>
        <v>1</v>
      </c>
      <c r="D66" s="69">
        <f>IMR!D60</f>
        <v>1</v>
      </c>
      <c r="E66" s="69">
        <f>IMR!E60</f>
        <v>0</v>
      </c>
      <c r="F66" s="69">
        <f>IMR!F60</f>
        <v>1</v>
      </c>
      <c r="G66" s="69">
        <f>IMR!G60</f>
        <v>0</v>
      </c>
      <c r="H66" s="69">
        <f>IMR!H60</f>
        <v>0</v>
      </c>
      <c r="I66" s="69">
        <f>IMR!I60</f>
        <v>1</v>
      </c>
      <c r="J66" s="69">
        <f>IMR!J60</f>
        <v>1</v>
      </c>
      <c r="K66" s="69">
        <f>IMR!K60</f>
        <v>0</v>
      </c>
      <c r="L66" s="69">
        <f t="shared" si="17"/>
        <v>5</v>
      </c>
      <c r="M66" s="69">
        <f t="shared" si="18"/>
        <v>5</v>
      </c>
      <c r="N66" s="69">
        <f t="shared" si="19"/>
        <v>3</v>
      </c>
      <c r="O66" s="69">
        <f t="shared" si="20"/>
        <v>3</v>
      </c>
      <c r="P66" s="69">
        <f t="shared" si="21"/>
        <v>3</v>
      </c>
      <c r="Q66" s="69">
        <f t="shared" si="22"/>
        <v>3</v>
      </c>
      <c r="R66" s="70">
        <f t="shared" si="23"/>
        <v>-0.40546510810816444</v>
      </c>
      <c r="S66" s="70">
        <f t="shared" si="24"/>
        <v>-0.40546510810816444</v>
      </c>
      <c r="T66" s="70">
        <f t="shared" si="25"/>
        <v>-0.46732719434716941</v>
      </c>
      <c r="U66" s="70">
        <f t="shared" si="26"/>
        <v>-0.46732719434716941</v>
      </c>
      <c r="V66" s="70">
        <f t="shared" si="27"/>
        <v>0.91287092917527679</v>
      </c>
      <c r="W66" s="70">
        <f t="shared" si="28"/>
        <v>0.91287092917527679</v>
      </c>
      <c r="X66" s="70">
        <f t="shared" si="29"/>
        <v>0</v>
      </c>
      <c r="Y66" s="70">
        <f t="shared" si="30"/>
        <v>1.2909944487358056</v>
      </c>
      <c r="Z66" s="70">
        <f t="shared" si="31"/>
        <v>0</v>
      </c>
      <c r="AA66" s="69" t="str">
        <f t="shared" si="32"/>
        <v>Negligible</v>
      </c>
      <c r="AB66" s="69" t="str">
        <f t="shared" si="33"/>
        <v>Tidak Ada Indikasi Bias</v>
      </c>
    </row>
    <row r="67" spans="1:28" ht="37.5" customHeight="1" x14ac:dyDescent="0.35">
      <c r="A67" s="71" t="str">
        <f>IMR!A61</f>
        <v>57. Proses desain dan pengembangan layanan pendidikan dapat bersifat iterative. Apa maksudnya?</v>
      </c>
      <c r="B67" s="69">
        <f>IMR!B61</f>
        <v>1</v>
      </c>
      <c r="C67" s="69">
        <f>IMR!C61</f>
        <v>1</v>
      </c>
      <c r="D67" s="69">
        <f>IMR!D61</f>
        <v>1</v>
      </c>
      <c r="E67" s="69">
        <f>IMR!E61</f>
        <v>1</v>
      </c>
      <c r="F67" s="69">
        <f>IMR!F61</f>
        <v>0</v>
      </c>
      <c r="G67" s="69">
        <f>IMR!G61</f>
        <v>0</v>
      </c>
      <c r="H67" s="69">
        <f>IMR!H61</f>
        <v>0</v>
      </c>
      <c r="I67" s="69">
        <f>IMR!I61</f>
        <v>0</v>
      </c>
      <c r="J67" s="69">
        <f>IMR!J61</f>
        <v>0</v>
      </c>
      <c r="K67" s="69">
        <f>IMR!K61</f>
        <v>0</v>
      </c>
      <c r="L67" s="69">
        <f t="shared" si="17"/>
        <v>5</v>
      </c>
      <c r="M67" s="69">
        <f t="shared" si="18"/>
        <v>5</v>
      </c>
      <c r="N67" s="69">
        <f t="shared" si="19"/>
        <v>2</v>
      </c>
      <c r="O67" s="69">
        <f t="shared" si="20"/>
        <v>2</v>
      </c>
      <c r="P67" s="69">
        <f t="shared" si="21"/>
        <v>2</v>
      </c>
      <c r="Q67" s="69">
        <f t="shared" si="22"/>
        <v>2</v>
      </c>
      <c r="R67" s="70">
        <f t="shared" si="23"/>
        <v>0.40546510810816438</v>
      </c>
      <c r="S67" s="70">
        <f t="shared" si="24"/>
        <v>0.40546510810816438</v>
      </c>
      <c r="T67" s="70">
        <f t="shared" si="25"/>
        <v>0.34360302186915948</v>
      </c>
      <c r="U67" s="70">
        <f t="shared" si="26"/>
        <v>0.34360302186915948</v>
      </c>
      <c r="V67" s="70">
        <f t="shared" si="27"/>
        <v>0.91287092917527679</v>
      </c>
      <c r="W67" s="70">
        <f t="shared" si="28"/>
        <v>0.91287092917527679</v>
      </c>
      <c r="X67" s="70">
        <f t="shared" si="29"/>
        <v>0</v>
      </c>
      <c r="Y67" s="70">
        <f t="shared" si="30"/>
        <v>1.2909944487358056</v>
      </c>
      <c r="Z67" s="70">
        <f t="shared" si="31"/>
        <v>0</v>
      </c>
      <c r="AA67" s="69" t="str">
        <f t="shared" si="32"/>
        <v>Negligible</v>
      </c>
      <c r="AB67" s="69" t="str">
        <f t="shared" si="33"/>
        <v>Tidak Ada Indikasi Bias</v>
      </c>
    </row>
    <row r="68" spans="1:28" ht="75" x14ac:dyDescent="0.35">
      <c r="A68" s="71" t="str">
        <f>IMR!A62</f>
        <v>58. Ketika menentukan persyaratan produk dan layanan pendidikan, organisasi harus memastikan bahwa persyaratan produk dan layanan pendidikan yang telah ditetapkan memuat komponen berikut, kecuali …</v>
      </c>
      <c r="B68" s="69">
        <f>IMR!B62</f>
        <v>1</v>
      </c>
      <c r="C68" s="69">
        <f>IMR!C62</f>
        <v>1</v>
      </c>
      <c r="D68" s="69">
        <f>IMR!D62</f>
        <v>0</v>
      </c>
      <c r="E68" s="69">
        <f>IMR!E62</f>
        <v>1</v>
      </c>
      <c r="F68" s="69">
        <f>IMR!F62</f>
        <v>0</v>
      </c>
      <c r="G68" s="69">
        <f>IMR!G62</f>
        <v>0</v>
      </c>
      <c r="H68" s="69">
        <f>IMR!H62</f>
        <v>0</v>
      </c>
      <c r="I68" s="69">
        <f>IMR!I62</f>
        <v>0</v>
      </c>
      <c r="J68" s="69">
        <f>IMR!J62</f>
        <v>1</v>
      </c>
      <c r="K68" s="69">
        <f>IMR!K62</f>
        <v>0</v>
      </c>
      <c r="L68" s="69">
        <f t="shared" si="17"/>
        <v>5</v>
      </c>
      <c r="M68" s="69">
        <f t="shared" si="18"/>
        <v>5</v>
      </c>
      <c r="N68" s="69">
        <f t="shared" si="19"/>
        <v>2</v>
      </c>
      <c r="O68" s="69">
        <f t="shared" si="20"/>
        <v>2</v>
      </c>
      <c r="P68" s="69">
        <f t="shared" si="21"/>
        <v>2</v>
      </c>
      <c r="Q68" s="69">
        <f t="shared" si="22"/>
        <v>2</v>
      </c>
      <c r="R68" s="70">
        <f t="shared" si="23"/>
        <v>0.40546510810816438</v>
      </c>
      <c r="S68" s="70">
        <f t="shared" si="24"/>
        <v>0.40546510810816438</v>
      </c>
      <c r="T68" s="70">
        <f t="shared" si="25"/>
        <v>0.34360302186915948</v>
      </c>
      <c r="U68" s="70">
        <f t="shared" si="26"/>
        <v>0.34360302186915948</v>
      </c>
      <c r="V68" s="70">
        <f t="shared" si="27"/>
        <v>0.91287092917527679</v>
      </c>
      <c r="W68" s="70">
        <f t="shared" si="28"/>
        <v>0.91287092917527679</v>
      </c>
      <c r="X68" s="70">
        <f t="shared" si="29"/>
        <v>0</v>
      </c>
      <c r="Y68" s="70">
        <f t="shared" si="30"/>
        <v>1.2909944487358056</v>
      </c>
      <c r="Z68" s="70">
        <f t="shared" si="31"/>
        <v>0</v>
      </c>
      <c r="AA68" s="69" t="str">
        <f t="shared" si="32"/>
        <v>Negligible</v>
      </c>
      <c r="AB68" s="69" t="str">
        <f t="shared" si="33"/>
        <v>Tidak Ada Indikasi Bias</v>
      </c>
    </row>
    <row r="69" spans="1:28" ht="87.5" x14ac:dyDescent="0.35">
      <c r="A69" s="71" t="str">
        <f>IMR!A63</f>
        <v>59. ISO 21001:2018 mensyaratkan organisasi pendidikan untuk melakukan analisis kebutuhan dalam menentukan produk dan layanan pendidikan, terdapat beberapa faktor yang harus dipertimbangkan. Pilihlah jawaban yang benar terkait faktor tersebut.</v>
      </c>
      <c r="B69" s="69">
        <f>IMR!B63</f>
        <v>0</v>
      </c>
      <c r="C69" s="69">
        <f>IMR!C63</f>
        <v>1</v>
      </c>
      <c r="D69" s="69">
        <f>IMR!D63</f>
        <v>0</v>
      </c>
      <c r="E69" s="69">
        <f>IMR!E63</f>
        <v>0</v>
      </c>
      <c r="F69" s="69">
        <f>IMR!F63</f>
        <v>0</v>
      </c>
      <c r="G69" s="69">
        <f>IMR!G63</f>
        <v>0</v>
      </c>
      <c r="H69" s="69">
        <f>IMR!H63</f>
        <v>0</v>
      </c>
      <c r="I69" s="69">
        <f>IMR!I63</f>
        <v>1</v>
      </c>
      <c r="J69" s="69">
        <f>IMR!J63</f>
        <v>1</v>
      </c>
      <c r="K69" s="69">
        <f>IMR!K63</f>
        <v>1</v>
      </c>
      <c r="L69" s="69">
        <f t="shared" si="17"/>
        <v>5</v>
      </c>
      <c r="M69" s="69">
        <f t="shared" si="18"/>
        <v>5</v>
      </c>
      <c r="N69" s="69">
        <f t="shared" si="19"/>
        <v>2</v>
      </c>
      <c r="O69" s="69">
        <f t="shared" si="20"/>
        <v>2</v>
      </c>
      <c r="P69" s="69">
        <f t="shared" si="21"/>
        <v>2</v>
      </c>
      <c r="Q69" s="69">
        <f t="shared" si="22"/>
        <v>2</v>
      </c>
      <c r="R69" s="70">
        <f t="shared" si="23"/>
        <v>0.40546510810816438</v>
      </c>
      <c r="S69" s="70">
        <f t="shared" si="24"/>
        <v>0.40546510810816438</v>
      </c>
      <c r="T69" s="70">
        <f t="shared" si="25"/>
        <v>0.34360302186915948</v>
      </c>
      <c r="U69" s="70">
        <f t="shared" si="26"/>
        <v>0.34360302186915948</v>
      </c>
      <c r="V69" s="70">
        <f t="shared" si="27"/>
        <v>0.91287092917527679</v>
      </c>
      <c r="W69" s="70">
        <f t="shared" si="28"/>
        <v>0.91287092917527679</v>
      </c>
      <c r="X69" s="70">
        <f t="shared" si="29"/>
        <v>0</v>
      </c>
      <c r="Y69" s="70">
        <f t="shared" si="30"/>
        <v>1.2909944487358056</v>
      </c>
      <c r="Z69" s="70">
        <f t="shared" si="31"/>
        <v>0</v>
      </c>
      <c r="AA69" s="69" t="str">
        <f t="shared" si="32"/>
        <v>Negligible</v>
      </c>
      <c r="AB69" s="69" t="str">
        <f t="shared" si="33"/>
        <v>Tidak Ada Indikasi Bias</v>
      </c>
    </row>
    <row r="70" spans="1:28" ht="25" x14ac:dyDescent="0.35">
      <c r="A70" s="71" t="str">
        <f>IMR!A64</f>
        <v>60. Terdapat 3 hal yang direncanakan dalam proses pembelajaran, yaitu …</v>
      </c>
      <c r="B70" s="69">
        <f>IMR!B64</f>
        <v>0</v>
      </c>
      <c r="C70" s="69">
        <f>IMR!C64</f>
        <v>1</v>
      </c>
      <c r="D70" s="69">
        <f>IMR!D64</f>
        <v>0</v>
      </c>
      <c r="E70" s="69">
        <f>IMR!E64</f>
        <v>1</v>
      </c>
      <c r="F70" s="69">
        <f>IMR!F64</f>
        <v>1</v>
      </c>
      <c r="G70" s="69">
        <f>IMR!G64</f>
        <v>1</v>
      </c>
      <c r="H70" s="69">
        <f>IMR!H64</f>
        <v>1</v>
      </c>
      <c r="I70" s="69">
        <f>IMR!I64</f>
        <v>1</v>
      </c>
      <c r="J70" s="69">
        <f>IMR!J64</f>
        <v>1</v>
      </c>
      <c r="K70" s="69">
        <f>IMR!K64</f>
        <v>1</v>
      </c>
      <c r="L70" s="69">
        <f t="shared" si="17"/>
        <v>5</v>
      </c>
      <c r="M70" s="69">
        <f t="shared" si="18"/>
        <v>5</v>
      </c>
      <c r="N70" s="69">
        <f t="shared" si="19"/>
        <v>4</v>
      </c>
      <c r="O70" s="69">
        <f t="shared" si="20"/>
        <v>4</v>
      </c>
      <c r="P70" s="69">
        <f t="shared" si="21"/>
        <v>4</v>
      </c>
      <c r="Q70" s="69">
        <f t="shared" si="22"/>
        <v>4</v>
      </c>
      <c r="R70" s="70">
        <f t="shared" si="23"/>
        <v>-1.3862943611198906</v>
      </c>
      <c r="S70" s="70">
        <f t="shared" si="24"/>
        <v>-1.3862943611198906</v>
      </c>
      <c r="T70" s="70">
        <f t="shared" si="25"/>
        <v>-1.4481564473588955</v>
      </c>
      <c r="U70" s="70">
        <f t="shared" si="26"/>
        <v>-1.4481564473588955</v>
      </c>
      <c r="V70" s="70">
        <f t="shared" si="27"/>
        <v>1.1180339887498949</v>
      </c>
      <c r="W70" s="70">
        <f t="shared" si="28"/>
        <v>1.1180339887498949</v>
      </c>
      <c r="X70" s="70">
        <f t="shared" si="29"/>
        <v>0</v>
      </c>
      <c r="Y70" s="70">
        <f t="shared" si="30"/>
        <v>1.5811388300841898</v>
      </c>
      <c r="Z70" s="70">
        <f t="shared" si="31"/>
        <v>0</v>
      </c>
      <c r="AA70" s="69" t="str">
        <f t="shared" si="32"/>
        <v>Negligible</v>
      </c>
      <c r="AB70" s="69" t="str">
        <f t="shared" si="33"/>
        <v>Tidak Ada Indikasi Bias</v>
      </c>
    </row>
    <row r="71" spans="1:28" ht="50" x14ac:dyDescent="0.35">
      <c r="A71" s="71" t="str">
        <f>IMR!A65</f>
        <v>61. Bentuk penilaian hasil belajar dapat berupa penilaian formatif dan sumatif, tujuan penilaian formatif adalah sebagai berikut, kecuali …</v>
      </c>
      <c r="B71" s="69">
        <f>IMR!B65</f>
        <v>1</v>
      </c>
      <c r="C71" s="69">
        <f>IMR!C65</f>
        <v>1</v>
      </c>
      <c r="D71" s="69">
        <f>IMR!D65</f>
        <v>0</v>
      </c>
      <c r="E71" s="69">
        <f>IMR!E65</f>
        <v>1</v>
      </c>
      <c r="F71" s="69">
        <f>IMR!F65</f>
        <v>1</v>
      </c>
      <c r="G71" s="69">
        <f>IMR!G65</f>
        <v>0</v>
      </c>
      <c r="H71" s="69">
        <f>IMR!H65</f>
        <v>0</v>
      </c>
      <c r="I71" s="69">
        <f>IMR!I65</f>
        <v>0</v>
      </c>
      <c r="J71" s="69">
        <f>IMR!J65</f>
        <v>0</v>
      </c>
      <c r="K71" s="69">
        <f>IMR!K65</f>
        <v>0</v>
      </c>
      <c r="L71" s="69">
        <f t="shared" si="17"/>
        <v>5</v>
      </c>
      <c r="M71" s="69">
        <f t="shared" si="18"/>
        <v>5</v>
      </c>
      <c r="N71" s="69">
        <f t="shared" si="19"/>
        <v>2</v>
      </c>
      <c r="O71" s="69">
        <f t="shared" si="20"/>
        <v>2</v>
      </c>
      <c r="P71" s="69">
        <f t="shared" si="21"/>
        <v>2</v>
      </c>
      <c r="Q71" s="69">
        <f t="shared" si="22"/>
        <v>2</v>
      </c>
      <c r="R71" s="70">
        <f t="shared" si="23"/>
        <v>0.40546510810816438</v>
      </c>
      <c r="S71" s="70">
        <f t="shared" si="24"/>
        <v>0.40546510810816438</v>
      </c>
      <c r="T71" s="70">
        <f t="shared" si="25"/>
        <v>0.34360302186915948</v>
      </c>
      <c r="U71" s="70">
        <f t="shared" si="26"/>
        <v>0.34360302186915948</v>
      </c>
      <c r="V71" s="70">
        <f t="shared" si="27"/>
        <v>0.91287092917527679</v>
      </c>
      <c r="W71" s="70">
        <f t="shared" si="28"/>
        <v>0.91287092917527679</v>
      </c>
      <c r="X71" s="70">
        <f t="shared" si="29"/>
        <v>0</v>
      </c>
      <c r="Y71" s="70">
        <f t="shared" si="30"/>
        <v>1.2909944487358056</v>
      </c>
      <c r="Z71" s="70">
        <f t="shared" si="31"/>
        <v>0</v>
      </c>
      <c r="AA71" s="69" t="str">
        <f t="shared" si="32"/>
        <v>Negligible</v>
      </c>
      <c r="AB71" s="69" t="str">
        <f t="shared" si="33"/>
        <v>Tidak Ada Indikasi Bias</v>
      </c>
    </row>
    <row r="72" spans="1:28" ht="75" x14ac:dyDescent="0.35">
      <c r="A72" s="71" t="str">
        <f>IMR!A66</f>
        <v>62. Standar pengelolaan memuat kriteria minimal mengenai perencanaan, pelaksanaan, serta pengawasan kegiatan pendidikan untuk mencapai standar kompetensi lulusan. Perencanaan kegiatan pendidikan yang dimaksud adalah …</v>
      </c>
      <c r="B72" s="69">
        <f>IMR!B66</f>
        <v>0</v>
      </c>
      <c r="C72" s="69">
        <f>IMR!C66</f>
        <v>1</v>
      </c>
      <c r="D72" s="69">
        <f>IMR!D66</f>
        <v>0</v>
      </c>
      <c r="E72" s="69">
        <f>IMR!E66</f>
        <v>0</v>
      </c>
      <c r="F72" s="69">
        <f>IMR!F66</f>
        <v>0</v>
      </c>
      <c r="G72" s="69">
        <f>IMR!G66</f>
        <v>0</v>
      </c>
      <c r="H72" s="69">
        <f>IMR!H66</f>
        <v>1</v>
      </c>
      <c r="I72" s="69">
        <f>IMR!I66</f>
        <v>0</v>
      </c>
      <c r="J72" s="69">
        <f>IMR!J66</f>
        <v>1</v>
      </c>
      <c r="K72" s="69">
        <f>IMR!K66</f>
        <v>1</v>
      </c>
      <c r="L72" s="69">
        <f t="shared" si="17"/>
        <v>5</v>
      </c>
      <c r="M72" s="69">
        <f t="shared" si="18"/>
        <v>5</v>
      </c>
      <c r="N72" s="69">
        <f t="shared" si="19"/>
        <v>2</v>
      </c>
      <c r="O72" s="69">
        <f t="shared" si="20"/>
        <v>2</v>
      </c>
      <c r="P72" s="69">
        <f t="shared" si="21"/>
        <v>2</v>
      </c>
      <c r="Q72" s="69">
        <f t="shared" si="22"/>
        <v>2</v>
      </c>
      <c r="R72" s="70">
        <f t="shared" si="23"/>
        <v>0.40546510810816438</v>
      </c>
      <c r="S72" s="70">
        <f t="shared" si="24"/>
        <v>0.40546510810816438</v>
      </c>
      <c r="T72" s="70">
        <f t="shared" si="25"/>
        <v>0.34360302186915948</v>
      </c>
      <c r="U72" s="70">
        <f t="shared" si="26"/>
        <v>0.34360302186915948</v>
      </c>
      <c r="V72" s="70">
        <f t="shared" si="27"/>
        <v>0.91287092917527679</v>
      </c>
      <c r="W72" s="70">
        <f t="shared" si="28"/>
        <v>0.91287092917527679</v>
      </c>
      <c r="X72" s="70">
        <f t="shared" si="29"/>
        <v>0</v>
      </c>
      <c r="Y72" s="70">
        <f t="shared" si="30"/>
        <v>1.2909944487358056</v>
      </c>
      <c r="Z72" s="70">
        <f t="shared" si="31"/>
        <v>0</v>
      </c>
      <c r="AA72" s="69" t="str">
        <f t="shared" si="32"/>
        <v>Negligible</v>
      </c>
      <c r="AB72" s="69" t="str">
        <f t="shared" si="33"/>
        <v>Tidak Ada Indikasi Bias</v>
      </c>
    </row>
    <row r="73" spans="1:28" ht="87.5" x14ac:dyDescent="0.35">
      <c r="A73" s="71" t="str">
        <f>IMR!A67</f>
        <v>63. Standar pengelolaan memuat kriteria minimal mengenai perencanaan, pelaksanaan, serta pengawasan kegiatan pendidikan untuk mencapai standar kompetensi lulusan. pelaksanaan kegiatan pendidikan minimal meliputi pengelolaan sebagai berikut, kecuali …</v>
      </c>
      <c r="B73" s="69">
        <f>IMR!B67</f>
        <v>1</v>
      </c>
      <c r="C73" s="69">
        <f>IMR!C67</f>
        <v>1</v>
      </c>
      <c r="D73" s="69">
        <f>IMR!D67</f>
        <v>0</v>
      </c>
      <c r="E73" s="69">
        <f>IMR!E67</f>
        <v>0</v>
      </c>
      <c r="F73" s="69">
        <f>IMR!F67</f>
        <v>1</v>
      </c>
      <c r="G73" s="69">
        <f>IMR!G67</f>
        <v>0</v>
      </c>
      <c r="H73" s="69">
        <f>IMR!H67</f>
        <v>0</v>
      </c>
      <c r="I73" s="69">
        <f>IMR!I67</f>
        <v>0</v>
      </c>
      <c r="J73" s="69">
        <f>IMR!J67</f>
        <v>0</v>
      </c>
      <c r="K73" s="69">
        <f>IMR!K67</f>
        <v>1</v>
      </c>
      <c r="L73" s="69">
        <f t="shared" si="17"/>
        <v>5</v>
      </c>
      <c r="M73" s="69">
        <f t="shared" si="18"/>
        <v>5</v>
      </c>
      <c r="N73" s="69">
        <f t="shared" si="19"/>
        <v>2</v>
      </c>
      <c r="O73" s="69">
        <f t="shared" si="20"/>
        <v>2</v>
      </c>
      <c r="P73" s="69">
        <f t="shared" si="21"/>
        <v>2</v>
      </c>
      <c r="Q73" s="69">
        <f t="shared" si="22"/>
        <v>2</v>
      </c>
      <c r="R73" s="70">
        <f t="shared" si="23"/>
        <v>0.40546510810816438</v>
      </c>
      <c r="S73" s="70">
        <f t="shared" si="24"/>
        <v>0.40546510810816438</v>
      </c>
      <c r="T73" s="70">
        <f t="shared" si="25"/>
        <v>0.34360302186915948</v>
      </c>
      <c r="U73" s="70">
        <f t="shared" si="26"/>
        <v>0.34360302186915948</v>
      </c>
      <c r="V73" s="70">
        <f t="shared" si="27"/>
        <v>0.91287092917527679</v>
      </c>
      <c r="W73" s="70">
        <f t="shared" si="28"/>
        <v>0.91287092917527679</v>
      </c>
      <c r="X73" s="70">
        <f t="shared" si="29"/>
        <v>0</v>
      </c>
      <c r="Y73" s="70">
        <f t="shared" si="30"/>
        <v>1.2909944487358056</v>
      </c>
      <c r="Z73" s="70">
        <f t="shared" si="31"/>
        <v>0</v>
      </c>
      <c r="AA73" s="69" t="str">
        <f t="shared" si="32"/>
        <v>Negligible</v>
      </c>
      <c r="AB73" s="69" t="str">
        <f t="shared" si="33"/>
        <v>Tidak Ada Indikasi Bias</v>
      </c>
    </row>
    <row r="74" spans="1:28" ht="87.5" x14ac:dyDescent="0.35">
      <c r="A74" s="71" t="str">
        <f>IMR!A68</f>
        <v>64. Standar pengelolaan memuat kriteria minimal mengenai perencanaan, pelaksanaan, serta pengawasan kegiatan pendidikan untuk mencapai standar kompetensi lulusan. Pengawasan kegiatan pendidikan minimal meliputi pengawasan sebagai berikut, kecuali …</v>
      </c>
      <c r="B74" s="69">
        <f>IMR!B68</f>
        <v>1</v>
      </c>
      <c r="C74" s="69">
        <f>IMR!C68</f>
        <v>1</v>
      </c>
      <c r="D74" s="69">
        <f>IMR!D68</f>
        <v>1</v>
      </c>
      <c r="E74" s="69">
        <f>IMR!E68</f>
        <v>1</v>
      </c>
      <c r="F74" s="69">
        <f>IMR!F68</f>
        <v>1</v>
      </c>
      <c r="G74" s="69">
        <f>IMR!G68</f>
        <v>1</v>
      </c>
      <c r="H74" s="69">
        <f>IMR!H68</f>
        <v>0</v>
      </c>
      <c r="I74" s="69">
        <f>IMR!I68</f>
        <v>1</v>
      </c>
      <c r="J74" s="69">
        <f>IMR!J68</f>
        <v>1</v>
      </c>
      <c r="K74" s="69">
        <f>IMR!K68</f>
        <v>0</v>
      </c>
      <c r="L74" s="69">
        <f t="shared" si="17"/>
        <v>5</v>
      </c>
      <c r="M74" s="69">
        <f t="shared" si="18"/>
        <v>5</v>
      </c>
      <c r="N74" s="69">
        <f t="shared" si="19"/>
        <v>4</v>
      </c>
      <c r="O74" s="69">
        <f t="shared" si="20"/>
        <v>4</v>
      </c>
      <c r="P74" s="69">
        <f t="shared" si="21"/>
        <v>4</v>
      </c>
      <c r="Q74" s="69">
        <f t="shared" si="22"/>
        <v>4</v>
      </c>
      <c r="R74" s="70">
        <f t="shared" si="23"/>
        <v>-1.3862943611198906</v>
      </c>
      <c r="S74" s="70">
        <f t="shared" si="24"/>
        <v>-1.3862943611198906</v>
      </c>
      <c r="T74" s="70">
        <f t="shared" si="25"/>
        <v>-1.4481564473588955</v>
      </c>
      <c r="U74" s="70">
        <f t="shared" si="26"/>
        <v>-1.4481564473588955</v>
      </c>
      <c r="V74" s="70">
        <f t="shared" si="27"/>
        <v>1.1180339887498949</v>
      </c>
      <c r="W74" s="70">
        <f t="shared" si="28"/>
        <v>1.1180339887498949</v>
      </c>
      <c r="X74" s="70">
        <f t="shared" si="29"/>
        <v>0</v>
      </c>
      <c r="Y74" s="70">
        <f t="shared" si="30"/>
        <v>1.5811388300841898</v>
      </c>
      <c r="Z74" s="70">
        <f t="shared" si="31"/>
        <v>0</v>
      </c>
      <c r="AA74" s="69" t="str">
        <f t="shared" si="32"/>
        <v>Negligible</v>
      </c>
      <c r="AB74" s="69" t="str">
        <f t="shared" si="33"/>
        <v>Tidak Ada Indikasi Bias</v>
      </c>
    </row>
    <row r="75" spans="1:28" ht="25" x14ac:dyDescent="0.35">
      <c r="A75" s="71" t="str">
        <f>IMR!A69</f>
        <v>65. Kompetensi dosen untuk pembelajaran peserta didik merupakan kompetensi …</v>
      </c>
      <c r="B75" s="69">
        <f>IMR!B69</f>
        <v>0</v>
      </c>
      <c r="C75" s="69">
        <f>IMR!C69</f>
        <v>0</v>
      </c>
      <c r="D75" s="69">
        <f>IMR!D69</f>
        <v>0</v>
      </c>
      <c r="E75" s="69">
        <f>IMR!E69</f>
        <v>0</v>
      </c>
      <c r="F75" s="69">
        <f>IMR!F69</f>
        <v>0</v>
      </c>
      <c r="G75" s="69">
        <f>IMR!G69</f>
        <v>0</v>
      </c>
      <c r="H75" s="69">
        <f>IMR!H69</f>
        <v>1</v>
      </c>
      <c r="I75" s="69">
        <f>IMR!I69</f>
        <v>0</v>
      </c>
      <c r="J75" s="69">
        <f>IMR!J69</f>
        <v>1</v>
      </c>
      <c r="K75" s="69">
        <f>IMR!K69</f>
        <v>0</v>
      </c>
      <c r="L75" s="69">
        <f t="shared" ref="L75:L110" si="34">COUNTIF($B$8:$K$8,"Laki-Laki")</f>
        <v>5</v>
      </c>
      <c r="M75" s="69">
        <f t="shared" ref="M75:M110" si="35">COUNTIF($B$8:$K$8,"Perempuan")</f>
        <v>5</v>
      </c>
      <c r="N75" s="69">
        <f t="shared" ref="N75:N110" si="36">SUMIF($B$8:$K$8,"Laki-Laki",B75:K75)</f>
        <v>1</v>
      </c>
      <c r="O75" s="69">
        <f t="shared" ref="O75:O110" si="37">SUMIF($B$8:$K$8,"Perempuan",B75:K75)</f>
        <v>1</v>
      </c>
      <c r="P75" s="69">
        <f t="shared" ref="P75:P110" si="38">IF(N75=0,0.3,IF(N75=L75,L75-0.3,N75))</f>
        <v>1</v>
      </c>
      <c r="Q75" s="69">
        <f t="shared" ref="Q75:Q110" si="39">IF(O75=0,0.3,IF(O75=M75,M75-0.3,O75))</f>
        <v>1</v>
      </c>
      <c r="R75" s="70">
        <f t="shared" ref="R75:R110" si="40">LN((L75-P75)/P75)</f>
        <v>1.3862943611198906</v>
      </c>
      <c r="S75" s="70">
        <f t="shared" ref="S75:S110" si="41">LN((M75-Q75)/Q75)</f>
        <v>1.3862943611198906</v>
      </c>
      <c r="T75" s="70">
        <f t="shared" ref="T75:T110" si="42">R75-AVERAGE($R$11:$R$110)</f>
        <v>1.3244322748808857</v>
      </c>
      <c r="U75" s="70">
        <f t="shared" ref="U75:U110" si="43">S75-AVERAGE($S$11:$S$110)</f>
        <v>1.3244322748808857</v>
      </c>
      <c r="V75" s="70">
        <f t="shared" ref="V75:V110" si="44">SQRT(1/P75+1/(L75-P75))</f>
        <v>1.1180339887498949</v>
      </c>
      <c r="W75" s="70">
        <f t="shared" ref="W75:W110" si="45">SQRT(1/Q75+1/(M75-Q75))</f>
        <v>1.1180339887498949</v>
      </c>
      <c r="X75" s="70">
        <f t="shared" ref="X75:X110" si="46">T75-U75</f>
        <v>0</v>
      </c>
      <c r="Y75" s="70">
        <f t="shared" ref="Y75:Y110" si="47">SQRT(V75^2+W75^2)</f>
        <v>1.5811388300841898</v>
      </c>
      <c r="Z75" s="70">
        <f t="shared" ref="Z75:Z106" si="48">X75/Y75</f>
        <v>0</v>
      </c>
      <c r="AA75" s="69" t="str">
        <f t="shared" ref="AA75:AA106" si="49">IF(AND(ABS(X75)&gt;=$B$4,ABS(Z75)&gt;=$B$5),"DIF Besar - review",IF(AND(ABS(X75)&gt;=$B$3,ABS(Z75)&gt;=$B$5),"DIF Moderat - cek","Negligible"))</f>
        <v>Negligible</v>
      </c>
      <c r="AB75" s="69" t="str">
        <f t="shared" ref="AB75:AB110" si="50">IF(ABS(X75)&gt;=$B$4,"Berpotensi Bias - Tinjau Konten",IF(ABS(X75)&gt;=$B$3,"Indikasi Ringan - Pantau","Tidak Ada Indikasi Bias"))</f>
        <v>Tidak Ada Indikasi Bias</v>
      </c>
    </row>
    <row r="76" spans="1:28" ht="25" x14ac:dyDescent="0.35">
      <c r="A76" s="71" t="str">
        <f>IMR!A70</f>
        <v>66. Dalam melaksanakan penelitian, perguran tingi harus menetapkan …</v>
      </c>
      <c r="B76" s="69">
        <f>IMR!B70</f>
        <v>1</v>
      </c>
      <c r="C76" s="69">
        <f>IMR!C70</f>
        <v>1</v>
      </c>
      <c r="D76" s="69">
        <f>IMR!D70</f>
        <v>1</v>
      </c>
      <c r="E76" s="69">
        <f>IMR!E70</f>
        <v>1</v>
      </c>
      <c r="F76" s="69">
        <f>IMR!F70</f>
        <v>1</v>
      </c>
      <c r="G76" s="69">
        <f>IMR!G70</f>
        <v>1</v>
      </c>
      <c r="H76" s="69">
        <f>IMR!H70</f>
        <v>1</v>
      </c>
      <c r="I76" s="69">
        <f>IMR!I70</f>
        <v>0</v>
      </c>
      <c r="J76" s="69">
        <f>IMR!J70</f>
        <v>1</v>
      </c>
      <c r="K76" s="69">
        <f>IMR!K70</f>
        <v>0</v>
      </c>
      <c r="L76" s="69">
        <f t="shared" si="34"/>
        <v>5</v>
      </c>
      <c r="M76" s="69">
        <f t="shared" si="35"/>
        <v>5</v>
      </c>
      <c r="N76" s="69">
        <f t="shared" si="36"/>
        <v>4</v>
      </c>
      <c r="O76" s="69">
        <f t="shared" si="37"/>
        <v>4</v>
      </c>
      <c r="P76" s="69">
        <f t="shared" si="38"/>
        <v>4</v>
      </c>
      <c r="Q76" s="69">
        <f t="shared" si="39"/>
        <v>4</v>
      </c>
      <c r="R76" s="70">
        <f t="shared" si="40"/>
        <v>-1.3862943611198906</v>
      </c>
      <c r="S76" s="70">
        <f t="shared" si="41"/>
        <v>-1.3862943611198906</v>
      </c>
      <c r="T76" s="70">
        <f t="shared" si="42"/>
        <v>-1.4481564473588955</v>
      </c>
      <c r="U76" s="70">
        <f t="shared" si="43"/>
        <v>-1.4481564473588955</v>
      </c>
      <c r="V76" s="70">
        <f t="shared" si="44"/>
        <v>1.1180339887498949</v>
      </c>
      <c r="W76" s="70">
        <f t="shared" si="45"/>
        <v>1.1180339887498949</v>
      </c>
      <c r="X76" s="70">
        <f t="shared" si="46"/>
        <v>0</v>
      </c>
      <c r="Y76" s="70">
        <f t="shared" si="47"/>
        <v>1.5811388300841898</v>
      </c>
      <c r="Z76" s="70">
        <f t="shared" si="48"/>
        <v>0</v>
      </c>
      <c r="AA76" s="69" t="str">
        <f t="shared" si="49"/>
        <v>Negligible</v>
      </c>
      <c r="AB76" s="69" t="str">
        <f t="shared" si="50"/>
        <v>Tidak Ada Indikasi Bias</v>
      </c>
    </row>
    <row r="77" spans="1:28" ht="50" x14ac:dyDescent="0.35">
      <c r="A77" s="71" t="str">
        <f>IMR!A71</f>
        <v>67. Organisasi pendidikan harus menyediakan sarana dan prasarana untuk peserta didik dengan ketentuan sebagai berikut, kecuali …</v>
      </c>
      <c r="B77" s="69">
        <f>IMR!B71</f>
        <v>1</v>
      </c>
      <c r="C77" s="69">
        <f>IMR!C71</f>
        <v>1</v>
      </c>
      <c r="D77" s="69">
        <f>IMR!D71</f>
        <v>1</v>
      </c>
      <c r="E77" s="69">
        <f>IMR!E71</f>
        <v>0</v>
      </c>
      <c r="F77" s="69">
        <f>IMR!F71</f>
        <v>0</v>
      </c>
      <c r="G77" s="69">
        <f>IMR!G71</f>
        <v>0</v>
      </c>
      <c r="H77" s="69">
        <f>IMR!H71</f>
        <v>0</v>
      </c>
      <c r="I77" s="69">
        <f>IMR!I71</f>
        <v>0</v>
      </c>
      <c r="J77" s="69">
        <f>IMR!J71</f>
        <v>1</v>
      </c>
      <c r="K77" s="69">
        <f>IMR!K71</f>
        <v>0</v>
      </c>
      <c r="L77" s="69">
        <f t="shared" si="34"/>
        <v>5</v>
      </c>
      <c r="M77" s="69">
        <f t="shared" si="35"/>
        <v>5</v>
      </c>
      <c r="N77" s="69">
        <f t="shared" si="36"/>
        <v>2</v>
      </c>
      <c r="O77" s="69">
        <f t="shared" si="37"/>
        <v>2</v>
      </c>
      <c r="P77" s="69">
        <f t="shared" si="38"/>
        <v>2</v>
      </c>
      <c r="Q77" s="69">
        <f t="shared" si="39"/>
        <v>2</v>
      </c>
      <c r="R77" s="70">
        <f t="shared" si="40"/>
        <v>0.40546510810816438</v>
      </c>
      <c r="S77" s="70">
        <f t="shared" si="41"/>
        <v>0.40546510810816438</v>
      </c>
      <c r="T77" s="70">
        <f t="shared" si="42"/>
        <v>0.34360302186915948</v>
      </c>
      <c r="U77" s="70">
        <f t="shared" si="43"/>
        <v>0.34360302186915948</v>
      </c>
      <c r="V77" s="70">
        <f t="shared" si="44"/>
        <v>0.91287092917527679</v>
      </c>
      <c r="W77" s="70">
        <f t="shared" si="45"/>
        <v>0.91287092917527679</v>
      </c>
      <c r="X77" s="70">
        <f t="shared" si="46"/>
        <v>0</v>
      </c>
      <c r="Y77" s="70">
        <f t="shared" si="47"/>
        <v>1.2909944487358056</v>
      </c>
      <c r="Z77" s="70">
        <f t="shared" si="48"/>
        <v>0</v>
      </c>
      <c r="AA77" s="69" t="str">
        <f t="shared" si="49"/>
        <v>Negligible</v>
      </c>
      <c r="AB77" s="69" t="str">
        <f t="shared" si="50"/>
        <v>Tidak Ada Indikasi Bias</v>
      </c>
    </row>
    <row r="78" spans="1:28" ht="62.5" x14ac:dyDescent="0.35">
      <c r="A78" s="71" t="str">
        <f>IMR!A72</f>
        <v>68. Sumber pengetahuan organisasi dapat berasal dari internal maupun eksternal. Berikut adalah sumber pengetahuan organisasi yang berasal dari internal, kecuali …</v>
      </c>
      <c r="B78" s="69">
        <f>IMR!B72</f>
        <v>1</v>
      </c>
      <c r="C78" s="69">
        <f>IMR!C72</f>
        <v>0</v>
      </c>
      <c r="D78" s="69">
        <f>IMR!D72</f>
        <v>0</v>
      </c>
      <c r="E78" s="69">
        <f>IMR!E72</f>
        <v>0</v>
      </c>
      <c r="F78" s="69">
        <f>IMR!F72</f>
        <v>0</v>
      </c>
      <c r="G78" s="69">
        <f>IMR!G72</f>
        <v>1</v>
      </c>
      <c r="H78" s="69">
        <f>IMR!H72</f>
        <v>0</v>
      </c>
      <c r="I78" s="69">
        <f>IMR!I72</f>
        <v>0</v>
      </c>
      <c r="J78" s="69">
        <f>IMR!J72</f>
        <v>1</v>
      </c>
      <c r="K78" s="69">
        <f>IMR!K72</f>
        <v>1</v>
      </c>
      <c r="L78" s="69">
        <f t="shared" si="34"/>
        <v>5</v>
      </c>
      <c r="M78" s="69">
        <f t="shared" si="35"/>
        <v>5</v>
      </c>
      <c r="N78" s="69">
        <f t="shared" si="36"/>
        <v>2</v>
      </c>
      <c r="O78" s="69">
        <f t="shared" si="37"/>
        <v>2</v>
      </c>
      <c r="P78" s="69">
        <f t="shared" si="38"/>
        <v>2</v>
      </c>
      <c r="Q78" s="69">
        <f t="shared" si="39"/>
        <v>2</v>
      </c>
      <c r="R78" s="70">
        <f t="shared" si="40"/>
        <v>0.40546510810816438</v>
      </c>
      <c r="S78" s="70">
        <f t="shared" si="41"/>
        <v>0.40546510810816438</v>
      </c>
      <c r="T78" s="70">
        <f t="shared" si="42"/>
        <v>0.34360302186915948</v>
      </c>
      <c r="U78" s="70">
        <f t="shared" si="43"/>
        <v>0.34360302186915948</v>
      </c>
      <c r="V78" s="70">
        <f t="shared" si="44"/>
        <v>0.91287092917527679</v>
      </c>
      <c r="W78" s="70">
        <f t="shared" si="45"/>
        <v>0.91287092917527679</v>
      </c>
      <c r="X78" s="70">
        <f t="shared" si="46"/>
        <v>0</v>
      </c>
      <c r="Y78" s="70">
        <f t="shared" si="47"/>
        <v>1.2909944487358056</v>
      </c>
      <c r="Z78" s="70">
        <f t="shared" si="48"/>
        <v>0</v>
      </c>
      <c r="AA78" s="69" t="str">
        <f t="shared" si="49"/>
        <v>Negligible</v>
      </c>
      <c r="AB78" s="69" t="str">
        <f t="shared" si="50"/>
        <v>Tidak Ada Indikasi Bias</v>
      </c>
    </row>
    <row r="79" spans="1:28" ht="37.5" x14ac:dyDescent="0.35">
      <c r="A79" s="71" t="str">
        <f>IMR!A73</f>
        <v>69. Untuk memastikan ketersediaan pendanaan secara berkelanjutan, organisasi harus menyusun …</v>
      </c>
      <c r="B79" s="69">
        <f>IMR!B73</f>
        <v>0</v>
      </c>
      <c r="C79" s="69">
        <f>IMR!C73</f>
        <v>0</v>
      </c>
      <c r="D79" s="69">
        <f>IMR!D73</f>
        <v>0</v>
      </c>
      <c r="E79" s="69">
        <f>IMR!E73</f>
        <v>0</v>
      </c>
      <c r="F79" s="69">
        <f>IMR!F73</f>
        <v>0</v>
      </c>
      <c r="G79" s="69">
        <f>IMR!G73</f>
        <v>0</v>
      </c>
      <c r="H79" s="69">
        <f>IMR!H73</f>
        <v>1</v>
      </c>
      <c r="I79" s="69">
        <f>IMR!I73</f>
        <v>1</v>
      </c>
      <c r="J79" s="69">
        <f>IMR!J73</f>
        <v>1</v>
      </c>
      <c r="K79" s="69">
        <f>IMR!K73</f>
        <v>1</v>
      </c>
      <c r="L79" s="69">
        <f t="shared" si="34"/>
        <v>5</v>
      </c>
      <c r="M79" s="69">
        <f t="shared" si="35"/>
        <v>5</v>
      </c>
      <c r="N79" s="69">
        <f t="shared" si="36"/>
        <v>2</v>
      </c>
      <c r="O79" s="69">
        <f t="shared" si="37"/>
        <v>2</v>
      </c>
      <c r="P79" s="69">
        <f t="shared" si="38"/>
        <v>2</v>
      </c>
      <c r="Q79" s="69">
        <f t="shared" si="39"/>
        <v>2</v>
      </c>
      <c r="R79" s="70">
        <f t="shared" si="40"/>
        <v>0.40546510810816438</v>
      </c>
      <c r="S79" s="70">
        <f t="shared" si="41"/>
        <v>0.40546510810816438</v>
      </c>
      <c r="T79" s="70">
        <f t="shared" si="42"/>
        <v>0.34360302186915948</v>
      </c>
      <c r="U79" s="70">
        <f t="shared" si="43"/>
        <v>0.34360302186915948</v>
      </c>
      <c r="V79" s="70">
        <f t="shared" si="44"/>
        <v>0.91287092917527679</v>
      </c>
      <c r="W79" s="70">
        <f t="shared" si="45"/>
        <v>0.91287092917527679</v>
      </c>
      <c r="X79" s="70">
        <f t="shared" si="46"/>
        <v>0</v>
      </c>
      <c r="Y79" s="70">
        <f t="shared" si="47"/>
        <v>1.2909944487358056</v>
      </c>
      <c r="Z79" s="70">
        <f t="shared" si="48"/>
        <v>0</v>
      </c>
      <c r="AA79" s="69" t="str">
        <f t="shared" si="49"/>
        <v>Negligible</v>
      </c>
      <c r="AB79" s="69" t="str">
        <f t="shared" si="50"/>
        <v>Tidak Ada Indikasi Bias</v>
      </c>
    </row>
    <row r="80" spans="1:28" ht="50" x14ac:dyDescent="0.35">
      <c r="A80" s="71" t="str">
        <f>IMR!A74</f>
        <v>70. Informasi minimum apa saja yang harus disediakan organisasi pendidikan ketika melakukan penerimaan peserta didik baru?</v>
      </c>
      <c r="B80" s="69">
        <f>IMR!B74</f>
        <v>0</v>
      </c>
      <c r="C80" s="69">
        <f>IMR!C74</f>
        <v>1</v>
      </c>
      <c r="D80" s="69">
        <f>IMR!D74</f>
        <v>1</v>
      </c>
      <c r="E80" s="69">
        <f>IMR!E74</f>
        <v>1</v>
      </c>
      <c r="F80" s="69">
        <f>IMR!F74</f>
        <v>1</v>
      </c>
      <c r="G80" s="69">
        <f>IMR!G74</f>
        <v>0</v>
      </c>
      <c r="H80" s="69">
        <f>IMR!H74</f>
        <v>1</v>
      </c>
      <c r="I80" s="69">
        <f>IMR!I74</f>
        <v>1</v>
      </c>
      <c r="J80" s="69">
        <f>IMR!J74</f>
        <v>0</v>
      </c>
      <c r="K80" s="69">
        <f>IMR!K74</f>
        <v>0</v>
      </c>
      <c r="L80" s="69">
        <f t="shared" si="34"/>
        <v>5</v>
      </c>
      <c r="M80" s="69">
        <f t="shared" si="35"/>
        <v>5</v>
      </c>
      <c r="N80" s="69">
        <f t="shared" si="36"/>
        <v>3</v>
      </c>
      <c r="O80" s="69">
        <f t="shared" si="37"/>
        <v>3</v>
      </c>
      <c r="P80" s="69">
        <f t="shared" si="38"/>
        <v>3</v>
      </c>
      <c r="Q80" s="69">
        <f t="shared" si="39"/>
        <v>3</v>
      </c>
      <c r="R80" s="70">
        <f t="shared" si="40"/>
        <v>-0.40546510810816444</v>
      </c>
      <c r="S80" s="70">
        <f t="shared" si="41"/>
        <v>-0.40546510810816444</v>
      </c>
      <c r="T80" s="70">
        <f t="shared" si="42"/>
        <v>-0.46732719434716941</v>
      </c>
      <c r="U80" s="70">
        <f t="shared" si="43"/>
        <v>-0.46732719434716941</v>
      </c>
      <c r="V80" s="70">
        <f t="shared" si="44"/>
        <v>0.91287092917527679</v>
      </c>
      <c r="W80" s="70">
        <f t="shared" si="45"/>
        <v>0.91287092917527679</v>
      </c>
      <c r="X80" s="70">
        <f t="shared" si="46"/>
        <v>0</v>
      </c>
      <c r="Y80" s="70">
        <f t="shared" si="47"/>
        <v>1.2909944487358056</v>
      </c>
      <c r="Z80" s="70">
        <f t="shared" si="48"/>
        <v>0</v>
      </c>
      <c r="AA80" s="69" t="str">
        <f t="shared" si="49"/>
        <v>Negligible</v>
      </c>
      <c r="AB80" s="69" t="str">
        <f t="shared" si="50"/>
        <v>Tidak Ada Indikasi Bias</v>
      </c>
    </row>
    <row r="81" spans="1:28" ht="37.5" x14ac:dyDescent="0.35">
      <c r="A81" s="71" t="str">
        <f>IMR!A75</f>
        <v>71. Dalam menyusun capaian pembelajaran lulusan, organisasi pendidikan harus memperhatikan …</v>
      </c>
      <c r="B81" s="69">
        <f>IMR!B75</f>
        <v>1</v>
      </c>
      <c r="C81" s="69">
        <f>IMR!C75</f>
        <v>1</v>
      </c>
      <c r="D81" s="69">
        <f>IMR!D75</f>
        <v>1</v>
      </c>
      <c r="E81" s="69">
        <f>IMR!E75</f>
        <v>0</v>
      </c>
      <c r="F81" s="69">
        <f>IMR!F75</f>
        <v>0</v>
      </c>
      <c r="G81" s="69">
        <f>IMR!G75</f>
        <v>0</v>
      </c>
      <c r="H81" s="69">
        <f>IMR!H75</f>
        <v>0</v>
      </c>
      <c r="I81" s="69">
        <f>IMR!I75</f>
        <v>0</v>
      </c>
      <c r="J81" s="69">
        <f>IMR!J75</f>
        <v>1</v>
      </c>
      <c r="K81" s="69">
        <f>IMR!K75</f>
        <v>0</v>
      </c>
      <c r="L81" s="69">
        <f t="shared" si="34"/>
        <v>5</v>
      </c>
      <c r="M81" s="69">
        <f t="shared" si="35"/>
        <v>5</v>
      </c>
      <c r="N81" s="69">
        <f t="shared" si="36"/>
        <v>2</v>
      </c>
      <c r="O81" s="69">
        <f t="shared" si="37"/>
        <v>2</v>
      </c>
      <c r="P81" s="69">
        <f t="shared" si="38"/>
        <v>2</v>
      </c>
      <c r="Q81" s="69">
        <f t="shared" si="39"/>
        <v>2</v>
      </c>
      <c r="R81" s="70">
        <f t="shared" si="40"/>
        <v>0.40546510810816438</v>
      </c>
      <c r="S81" s="70">
        <f t="shared" si="41"/>
        <v>0.40546510810816438</v>
      </c>
      <c r="T81" s="70">
        <f t="shared" si="42"/>
        <v>0.34360302186915948</v>
      </c>
      <c r="U81" s="70">
        <f t="shared" si="43"/>
        <v>0.34360302186915948</v>
      </c>
      <c r="V81" s="70">
        <f t="shared" si="44"/>
        <v>0.91287092917527679</v>
      </c>
      <c r="W81" s="70">
        <f t="shared" si="45"/>
        <v>0.91287092917527679</v>
      </c>
      <c r="X81" s="70">
        <f t="shared" si="46"/>
        <v>0</v>
      </c>
      <c r="Y81" s="70">
        <f t="shared" si="47"/>
        <v>1.2909944487358056</v>
      </c>
      <c r="Z81" s="70">
        <f t="shared" si="48"/>
        <v>0</v>
      </c>
      <c r="AA81" s="69" t="str">
        <f t="shared" si="49"/>
        <v>Negligible</v>
      </c>
      <c r="AB81" s="69" t="str">
        <f t="shared" si="50"/>
        <v>Tidak Ada Indikasi Bias</v>
      </c>
    </row>
    <row r="82" spans="1:28" ht="25" x14ac:dyDescent="0.35">
      <c r="A82" s="71" t="str">
        <f>IMR!A76</f>
        <v>72. Siapa yang bertugas menyusun kompetensi utama lulusan?</v>
      </c>
      <c r="B82" s="69">
        <f>IMR!B76</f>
        <v>0</v>
      </c>
      <c r="C82" s="69">
        <f>IMR!C76</f>
        <v>1</v>
      </c>
      <c r="D82" s="69">
        <f>IMR!D76</f>
        <v>1</v>
      </c>
      <c r="E82" s="69">
        <f>IMR!E76</f>
        <v>0</v>
      </c>
      <c r="F82" s="69">
        <f>IMR!F76</f>
        <v>0</v>
      </c>
      <c r="G82" s="69">
        <f>IMR!G76</f>
        <v>0</v>
      </c>
      <c r="H82" s="69">
        <f>IMR!H76</f>
        <v>1</v>
      </c>
      <c r="I82" s="69">
        <f>IMR!I76</f>
        <v>1</v>
      </c>
      <c r="J82" s="69">
        <f>IMR!J76</f>
        <v>1</v>
      </c>
      <c r="K82" s="69">
        <f>IMR!K76</f>
        <v>1</v>
      </c>
      <c r="L82" s="69">
        <f t="shared" si="34"/>
        <v>5</v>
      </c>
      <c r="M82" s="69">
        <f t="shared" si="35"/>
        <v>5</v>
      </c>
      <c r="N82" s="69">
        <f t="shared" si="36"/>
        <v>3</v>
      </c>
      <c r="O82" s="69">
        <f t="shared" si="37"/>
        <v>3</v>
      </c>
      <c r="P82" s="69">
        <f t="shared" si="38"/>
        <v>3</v>
      </c>
      <c r="Q82" s="69">
        <f t="shared" si="39"/>
        <v>3</v>
      </c>
      <c r="R82" s="70">
        <f t="shared" si="40"/>
        <v>-0.40546510810816444</v>
      </c>
      <c r="S82" s="70">
        <f t="shared" si="41"/>
        <v>-0.40546510810816444</v>
      </c>
      <c r="T82" s="70">
        <f t="shared" si="42"/>
        <v>-0.46732719434716941</v>
      </c>
      <c r="U82" s="70">
        <f t="shared" si="43"/>
        <v>-0.46732719434716941</v>
      </c>
      <c r="V82" s="70">
        <f t="shared" si="44"/>
        <v>0.91287092917527679</v>
      </c>
      <c r="W82" s="70">
        <f t="shared" si="45"/>
        <v>0.91287092917527679</v>
      </c>
      <c r="X82" s="70">
        <f t="shared" si="46"/>
        <v>0</v>
      </c>
      <c r="Y82" s="70">
        <f t="shared" si="47"/>
        <v>1.2909944487358056</v>
      </c>
      <c r="Z82" s="70">
        <f t="shared" si="48"/>
        <v>0</v>
      </c>
      <c r="AA82" s="69" t="str">
        <f t="shared" si="49"/>
        <v>Negligible</v>
      </c>
      <c r="AB82" s="69" t="str">
        <f t="shared" si="50"/>
        <v>Tidak Ada Indikasi Bias</v>
      </c>
    </row>
    <row r="83" spans="1:28" ht="25" x14ac:dyDescent="0.35">
      <c r="A83" s="71" t="str">
        <f>IMR!A77</f>
        <v>73. Hal berikut benar terkait capaian pembelajaran lulusan, kecuali …</v>
      </c>
      <c r="B83" s="69">
        <f>IMR!B77</f>
        <v>1</v>
      </c>
      <c r="C83" s="69">
        <f>IMR!C77</f>
        <v>0</v>
      </c>
      <c r="D83" s="69">
        <f>IMR!D77</f>
        <v>1</v>
      </c>
      <c r="E83" s="69">
        <f>IMR!E77</f>
        <v>1</v>
      </c>
      <c r="F83" s="69">
        <f>IMR!F77</f>
        <v>1</v>
      </c>
      <c r="G83" s="69">
        <f>IMR!G77</f>
        <v>1</v>
      </c>
      <c r="H83" s="69">
        <f>IMR!H77</f>
        <v>1</v>
      </c>
      <c r="I83" s="69">
        <f>IMR!I77</f>
        <v>0</v>
      </c>
      <c r="J83" s="69">
        <f>IMR!J77</f>
        <v>0</v>
      </c>
      <c r="K83" s="69">
        <f>IMR!K77</f>
        <v>0</v>
      </c>
      <c r="L83" s="69">
        <f t="shared" si="34"/>
        <v>5</v>
      </c>
      <c r="M83" s="69">
        <f t="shared" si="35"/>
        <v>5</v>
      </c>
      <c r="N83" s="69">
        <f t="shared" si="36"/>
        <v>3</v>
      </c>
      <c r="O83" s="69">
        <f t="shared" si="37"/>
        <v>3</v>
      </c>
      <c r="P83" s="69">
        <f t="shared" si="38"/>
        <v>3</v>
      </c>
      <c r="Q83" s="69">
        <f t="shared" si="39"/>
        <v>3</v>
      </c>
      <c r="R83" s="70">
        <f t="shared" si="40"/>
        <v>-0.40546510810816444</v>
      </c>
      <c r="S83" s="70">
        <f t="shared" si="41"/>
        <v>-0.40546510810816444</v>
      </c>
      <c r="T83" s="70">
        <f t="shared" si="42"/>
        <v>-0.46732719434716941</v>
      </c>
      <c r="U83" s="70">
        <f t="shared" si="43"/>
        <v>-0.46732719434716941</v>
      </c>
      <c r="V83" s="70">
        <f t="shared" si="44"/>
        <v>0.91287092917527679</v>
      </c>
      <c r="W83" s="70">
        <f t="shared" si="45"/>
        <v>0.91287092917527679</v>
      </c>
      <c r="X83" s="70">
        <f t="shared" si="46"/>
        <v>0</v>
      </c>
      <c r="Y83" s="70">
        <f t="shared" si="47"/>
        <v>1.2909944487358056</v>
      </c>
      <c r="Z83" s="70">
        <f t="shared" si="48"/>
        <v>0</v>
      </c>
      <c r="AA83" s="69" t="str">
        <f t="shared" si="49"/>
        <v>Negligible</v>
      </c>
      <c r="AB83" s="69" t="str">
        <f t="shared" si="50"/>
        <v>Tidak Ada Indikasi Bias</v>
      </c>
    </row>
    <row r="84" spans="1:28" ht="37.5" x14ac:dyDescent="0.35">
      <c r="A84" s="71" t="str">
        <f>IMR!A78</f>
        <v>74. Organisasi pendidikan harus memastikan ketertelusuran layanan yang terdiri dari …</v>
      </c>
      <c r="B84" s="69">
        <f>IMR!B78</f>
        <v>0</v>
      </c>
      <c r="C84" s="69">
        <f>IMR!C78</f>
        <v>1</v>
      </c>
      <c r="D84" s="69">
        <f>IMR!D78</f>
        <v>0</v>
      </c>
      <c r="E84" s="69">
        <f>IMR!E78</f>
        <v>0</v>
      </c>
      <c r="F84" s="69">
        <f>IMR!F78</f>
        <v>0</v>
      </c>
      <c r="G84" s="69">
        <f>IMR!G78</f>
        <v>0</v>
      </c>
      <c r="H84" s="69">
        <f>IMR!H78</f>
        <v>0</v>
      </c>
      <c r="I84" s="69">
        <f>IMR!I78</f>
        <v>1</v>
      </c>
      <c r="J84" s="69">
        <f>IMR!J78</f>
        <v>1</v>
      </c>
      <c r="K84" s="69">
        <f>IMR!K78</f>
        <v>1</v>
      </c>
      <c r="L84" s="69">
        <f t="shared" si="34"/>
        <v>5</v>
      </c>
      <c r="M84" s="69">
        <f t="shared" si="35"/>
        <v>5</v>
      </c>
      <c r="N84" s="69">
        <f t="shared" si="36"/>
        <v>2</v>
      </c>
      <c r="O84" s="69">
        <f t="shared" si="37"/>
        <v>2</v>
      </c>
      <c r="P84" s="69">
        <f t="shared" si="38"/>
        <v>2</v>
      </c>
      <c r="Q84" s="69">
        <f t="shared" si="39"/>
        <v>2</v>
      </c>
      <c r="R84" s="70">
        <f t="shared" si="40"/>
        <v>0.40546510810816438</v>
      </c>
      <c r="S84" s="70">
        <f t="shared" si="41"/>
        <v>0.40546510810816438</v>
      </c>
      <c r="T84" s="70">
        <f t="shared" si="42"/>
        <v>0.34360302186915948</v>
      </c>
      <c r="U84" s="70">
        <f t="shared" si="43"/>
        <v>0.34360302186915948</v>
      </c>
      <c r="V84" s="70">
        <f t="shared" si="44"/>
        <v>0.91287092917527679</v>
      </c>
      <c r="W84" s="70">
        <f t="shared" si="45"/>
        <v>0.91287092917527679</v>
      </c>
      <c r="X84" s="70">
        <f t="shared" si="46"/>
        <v>0</v>
      </c>
      <c r="Y84" s="70">
        <f t="shared" si="47"/>
        <v>1.2909944487358056</v>
      </c>
      <c r="Z84" s="70">
        <f t="shared" si="48"/>
        <v>0</v>
      </c>
      <c r="AA84" s="69" t="str">
        <f t="shared" si="49"/>
        <v>Negligible</v>
      </c>
      <c r="AB84" s="69" t="str">
        <f t="shared" si="50"/>
        <v>Tidak Ada Indikasi Bias</v>
      </c>
    </row>
    <row r="85" spans="1:28" ht="37.5" x14ac:dyDescent="0.35">
      <c r="A85" s="71" t="str">
        <f>IMR!A79</f>
        <v>75. Properti pihak berkepentingan yang harus dipelihara oleh organisasi pendidikan dapat berupa …</v>
      </c>
      <c r="B85" s="69">
        <f>IMR!B79</f>
        <v>1</v>
      </c>
      <c r="C85" s="69">
        <f>IMR!C79</f>
        <v>0</v>
      </c>
      <c r="D85" s="69">
        <f>IMR!D79</f>
        <v>1</v>
      </c>
      <c r="E85" s="69">
        <f>IMR!E79</f>
        <v>1</v>
      </c>
      <c r="F85" s="69">
        <f>IMR!F79</f>
        <v>1</v>
      </c>
      <c r="G85" s="69">
        <f>IMR!G79</f>
        <v>1</v>
      </c>
      <c r="H85" s="69">
        <f>IMR!H79</f>
        <v>1</v>
      </c>
      <c r="I85" s="69">
        <f>IMR!I79</f>
        <v>0</v>
      </c>
      <c r="J85" s="69">
        <f>IMR!J79</f>
        <v>0</v>
      </c>
      <c r="K85" s="69">
        <f>IMR!K79</f>
        <v>0</v>
      </c>
      <c r="L85" s="69">
        <f t="shared" si="34"/>
        <v>5</v>
      </c>
      <c r="M85" s="69">
        <f t="shared" si="35"/>
        <v>5</v>
      </c>
      <c r="N85" s="69">
        <f t="shared" si="36"/>
        <v>3</v>
      </c>
      <c r="O85" s="69">
        <f t="shared" si="37"/>
        <v>3</v>
      </c>
      <c r="P85" s="69">
        <f t="shared" si="38"/>
        <v>3</v>
      </c>
      <c r="Q85" s="69">
        <f t="shared" si="39"/>
        <v>3</v>
      </c>
      <c r="R85" s="70">
        <f t="shared" si="40"/>
        <v>-0.40546510810816444</v>
      </c>
      <c r="S85" s="70">
        <f t="shared" si="41"/>
        <v>-0.40546510810816444</v>
      </c>
      <c r="T85" s="70">
        <f t="shared" si="42"/>
        <v>-0.46732719434716941</v>
      </c>
      <c r="U85" s="70">
        <f t="shared" si="43"/>
        <v>-0.46732719434716941</v>
      </c>
      <c r="V85" s="70">
        <f t="shared" si="44"/>
        <v>0.91287092917527679</v>
      </c>
      <c r="W85" s="70">
        <f t="shared" si="45"/>
        <v>0.91287092917527679</v>
      </c>
      <c r="X85" s="70">
        <f t="shared" si="46"/>
        <v>0</v>
      </c>
      <c r="Y85" s="70">
        <f t="shared" si="47"/>
        <v>1.2909944487358056</v>
      </c>
      <c r="Z85" s="70">
        <f t="shared" si="48"/>
        <v>0</v>
      </c>
      <c r="AA85" s="69" t="str">
        <f t="shared" si="49"/>
        <v>Negligible</v>
      </c>
      <c r="AB85" s="69" t="str">
        <f t="shared" si="50"/>
        <v>Tidak Ada Indikasi Bias</v>
      </c>
    </row>
    <row r="86" spans="1:28" ht="37.5" x14ac:dyDescent="0.35">
      <c r="A86" s="71" t="str">
        <f>IMR!A80</f>
        <v>76. Dalam memelihara properti pihak berkepentingan organisasi harus menetapkan prosedur untuk …</v>
      </c>
      <c r="B86" s="69">
        <f>IMR!B80</f>
        <v>0</v>
      </c>
      <c r="C86" s="69">
        <f>IMR!C80</f>
        <v>1</v>
      </c>
      <c r="D86" s="69">
        <f>IMR!D80</f>
        <v>0</v>
      </c>
      <c r="E86" s="69">
        <f>IMR!E80</f>
        <v>1</v>
      </c>
      <c r="F86" s="69">
        <f>IMR!F80</f>
        <v>0</v>
      </c>
      <c r="G86" s="69">
        <f>IMR!G80</f>
        <v>0</v>
      </c>
      <c r="H86" s="69">
        <f>IMR!H80</f>
        <v>0</v>
      </c>
      <c r="I86" s="69">
        <f>IMR!I80</f>
        <v>0</v>
      </c>
      <c r="J86" s="69">
        <f>IMR!J80</f>
        <v>0</v>
      </c>
      <c r="K86" s="69">
        <f>IMR!K80</f>
        <v>0</v>
      </c>
      <c r="L86" s="69">
        <f t="shared" si="34"/>
        <v>5</v>
      </c>
      <c r="M86" s="69">
        <f t="shared" si="35"/>
        <v>5</v>
      </c>
      <c r="N86" s="69">
        <f t="shared" si="36"/>
        <v>1</v>
      </c>
      <c r="O86" s="69">
        <f t="shared" si="37"/>
        <v>1</v>
      </c>
      <c r="P86" s="69">
        <f t="shared" si="38"/>
        <v>1</v>
      </c>
      <c r="Q86" s="69">
        <f t="shared" si="39"/>
        <v>1</v>
      </c>
      <c r="R86" s="70">
        <f t="shared" si="40"/>
        <v>1.3862943611198906</v>
      </c>
      <c r="S86" s="70">
        <f t="shared" si="41"/>
        <v>1.3862943611198906</v>
      </c>
      <c r="T86" s="70">
        <f t="shared" si="42"/>
        <v>1.3244322748808857</v>
      </c>
      <c r="U86" s="70">
        <f t="shared" si="43"/>
        <v>1.3244322748808857</v>
      </c>
      <c r="V86" s="70">
        <f t="shared" si="44"/>
        <v>1.1180339887498949</v>
      </c>
      <c r="W86" s="70">
        <f t="shared" si="45"/>
        <v>1.1180339887498949</v>
      </c>
      <c r="X86" s="70">
        <f t="shared" si="46"/>
        <v>0</v>
      </c>
      <c r="Y86" s="70">
        <f t="shared" si="47"/>
        <v>1.5811388300841898</v>
      </c>
      <c r="Z86" s="70">
        <f t="shared" si="48"/>
        <v>0</v>
      </c>
      <c r="AA86" s="69" t="str">
        <f t="shared" si="49"/>
        <v>Negligible</v>
      </c>
      <c r="AB86" s="69" t="str">
        <f t="shared" si="50"/>
        <v>Tidak Ada Indikasi Bias</v>
      </c>
    </row>
    <row r="87" spans="1:28" ht="37.5" x14ac:dyDescent="0.35">
      <c r="A87" s="71" t="str">
        <f>IMR!A81</f>
        <v>77. Untuk menjamin perlindungan dan transparansi data, maka organisasi harus menyusun prosedur untuk menentukan …</v>
      </c>
      <c r="B87" s="69">
        <f>IMR!B81</f>
        <v>1</v>
      </c>
      <c r="C87" s="69">
        <f>IMR!C81</f>
        <v>1</v>
      </c>
      <c r="D87" s="69">
        <f>IMR!D81</f>
        <v>1</v>
      </c>
      <c r="E87" s="69">
        <f>IMR!E81</f>
        <v>1</v>
      </c>
      <c r="F87" s="69">
        <f>IMR!F81</f>
        <v>0</v>
      </c>
      <c r="G87" s="69">
        <f>IMR!G81</f>
        <v>0</v>
      </c>
      <c r="H87" s="69">
        <f>IMR!H81</f>
        <v>1</v>
      </c>
      <c r="I87" s="69">
        <f>IMR!I81</f>
        <v>0</v>
      </c>
      <c r="J87" s="69">
        <f>IMR!J81</f>
        <v>0</v>
      </c>
      <c r="K87" s="69">
        <f>IMR!K81</f>
        <v>1</v>
      </c>
      <c r="L87" s="69">
        <f t="shared" si="34"/>
        <v>5</v>
      </c>
      <c r="M87" s="69">
        <f t="shared" si="35"/>
        <v>5</v>
      </c>
      <c r="N87" s="69">
        <f t="shared" si="36"/>
        <v>3</v>
      </c>
      <c r="O87" s="69">
        <f t="shared" si="37"/>
        <v>3</v>
      </c>
      <c r="P87" s="69">
        <f t="shared" si="38"/>
        <v>3</v>
      </c>
      <c r="Q87" s="69">
        <f t="shared" si="39"/>
        <v>3</v>
      </c>
      <c r="R87" s="70">
        <f t="shared" si="40"/>
        <v>-0.40546510810816444</v>
      </c>
      <c r="S87" s="70">
        <f t="shared" si="41"/>
        <v>-0.40546510810816444</v>
      </c>
      <c r="T87" s="70">
        <f t="shared" si="42"/>
        <v>-0.46732719434716941</v>
      </c>
      <c r="U87" s="70">
        <f t="shared" si="43"/>
        <v>-0.46732719434716941</v>
      </c>
      <c r="V87" s="70">
        <f t="shared" si="44"/>
        <v>0.91287092917527679</v>
      </c>
      <c r="W87" s="70">
        <f t="shared" si="45"/>
        <v>0.91287092917527679</v>
      </c>
      <c r="X87" s="70">
        <f t="shared" si="46"/>
        <v>0</v>
      </c>
      <c r="Y87" s="70">
        <f t="shared" si="47"/>
        <v>1.2909944487358056</v>
      </c>
      <c r="Z87" s="70">
        <f t="shared" si="48"/>
        <v>0</v>
      </c>
      <c r="AA87" s="69" t="str">
        <f t="shared" si="49"/>
        <v>Negligible</v>
      </c>
      <c r="AB87" s="69" t="str">
        <f t="shared" si="50"/>
        <v>Tidak Ada Indikasi Bias</v>
      </c>
    </row>
    <row r="88" spans="1:28" ht="62.5" x14ac:dyDescent="0.35">
      <c r="A88" s="71" t="str">
        <f>IMR!A82</f>
        <v>78. Untuk mengendalikan proses, produk, maupun layanan yang disediakan pihak eksternal, maka organisasi harus memberikan informasi kepada pihak eksternal antara lain …</v>
      </c>
      <c r="B88" s="69">
        <f>IMR!B82</f>
        <v>1</v>
      </c>
      <c r="C88" s="69">
        <f>IMR!C82</f>
        <v>0</v>
      </c>
      <c r="D88" s="69">
        <f>IMR!D82</f>
        <v>1</v>
      </c>
      <c r="E88" s="69">
        <f>IMR!E82</f>
        <v>0</v>
      </c>
      <c r="F88" s="69">
        <f>IMR!F82</f>
        <v>0</v>
      </c>
      <c r="G88" s="69">
        <f>IMR!G82</f>
        <v>0</v>
      </c>
      <c r="H88" s="69">
        <f>IMR!H82</f>
        <v>0</v>
      </c>
      <c r="I88" s="69">
        <f>IMR!I82</f>
        <v>0</v>
      </c>
      <c r="J88" s="69">
        <f>IMR!J82</f>
        <v>0</v>
      </c>
      <c r="K88" s="69">
        <f>IMR!K82</f>
        <v>0</v>
      </c>
      <c r="L88" s="69">
        <f t="shared" si="34"/>
        <v>5</v>
      </c>
      <c r="M88" s="69">
        <f t="shared" si="35"/>
        <v>5</v>
      </c>
      <c r="N88" s="69">
        <f t="shared" si="36"/>
        <v>1</v>
      </c>
      <c r="O88" s="69">
        <f t="shared" si="37"/>
        <v>1</v>
      </c>
      <c r="P88" s="69">
        <f t="shared" si="38"/>
        <v>1</v>
      </c>
      <c r="Q88" s="69">
        <f t="shared" si="39"/>
        <v>1</v>
      </c>
      <c r="R88" s="70">
        <f t="shared" si="40"/>
        <v>1.3862943611198906</v>
      </c>
      <c r="S88" s="70">
        <f t="shared" si="41"/>
        <v>1.3862943611198906</v>
      </c>
      <c r="T88" s="70">
        <f t="shared" si="42"/>
        <v>1.3244322748808857</v>
      </c>
      <c r="U88" s="70">
        <f t="shared" si="43"/>
        <v>1.3244322748808857</v>
      </c>
      <c r="V88" s="70">
        <f t="shared" si="44"/>
        <v>1.1180339887498949</v>
      </c>
      <c r="W88" s="70">
        <f t="shared" si="45"/>
        <v>1.1180339887498949</v>
      </c>
      <c r="X88" s="70">
        <f t="shared" si="46"/>
        <v>0</v>
      </c>
      <c r="Y88" s="70">
        <f t="shared" si="47"/>
        <v>1.5811388300841898</v>
      </c>
      <c r="Z88" s="70">
        <f t="shared" si="48"/>
        <v>0</v>
      </c>
      <c r="AA88" s="69" t="str">
        <f t="shared" si="49"/>
        <v>Negligible</v>
      </c>
      <c r="AB88" s="69" t="str">
        <f t="shared" si="50"/>
        <v>Tidak Ada Indikasi Bias</v>
      </c>
    </row>
    <row r="89" spans="1:28" ht="37.5" x14ac:dyDescent="0.35">
      <c r="A89" s="71" t="str">
        <f>IMR!A83</f>
        <v>79. Dalam memenuhi persyaratan dari peserta didik berkebutuhan khusus, organisasi pendidikan harus …</v>
      </c>
      <c r="B89" s="69">
        <f>IMR!B83</f>
        <v>0</v>
      </c>
      <c r="C89" s="69">
        <f>IMR!C83</f>
        <v>1</v>
      </c>
      <c r="D89" s="69">
        <f>IMR!D83</f>
        <v>0</v>
      </c>
      <c r="E89" s="69">
        <f>IMR!E83</f>
        <v>0</v>
      </c>
      <c r="F89" s="69">
        <f>IMR!F83</f>
        <v>0</v>
      </c>
      <c r="G89" s="69">
        <f>IMR!G83</f>
        <v>0</v>
      </c>
      <c r="H89" s="69">
        <f>IMR!H83</f>
        <v>1</v>
      </c>
      <c r="I89" s="69">
        <f>IMR!I83</f>
        <v>0</v>
      </c>
      <c r="J89" s="69">
        <f>IMR!J83</f>
        <v>1</v>
      </c>
      <c r="K89" s="69">
        <f>IMR!K83</f>
        <v>1</v>
      </c>
      <c r="L89" s="69">
        <f t="shared" si="34"/>
        <v>5</v>
      </c>
      <c r="M89" s="69">
        <f t="shared" si="35"/>
        <v>5</v>
      </c>
      <c r="N89" s="69">
        <f t="shared" si="36"/>
        <v>2</v>
      </c>
      <c r="O89" s="69">
        <f t="shared" si="37"/>
        <v>2</v>
      </c>
      <c r="P89" s="69">
        <f t="shared" si="38"/>
        <v>2</v>
      </c>
      <c r="Q89" s="69">
        <f t="shared" si="39"/>
        <v>2</v>
      </c>
      <c r="R89" s="70">
        <f t="shared" si="40"/>
        <v>0.40546510810816438</v>
      </c>
      <c r="S89" s="70">
        <f t="shared" si="41"/>
        <v>0.40546510810816438</v>
      </c>
      <c r="T89" s="70">
        <f t="shared" si="42"/>
        <v>0.34360302186915948</v>
      </c>
      <c r="U89" s="70">
        <f t="shared" si="43"/>
        <v>0.34360302186915948</v>
      </c>
      <c r="V89" s="70">
        <f t="shared" si="44"/>
        <v>0.91287092917527679</v>
      </c>
      <c r="W89" s="70">
        <f t="shared" si="45"/>
        <v>0.91287092917527679</v>
      </c>
      <c r="X89" s="70">
        <f t="shared" si="46"/>
        <v>0</v>
      </c>
      <c r="Y89" s="70">
        <f t="shared" si="47"/>
        <v>1.2909944487358056</v>
      </c>
      <c r="Z89" s="70">
        <f t="shared" si="48"/>
        <v>0</v>
      </c>
      <c r="AA89" s="69" t="str">
        <f t="shared" si="49"/>
        <v>Negligible</v>
      </c>
      <c r="AB89" s="69" t="str">
        <f t="shared" si="50"/>
        <v>Tidak Ada Indikasi Bias</v>
      </c>
    </row>
    <row r="90" spans="1:28" ht="37.5" x14ac:dyDescent="0.35">
      <c r="A90" s="71" t="str">
        <f>IMR!A84</f>
        <v>80. Ketika muncul ketidaksesuaian output, organisasi pendidikan harus menyusun informasi terdokumentasi yang …</v>
      </c>
      <c r="B90" s="69">
        <f>IMR!B84</f>
        <v>1</v>
      </c>
      <c r="C90" s="69">
        <f>IMR!C84</f>
        <v>1</v>
      </c>
      <c r="D90" s="69">
        <f>IMR!D84</f>
        <v>0</v>
      </c>
      <c r="E90" s="69">
        <f>IMR!E84</f>
        <v>0</v>
      </c>
      <c r="F90" s="69">
        <f>IMR!F84</f>
        <v>1</v>
      </c>
      <c r="G90" s="69">
        <f>IMR!G84</f>
        <v>0</v>
      </c>
      <c r="H90" s="69">
        <f>IMR!H84</f>
        <v>0</v>
      </c>
      <c r="I90" s="69">
        <f>IMR!I84</f>
        <v>0</v>
      </c>
      <c r="J90" s="69">
        <f>IMR!J84</f>
        <v>1</v>
      </c>
      <c r="K90" s="69">
        <f>IMR!K84</f>
        <v>0</v>
      </c>
      <c r="L90" s="69">
        <f t="shared" si="34"/>
        <v>5</v>
      </c>
      <c r="M90" s="69">
        <f t="shared" si="35"/>
        <v>5</v>
      </c>
      <c r="N90" s="69">
        <f t="shared" si="36"/>
        <v>2</v>
      </c>
      <c r="O90" s="69">
        <f t="shared" si="37"/>
        <v>2</v>
      </c>
      <c r="P90" s="69">
        <f t="shared" si="38"/>
        <v>2</v>
      </c>
      <c r="Q90" s="69">
        <f t="shared" si="39"/>
        <v>2</v>
      </c>
      <c r="R90" s="70">
        <f t="shared" si="40"/>
        <v>0.40546510810816438</v>
      </c>
      <c r="S90" s="70">
        <f t="shared" si="41"/>
        <v>0.40546510810816438</v>
      </c>
      <c r="T90" s="70">
        <f t="shared" si="42"/>
        <v>0.34360302186915948</v>
      </c>
      <c r="U90" s="70">
        <f t="shared" si="43"/>
        <v>0.34360302186915948</v>
      </c>
      <c r="V90" s="70">
        <f t="shared" si="44"/>
        <v>0.91287092917527679</v>
      </c>
      <c r="W90" s="70">
        <f t="shared" si="45"/>
        <v>0.91287092917527679</v>
      </c>
      <c r="X90" s="70">
        <f t="shared" si="46"/>
        <v>0</v>
      </c>
      <c r="Y90" s="70">
        <f t="shared" si="47"/>
        <v>1.2909944487358056</v>
      </c>
      <c r="Z90" s="70">
        <f t="shared" si="48"/>
        <v>0</v>
      </c>
      <c r="AA90" s="69" t="str">
        <f t="shared" si="49"/>
        <v>Negligible</v>
      </c>
      <c r="AB90" s="69" t="str">
        <f t="shared" si="50"/>
        <v>Tidak Ada Indikasi Bias</v>
      </c>
    </row>
    <row r="91" spans="1:28" ht="37.5" customHeight="1" x14ac:dyDescent="0.35">
      <c r="A91" s="71" t="str">
        <f>IMR!A85</f>
        <v>81. Untuk mengendalikan layanan yang diberikan oleh pihak eksternal, organisasi pendidikan harus …</v>
      </c>
      <c r="B91" s="69">
        <f>IMR!B85</f>
        <v>0</v>
      </c>
      <c r="C91" s="69">
        <f>IMR!C85</f>
        <v>0</v>
      </c>
      <c r="D91" s="69">
        <f>IMR!D85</f>
        <v>0</v>
      </c>
      <c r="E91" s="69">
        <f>IMR!E85</f>
        <v>0</v>
      </c>
      <c r="F91" s="69">
        <f>IMR!F85</f>
        <v>0</v>
      </c>
      <c r="G91" s="69">
        <f>IMR!G85</f>
        <v>0</v>
      </c>
      <c r="H91" s="69">
        <f>IMR!H85</f>
        <v>1</v>
      </c>
      <c r="I91" s="69">
        <f>IMR!I85</f>
        <v>1</v>
      </c>
      <c r="J91" s="69">
        <f>IMR!J85</f>
        <v>1</v>
      </c>
      <c r="K91" s="69">
        <f>IMR!K85</f>
        <v>1</v>
      </c>
      <c r="L91" s="69">
        <f t="shared" si="34"/>
        <v>5</v>
      </c>
      <c r="M91" s="69">
        <f t="shared" si="35"/>
        <v>5</v>
      </c>
      <c r="N91" s="69">
        <f t="shared" si="36"/>
        <v>2</v>
      </c>
      <c r="O91" s="69">
        <f t="shared" si="37"/>
        <v>2</v>
      </c>
      <c r="P91" s="69">
        <f t="shared" si="38"/>
        <v>2</v>
      </c>
      <c r="Q91" s="69">
        <f t="shared" si="39"/>
        <v>2</v>
      </c>
      <c r="R91" s="70">
        <f t="shared" si="40"/>
        <v>0.40546510810816438</v>
      </c>
      <c r="S91" s="70">
        <f t="shared" si="41"/>
        <v>0.40546510810816438</v>
      </c>
      <c r="T91" s="70">
        <f t="shared" si="42"/>
        <v>0.34360302186915948</v>
      </c>
      <c r="U91" s="70">
        <f t="shared" si="43"/>
        <v>0.34360302186915948</v>
      </c>
      <c r="V91" s="70">
        <f t="shared" si="44"/>
        <v>0.91287092917527679</v>
      </c>
      <c r="W91" s="70">
        <f t="shared" si="45"/>
        <v>0.91287092917527679</v>
      </c>
      <c r="X91" s="70">
        <f t="shared" si="46"/>
        <v>0</v>
      </c>
      <c r="Y91" s="70">
        <f t="shared" si="47"/>
        <v>1.2909944487358056</v>
      </c>
      <c r="Z91" s="70">
        <f t="shared" si="48"/>
        <v>0</v>
      </c>
      <c r="AA91" s="69" t="str">
        <f t="shared" si="49"/>
        <v>Negligible</v>
      </c>
      <c r="AB91" s="69" t="str">
        <f t="shared" si="50"/>
        <v>Tidak Ada Indikasi Bias</v>
      </c>
    </row>
    <row r="92" spans="1:28" ht="37.5" x14ac:dyDescent="0.35">
      <c r="A92" s="71" t="str">
        <f>IMR!A86</f>
        <v>82. Berikut benar mengenai standar luaran penelitian dalam organisasi pendidikan, kecuali …</v>
      </c>
      <c r="B92" s="69">
        <f>IMR!B86</f>
        <v>1</v>
      </c>
      <c r="C92" s="69">
        <f>IMR!C86</f>
        <v>1</v>
      </c>
      <c r="D92" s="69">
        <f>IMR!D86</f>
        <v>1</v>
      </c>
      <c r="E92" s="69">
        <f>IMR!E86</f>
        <v>1</v>
      </c>
      <c r="F92" s="69">
        <f>IMR!F86</f>
        <v>0</v>
      </c>
      <c r="G92" s="69">
        <f>IMR!G86</f>
        <v>0</v>
      </c>
      <c r="H92" s="69">
        <f>IMR!H86</f>
        <v>0</v>
      </c>
      <c r="I92" s="69">
        <f>IMR!I86</f>
        <v>1</v>
      </c>
      <c r="J92" s="69">
        <f>IMR!J86</f>
        <v>0</v>
      </c>
      <c r="K92" s="69">
        <f>IMR!K86</f>
        <v>1</v>
      </c>
      <c r="L92" s="69">
        <f t="shared" si="34"/>
        <v>5</v>
      </c>
      <c r="M92" s="69">
        <f t="shared" si="35"/>
        <v>5</v>
      </c>
      <c r="N92" s="69">
        <f t="shared" si="36"/>
        <v>3</v>
      </c>
      <c r="O92" s="69">
        <f t="shared" si="37"/>
        <v>3</v>
      </c>
      <c r="P92" s="69">
        <f t="shared" si="38"/>
        <v>3</v>
      </c>
      <c r="Q92" s="69">
        <f t="shared" si="39"/>
        <v>3</v>
      </c>
      <c r="R92" s="70">
        <f t="shared" si="40"/>
        <v>-0.40546510810816444</v>
      </c>
      <c r="S92" s="70">
        <f t="shared" si="41"/>
        <v>-0.40546510810816444</v>
      </c>
      <c r="T92" s="70">
        <f t="shared" si="42"/>
        <v>-0.46732719434716941</v>
      </c>
      <c r="U92" s="70">
        <f t="shared" si="43"/>
        <v>-0.46732719434716941</v>
      </c>
      <c r="V92" s="70">
        <f t="shared" si="44"/>
        <v>0.91287092917527679</v>
      </c>
      <c r="W92" s="70">
        <f t="shared" si="45"/>
        <v>0.91287092917527679</v>
      </c>
      <c r="X92" s="70">
        <f t="shared" si="46"/>
        <v>0</v>
      </c>
      <c r="Y92" s="70">
        <f t="shared" si="47"/>
        <v>1.2909944487358056</v>
      </c>
      <c r="Z92" s="70">
        <f t="shared" si="48"/>
        <v>0</v>
      </c>
      <c r="AA92" s="69" t="str">
        <f t="shared" si="49"/>
        <v>Negligible</v>
      </c>
      <c r="AB92" s="69" t="str">
        <f t="shared" si="50"/>
        <v>Tidak Ada Indikasi Bias</v>
      </c>
    </row>
    <row r="93" spans="1:28" ht="25" x14ac:dyDescent="0.35">
      <c r="A93" s="71" t="str">
        <f>IMR!A87</f>
        <v>83. Input dari pengabdian masyarakat dalam organisasi pendidikan antara lain …</v>
      </c>
      <c r="B93" s="69">
        <f>IMR!B87</f>
        <v>0</v>
      </c>
      <c r="C93" s="69">
        <f>IMR!C87</f>
        <v>0</v>
      </c>
      <c r="D93" s="69">
        <f>IMR!D87</f>
        <v>1</v>
      </c>
      <c r="E93" s="69">
        <f>IMR!E87</f>
        <v>1</v>
      </c>
      <c r="F93" s="69">
        <f>IMR!F87</f>
        <v>0</v>
      </c>
      <c r="G93" s="69">
        <f>IMR!G87</f>
        <v>1</v>
      </c>
      <c r="H93" s="69">
        <f>IMR!H87</f>
        <v>1</v>
      </c>
      <c r="I93" s="69">
        <f>IMR!I87</f>
        <v>1</v>
      </c>
      <c r="J93" s="69">
        <f>IMR!J87</f>
        <v>1</v>
      </c>
      <c r="K93" s="69">
        <f>IMR!K87</f>
        <v>0</v>
      </c>
      <c r="L93" s="69">
        <f t="shared" si="34"/>
        <v>5</v>
      </c>
      <c r="M93" s="69">
        <f t="shared" si="35"/>
        <v>5</v>
      </c>
      <c r="N93" s="69">
        <f t="shared" si="36"/>
        <v>3</v>
      </c>
      <c r="O93" s="69">
        <f t="shared" si="37"/>
        <v>3</v>
      </c>
      <c r="P93" s="69">
        <f t="shared" si="38"/>
        <v>3</v>
      </c>
      <c r="Q93" s="69">
        <f t="shared" si="39"/>
        <v>3</v>
      </c>
      <c r="R93" s="70">
        <f t="shared" si="40"/>
        <v>-0.40546510810816444</v>
      </c>
      <c r="S93" s="70">
        <f t="shared" si="41"/>
        <v>-0.40546510810816444</v>
      </c>
      <c r="T93" s="70">
        <f t="shared" si="42"/>
        <v>-0.46732719434716941</v>
      </c>
      <c r="U93" s="70">
        <f t="shared" si="43"/>
        <v>-0.46732719434716941</v>
      </c>
      <c r="V93" s="70">
        <f t="shared" si="44"/>
        <v>0.91287092917527679</v>
      </c>
      <c r="W93" s="70">
        <f t="shared" si="45"/>
        <v>0.91287092917527679</v>
      </c>
      <c r="X93" s="70">
        <f t="shared" si="46"/>
        <v>0</v>
      </c>
      <c r="Y93" s="70">
        <f t="shared" si="47"/>
        <v>1.2909944487358056</v>
      </c>
      <c r="Z93" s="70">
        <f t="shared" si="48"/>
        <v>0</v>
      </c>
      <c r="AA93" s="69" t="str">
        <f t="shared" si="49"/>
        <v>Negligible</v>
      </c>
      <c r="AB93" s="69" t="str">
        <f t="shared" si="50"/>
        <v>Tidak Ada Indikasi Bias</v>
      </c>
    </row>
    <row r="94" spans="1:28" ht="87.5" x14ac:dyDescent="0.35">
      <c r="A94" s="71" t="str">
        <f>IMR!A88</f>
        <v>84. Organsiasi pendidikan harus melakukan pemantauan, pengukuran, dan evaluasi efektivitas penerapan standar. Dalam kasus integrasi ISO 21001:2018 dengan SPMI, kriteria yang digunakan untuk menilai efektivitas tersebut tertuang dalam dokumen …</v>
      </c>
      <c r="B94" s="69">
        <f>IMR!B88</f>
        <v>0</v>
      </c>
      <c r="C94" s="69">
        <f>IMR!C88</f>
        <v>1</v>
      </c>
      <c r="D94" s="69">
        <f>IMR!D88</f>
        <v>1</v>
      </c>
      <c r="E94" s="69">
        <f>IMR!E88</f>
        <v>1</v>
      </c>
      <c r="F94" s="69">
        <f>IMR!F88</f>
        <v>1</v>
      </c>
      <c r="G94" s="69">
        <f>IMR!G88</f>
        <v>1</v>
      </c>
      <c r="H94" s="69">
        <f>IMR!H88</f>
        <v>1</v>
      </c>
      <c r="I94" s="69">
        <f>IMR!I88</f>
        <v>0</v>
      </c>
      <c r="J94" s="69">
        <f>IMR!J88</f>
        <v>0</v>
      </c>
      <c r="K94" s="69">
        <f>IMR!K88</f>
        <v>0</v>
      </c>
      <c r="L94" s="69">
        <f t="shared" si="34"/>
        <v>5</v>
      </c>
      <c r="M94" s="69">
        <f t="shared" si="35"/>
        <v>5</v>
      </c>
      <c r="N94" s="69">
        <f t="shared" si="36"/>
        <v>3</v>
      </c>
      <c r="O94" s="69">
        <f t="shared" si="37"/>
        <v>3</v>
      </c>
      <c r="P94" s="69">
        <f t="shared" si="38"/>
        <v>3</v>
      </c>
      <c r="Q94" s="69">
        <f t="shared" si="39"/>
        <v>3</v>
      </c>
      <c r="R94" s="70">
        <f t="shared" si="40"/>
        <v>-0.40546510810816444</v>
      </c>
      <c r="S94" s="70">
        <f t="shared" si="41"/>
        <v>-0.40546510810816444</v>
      </c>
      <c r="T94" s="70">
        <f t="shared" si="42"/>
        <v>-0.46732719434716941</v>
      </c>
      <c r="U94" s="70">
        <f t="shared" si="43"/>
        <v>-0.46732719434716941</v>
      </c>
      <c r="V94" s="70">
        <f t="shared" si="44"/>
        <v>0.91287092917527679</v>
      </c>
      <c r="W94" s="70">
        <f t="shared" si="45"/>
        <v>0.91287092917527679</v>
      </c>
      <c r="X94" s="70">
        <f t="shared" si="46"/>
        <v>0</v>
      </c>
      <c r="Y94" s="70">
        <f t="shared" si="47"/>
        <v>1.2909944487358056</v>
      </c>
      <c r="Z94" s="70">
        <f t="shared" si="48"/>
        <v>0</v>
      </c>
      <c r="AA94" s="69" t="str">
        <f t="shared" si="49"/>
        <v>Negligible</v>
      </c>
      <c r="AB94" s="69" t="str">
        <f t="shared" si="50"/>
        <v>Tidak Ada Indikasi Bias</v>
      </c>
    </row>
    <row r="95" spans="1:28" ht="87.5" x14ac:dyDescent="0.35">
      <c r="A95" s="71" t="str">
        <f>IMR!A89</f>
        <v>85. Organisasi pendidikan harus memantau kepuasan dari pihak berkepentingan. Untuk memperoleh angka kepuasan pihak berkepentingan yang dapat mewakili penilaian dari populasi yang ada, maka metode yang paling tepat adalah …</v>
      </c>
      <c r="B95" s="69">
        <f>IMR!B89</f>
        <v>1</v>
      </c>
      <c r="C95" s="69">
        <f>IMR!C89</f>
        <v>1</v>
      </c>
      <c r="D95" s="69">
        <f>IMR!D89</f>
        <v>1</v>
      </c>
      <c r="E95" s="69">
        <f>IMR!E89</f>
        <v>1</v>
      </c>
      <c r="F95" s="69">
        <f>IMR!F89</f>
        <v>1</v>
      </c>
      <c r="G95" s="69">
        <f>IMR!G89</f>
        <v>0</v>
      </c>
      <c r="H95" s="69">
        <f>IMR!H89</f>
        <v>1</v>
      </c>
      <c r="I95" s="69">
        <f>IMR!I89</f>
        <v>1</v>
      </c>
      <c r="J95" s="69">
        <f>IMR!J89</f>
        <v>1</v>
      </c>
      <c r="K95" s="69">
        <f>IMR!K89</f>
        <v>0</v>
      </c>
      <c r="L95" s="69">
        <f t="shared" si="34"/>
        <v>5</v>
      </c>
      <c r="M95" s="69">
        <f t="shared" si="35"/>
        <v>5</v>
      </c>
      <c r="N95" s="69">
        <f t="shared" si="36"/>
        <v>4</v>
      </c>
      <c r="O95" s="69">
        <f t="shared" si="37"/>
        <v>4</v>
      </c>
      <c r="P95" s="69">
        <f t="shared" si="38"/>
        <v>4</v>
      </c>
      <c r="Q95" s="69">
        <f t="shared" si="39"/>
        <v>4</v>
      </c>
      <c r="R95" s="70">
        <f t="shared" si="40"/>
        <v>-1.3862943611198906</v>
      </c>
      <c r="S95" s="70">
        <f t="shared" si="41"/>
        <v>-1.3862943611198906</v>
      </c>
      <c r="T95" s="70">
        <f t="shared" si="42"/>
        <v>-1.4481564473588955</v>
      </c>
      <c r="U95" s="70">
        <f t="shared" si="43"/>
        <v>-1.4481564473588955</v>
      </c>
      <c r="V95" s="70">
        <f t="shared" si="44"/>
        <v>1.1180339887498949</v>
      </c>
      <c r="W95" s="70">
        <f t="shared" si="45"/>
        <v>1.1180339887498949</v>
      </c>
      <c r="X95" s="70">
        <f t="shared" si="46"/>
        <v>0</v>
      </c>
      <c r="Y95" s="70">
        <f t="shared" si="47"/>
        <v>1.5811388300841898</v>
      </c>
      <c r="Z95" s="70">
        <f t="shared" si="48"/>
        <v>0</v>
      </c>
      <c r="AA95" s="69" t="str">
        <f t="shared" si="49"/>
        <v>Negligible</v>
      </c>
      <c r="AB95" s="69" t="str">
        <f t="shared" si="50"/>
        <v>Tidak Ada Indikasi Bias</v>
      </c>
    </row>
    <row r="96" spans="1:28" ht="62.5" x14ac:dyDescent="0.35">
      <c r="A96" s="71" t="str">
        <f>IMR!A90</f>
        <v>86. Organisasi pendidikan harus menangani kritik dan saran dari pihak berkepentingan, maka dari itu, organisasi pendidikan harus menetapkan prosedur yang mencakup salah satunya …</v>
      </c>
      <c r="B96" s="69">
        <f>IMR!B90</f>
        <v>0</v>
      </c>
      <c r="C96" s="69">
        <f>IMR!C90</f>
        <v>1</v>
      </c>
      <c r="D96" s="69">
        <f>IMR!D90</f>
        <v>0</v>
      </c>
      <c r="E96" s="69">
        <f>IMR!E90</f>
        <v>0</v>
      </c>
      <c r="F96" s="69">
        <f>IMR!F90</f>
        <v>0</v>
      </c>
      <c r="G96" s="69">
        <f>IMR!G90</f>
        <v>0</v>
      </c>
      <c r="H96" s="69">
        <f>IMR!H90</f>
        <v>1</v>
      </c>
      <c r="I96" s="69">
        <f>IMR!I90</f>
        <v>0</v>
      </c>
      <c r="J96" s="69">
        <f>IMR!J90</f>
        <v>1</v>
      </c>
      <c r="K96" s="69">
        <f>IMR!K90</f>
        <v>1</v>
      </c>
      <c r="L96" s="69">
        <f t="shared" si="34"/>
        <v>5</v>
      </c>
      <c r="M96" s="69">
        <f t="shared" si="35"/>
        <v>5</v>
      </c>
      <c r="N96" s="69">
        <f t="shared" si="36"/>
        <v>2</v>
      </c>
      <c r="O96" s="69">
        <f t="shared" si="37"/>
        <v>2</v>
      </c>
      <c r="P96" s="69">
        <f t="shared" si="38"/>
        <v>2</v>
      </c>
      <c r="Q96" s="69">
        <f t="shared" si="39"/>
        <v>2</v>
      </c>
      <c r="R96" s="70">
        <f t="shared" si="40"/>
        <v>0.40546510810816438</v>
      </c>
      <c r="S96" s="70">
        <f t="shared" si="41"/>
        <v>0.40546510810816438</v>
      </c>
      <c r="T96" s="70">
        <f t="shared" si="42"/>
        <v>0.34360302186915948</v>
      </c>
      <c r="U96" s="70">
        <f t="shared" si="43"/>
        <v>0.34360302186915948</v>
      </c>
      <c r="V96" s="70">
        <f t="shared" si="44"/>
        <v>0.91287092917527679</v>
      </c>
      <c r="W96" s="70">
        <f t="shared" si="45"/>
        <v>0.91287092917527679</v>
      </c>
      <c r="X96" s="70">
        <f t="shared" si="46"/>
        <v>0</v>
      </c>
      <c r="Y96" s="70">
        <f t="shared" si="47"/>
        <v>1.2909944487358056</v>
      </c>
      <c r="Z96" s="70">
        <f t="shared" si="48"/>
        <v>0</v>
      </c>
      <c r="AA96" s="69" t="str">
        <f t="shared" si="49"/>
        <v>Negligible</v>
      </c>
      <c r="AB96" s="69" t="str">
        <f t="shared" si="50"/>
        <v>Tidak Ada Indikasi Bias</v>
      </c>
    </row>
    <row r="97" spans="1:28" ht="37.5" customHeight="1" x14ac:dyDescent="0.35">
      <c r="A97" s="71" t="str">
        <f>IMR!A91</f>
        <v>87. Feedback apa saja yang harus dikumpulkan oleh organisasi pendidikan dari pihak berkepentingan?</v>
      </c>
      <c r="B97" s="69">
        <f>IMR!B91</f>
        <v>1</v>
      </c>
      <c r="C97" s="69">
        <f>IMR!C91</f>
        <v>1</v>
      </c>
      <c r="D97" s="69">
        <f>IMR!D91</f>
        <v>0</v>
      </c>
      <c r="E97" s="69">
        <f>IMR!E91</f>
        <v>0</v>
      </c>
      <c r="F97" s="69">
        <f>IMR!F91</f>
        <v>1</v>
      </c>
      <c r="G97" s="69">
        <f>IMR!G91</f>
        <v>0</v>
      </c>
      <c r="H97" s="69">
        <f>IMR!H91</f>
        <v>0</v>
      </c>
      <c r="I97" s="69">
        <f>IMR!I91</f>
        <v>0</v>
      </c>
      <c r="J97" s="69">
        <f>IMR!J91</f>
        <v>1</v>
      </c>
      <c r="K97" s="69">
        <f>IMR!K91</f>
        <v>0</v>
      </c>
      <c r="L97" s="69">
        <f t="shared" si="34"/>
        <v>5</v>
      </c>
      <c r="M97" s="69">
        <f t="shared" si="35"/>
        <v>5</v>
      </c>
      <c r="N97" s="69">
        <f t="shared" si="36"/>
        <v>2</v>
      </c>
      <c r="O97" s="69">
        <f t="shared" si="37"/>
        <v>2</v>
      </c>
      <c r="P97" s="69">
        <f t="shared" si="38"/>
        <v>2</v>
      </c>
      <c r="Q97" s="69">
        <f t="shared" si="39"/>
        <v>2</v>
      </c>
      <c r="R97" s="70">
        <f t="shared" si="40"/>
        <v>0.40546510810816438</v>
      </c>
      <c r="S97" s="70">
        <f t="shared" si="41"/>
        <v>0.40546510810816438</v>
      </c>
      <c r="T97" s="70">
        <f t="shared" si="42"/>
        <v>0.34360302186915948</v>
      </c>
      <c r="U97" s="70">
        <f t="shared" si="43"/>
        <v>0.34360302186915948</v>
      </c>
      <c r="V97" s="70">
        <f t="shared" si="44"/>
        <v>0.91287092917527679</v>
      </c>
      <c r="W97" s="70">
        <f t="shared" si="45"/>
        <v>0.91287092917527679</v>
      </c>
      <c r="X97" s="70">
        <f t="shared" si="46"/>
        <v>0</v>
      </c>
      <c r="Y97" s="70">
        <f t="shared" si="47"/>
        <v>1.2909944487358056</v>
      </c>
      <c r="Z97" s="70">
        <f t="shared" si="48"/>
        <v>0</v>
      </c>
      <c r="AA97" s="69" t="str">
        <f t="shared" si="49"/>
        <v>Negligible</v>
      </c>
      <c r="AB97" s="69" t="str">
        <f t="shared" si="50"/>
        <v>Tidak Ada Indikasi Bias</v>
      </c>
    </row>
    <row r="98" spans="1:28" ht="37.5" x14ac:dyDescent="0.35">
      <c r="A98" s="71" t="str">
        <f>IMR!A92</f>
        <v>88. Mengapa organisasi pendidikan tidak diperbolehkan memilih auditor internal untuk mengaudit divisinya sendiri?</v>
      </c>
      <c r="B98" s="69">
        <f>IMR!B92</f>
        <v>1</v>
      </c>
      <c r="C98" s="69">
        <f>IMR!C92</f>
        <v>1</v>
      </c>
      <c r="D98" s="69">
        <f>IMR!D92</f>
        <v>1</v>
      </c>
      <c r="E98" s="69">
        <f>IMR!E92</f>
        <v>0</v>
      </c>
      <c r="F98" s="69">
        <f>IMR!F92</f>
        <v>1</v>
      </c>
      <c r="G98" s="69">
        <f>IMR!G92</f>
        <v>0</v>
      </c>
      <c r="H98" s="69">
        <f>IMR!H92</f>
        <v>0</v>
      </c>
      <c r="I98" s="69">
        <f>IMR!I92</f>
        <v>0</v>
      </c>
      <c r="J98" s="69">
        <f>IMR!J92</f>
        <v>0</v>
      </c>
      <c r="K98" s="69">
        <f>IMR!K92</f>
        <v>0</v>
      </c>
      <c r="L98" s="69">
        <f t="shared" si="34"/>
        <v>5</v>
      </c>
      <c r="M98" s="69">
        <f t="shared" si="35"/>
        <v>5</v>
      </c>
      <c r="N98" s="69">
        <f t="shared" si="36"/>
        <v>2</v>
      </c>
      <c r="O98" s="69">
        <f t="shared" si="37"/>
        <v>2</v>
      </c>
      <c r="P98" s="69">
        <f t="shared" si="38"/>
        <v>2</v>
      </c>
      <c r="Q98" s="69">
        <f t="shared" si="39"/>
        <v>2</v>
      </c>
      <c r="R98" s="70">
        <f t="shared" si="40"/>
        <v>0.40546510810816438</v>
      </c>
      <c r="S98" s="70">
        <f t="shared" si="41"/>
        <v>0.40546510810816438</v>
      </c>
      <c r="T98" s="70">
        <f t="shared" si="42"/>
        <v>0.34360302186915948</v>
      </c>
      <c r="U98" s="70">
        <f t="shared" si="43"/>
        <v>0.34360302186915948</v>
      </c>
      <c r="V98" s="70">
        <f t="shared" si="44"/>
        <v>0.91287092917527679</v>
      </c>
      <c r="W98" s="70">
        <f t="shared" si="45"/>
        <v>0.91287092917527679</v>
      </c>
      <c r="X98" s="70">
        <f t="shared" si="46"/>
        <v>0</v>
      </c>
      <c r="Y98" s="70">
        <f t="shared" si="47"/>
        <v>1.2909944487358056</v>
      </c>
      <c r="Z98" s="70">
        <f t="shared" si="48"/>
        <v>0</v>
      </c>
      <c r="AA98" s="69" t="str">
        <f t="shared" si="49"/>
        <v>Negligible</v>
      </c>
      <c r="AB98" s="69" t="str">
        <f t="shared" si="50"/>
        <v>Tidak Ada Indikasi Bias</v>
      </c>
    </row>
    <row r="99" spans="1:28" ht="62.5" x14ac:dyDescent="0.35">
      <c r="A99" s="71" t="str">
        <f>IMR!A93</f>
        <v>89. Ketika melakukan audit terhadap penerapan SPMI terintegrasi ISO 21001:2018, apa yang berubah dibandingkan dengan melakukan audit ISO 21001:2018 saja?</v>
      </c>
      <c r="B99" s="69">
        <f>IMR!B93</f>
        <v>1</v>
      </c>
      <c r="C99" s="69">
        <f>IMR!C93</f>
        <v>0</v>
      </c>
      <c r="D99" s="69">
        <f>IMR!D93</f>
        <v>1</v>
      </c>
      <c r="E99" s="69">
        <f>IMR!E93</f>
        <v>0</v>
      </c>
      <c r="F99" s="69">
        <f>IMR!F93</f>
        <v>0</v>
      </c>
      <c r="G99" s="69">
        <f>IMR!G93</f>
        <v>0</v>
      </c>
      <c r="H99" s="69">
        <f>IMR!H93</f>
        <v>0</v>
      </c>
      <c r="I99" s="69">
        <f>IMR!I93</f>
        <v>0</v>
      </c>
      <c r="J99" s="69">
        <f>IMR!J93</f>
        <v>0</v>
      </c>
      <c r="K99" s="69">
        <f>IMR!K93</f>
        <v>0</v>
      </c>
      <c r="L99" s="69">
        <f t="shared" si="34"/>
        <v>5</v>
      </c>
      <c r="M99" s="69">
        <f t="shared" si="35"/>
        <v>5</v>
      </c>
      <c r="N99" s="69">
        <f t="shared" si="36"/>
        <v>1</v>
      </c>
      <c r="O99" s="69">
        <f t="shared" si="37"/>
        <v>1</v>
      </c>
      <c r="P99" s="69">
        <f t="shared" si="38"/>
        <v>1</v>
      </c>
      <c r="Q99" s="69">
        <f t="shared" si="39"/>
        <v>1</v>
      </c>
      <c r="R99" s="70">
        <f t="shared" si="40"/>
        <v>1.3862943611198906</v>
      </c>
      <c r="S99" s="70">
        <f t="shared" si="41"/>
        <v>1.3862943611198906</v>
      </c>
      <c r="T99" s="70">
        <f t="shared" si="42"/>
        <v>1.3244322748808857</v>
      </c>
      <c r="U99" s="70">
        <f t="shared" si="43"/>
        <v>1.3244322748808857</v>
      </c>
      <c r="V99" s="70">
        <f t="shared" si="44"/>
        <v>1.1180339887498949</v>
      </c>
      <c r="W99" s="70">
        <f t="shared" si="45"/>
        <v>1.1180339887498949</v>
      </c>
      <c r="X99" s="70">
        <f t="shared" si="46"/>
        <v>0</v>
      </c>
      <c r="Y99" s="70">
        <f t="shared" si="47"/>
        <v>1.5811388300841898</v>
      </c>
      <c r="Z99" s="70">
        <f t="shared" si="48"/>
        <v>0</v>
      </c>
      <c r="AA99" s="69" t="str">
        <f t="shared" si="49"/>
        <v>Negligible</v>
      </c>
      <c r="AB99" s="69" t="str">
        <f t="shared" si="50"/>
        <v>Tidak Ada Indikasi Bias</v>
      </c>
    </row>
    <row r="100" spans="1:28" ht="37.5" customHeight="1" x14ac:dyDescent="0.35">
      <c r="A100" s="71" t="str">
        <f>IMR!A94</f>
        <v>90. Informasi terdokumentasi apa saja yang harus disusun organisasi pendidikan terkait dengan audit internal?</v>
      </c>
      <c r="B100" s="69">
        <f>IMR!B94</f>
        <v>0</v>
      </c>
      <c r="C100" s="69">
        <f>IMR!C94</f>
        <v>0</v>
      </c>
      <c r="D100" s="69">
        <f>IMR!D94</f>
        <v>1</v>
      </c>
      <c r="E100" s="69">
        <f>IMR!E94</f>
        <v>0</v>
      </c>
      <c r="F100" s="69">
        <f>IMR!F94</f>
        <v>1</v>
      </c>
      <c r="G100" s="69">
        <f>IMR!G94</f>
        <v>1</v>
      </c>
      <c r="H100" s="69">
        <f>IMR!H94</f>
        <v>1</v>
      </c>
      <c r="I100" s="69">
        <f>IMR!I94</f>
        <v>1</v>
      </c>
      <c r="J100" s="69">
        <f>IMR!J94</f>
        <v>1</v>
      </c>
      <c r="K100" s="69">
        <f>IMR!K94</f>
        <v>0</v>
      </c>
      <c r="L100" s="69">
        <f t="shared" si="34"/>
        <v>5</v>
      </c>
      <c r="M100" s="69">
        <f t="shared" si="35"/>
        <v>5</v>
      </c>
      <c r="N100" s="69">
        <f t="shared" si="36"/>
        <v>3</v>
      </c>
      <c r="O100" s="69">
        <f t="shared" si="37"/>
        <v>3</v>
      </c>
      <c r="P100" s="69">
        <f t="shared" si="38"/>
        <v>3</v>
      </c>
      <c r="Q100" s="69">
        <f t="shared" si="39"/>
        <v>3</v>
      </c>
      <c r="R100" s="70">
        <f t="shared" si="40"/>
        <v>-0.40546510810816444</v>
      </c>
      <c r="S100" s="70">
        <f t="shared" si="41"/>
        <v>-0.40546510810816444</v>
      </c>
      <c r="T100" s="70">
        <f t="shared" si="42"/>
        <v>-0.46732719434716941</v>
      </c>
      <c r="U100" s="70">
        <f t="shared" si="43"/>
        <v>-0.46732719434716941</v>
      </c>
      <c r="V100" s="70">
        <f t="shared" si="44"/>
        <v>0.91287092917527679</v>
      </c>
      <c r="W100" s="70">
        <f t="shared" si="45"/>
        <v>0.91287092917527679</v>
      </c>
      <c r="X100" s="70">
        <f t="shared" si="46"/>
        <v>0</v>
      </c>
      <c r="Y100" s="70">
        <f t="shared" si="47"/>
        <v>1.2909944487358056</v>
      </c>
      <c r="Z100" s="70">
        <f t="shared" si="48"/>
        <v>0</v>
      </c>
      <c r="AA100" s="69" t="str">
        <f t="shared" si="49"/>
        <v>Negligible</v>
      </c>
      <c r="AB100" s="69" t="str">
        <f t="shared" si="50"/>
        <v>Tidak Ada Indikasi Bias</v>
      </c>
    </row>
    <row r="101" spans="1:28" ht="50" x14ac:dyDescent="0.35">
      <c r="A101" s="71" t="str">
        <f>IMR!A95</f>
        <v>91. Cara pandang auditor yang tidak memihak dalam melakukan audit, merupakan syarat yang harus dipenuhi auditor untuk …</v>
      </c>
      <c r="B101" s="69">
        <f>IMR!B95</f>
        <v>1</v>
      </c>
      <c r="C101" s="69">
        <f>IMR!C95</f>
        <v>1</v>
      </c>
      <c r="D101" s="69">
        <f>IMR!D95</f>
        <v>0</v>
      </c>
      <c r="E101" s="69">
        <f>IMR!E95</f>
        <v>1</v>
      </c>
      <c r="F101" s="69">
        <f>IMR!F95</f>
        <v>0</v>
      </c>
      <c r="G101" s="69">
        <f>IMR!G95</f>
        <v>0</v>
      </c>
      <c r="H101" s="69">
        <f>IMR!H95</f>
        <v>0</v>
      </c>
      <c r="I101" s="69">
        <f>IMR!I95</f>
        <v>0</v>
      </c>
      <c r="J101" s="69">
        <f>IMR!J95</f>
        <v>0</v>
      </c>
      <c r="K101" s="69">
        <f>IMR!K95</f>
        <v>1</v>
      </c>
      <c r="L101" s="69">
        <f t="shared" si="34"/>
        <v>5</v>
      </c>
      <c r="M101" s="69">
        <f t="shared" si="35"/>
        <v>5</v>
      </c>
      <c r="N101" s="69">
        <f t="shared" si="36"/>
        <v>2</v>
      </c>
      <c r="O101" s="69">
        <f t="shared" si="37"/>
        <v>2</v>
      </c>
      <c r="P101" s="69">
        <f t="shared" si="38"/>
        <v>2</v>
      </c>
      <c r="Q101" s="69">
        <f t="shared" si="39"/>
        <v>2</v>
      </c>
      <c r="R101" s="70">
        <f t="shared" si="40"/>
        <v>0.40546510810816438</v>
      </c>
      <c r="S101" s="70">
        <f t="shared" si="41"/>
        <v>0.40546510810816438</v>
      </c>
      <c r="T101" s="70">
        <f t="shared" si="42"/>
        <v>0.34360302186915948</v>
      </c>
      <c r="U101" s="70">
        <f t="shared" si="43"/>
        <v>0.34360302186915948</v>
      </c>
      <c r="V101" s="70">
        <f t="shared" si="44"/>
        <v>0.91287092917527679</v>
      </c>
      <c r="W101" s="70">
        <f t="shared" si="45"/>
        <v>0.91287092917527679</v>
      </c>
      <c r="X101" s="70">
        <f t="shared" si="46"/>
        <v>0</v>
      </c>
      <c r="Y101" s="70">
        <f t="shared" si="47"/>
        <v>1.2909944487358056</v>
      </c>
      <c r="Z101" s="70">
        <f t="shared" si="48"/>
        <v>0</v>
      </c>
      <c r="AA101" s="69" t="str">
        <f t="shared" si="49"/>
        <v>Negligible</v>
      </c>
      <c r="AB101" s="69" t="str">
        <f t="shared" si="50"/>
        <v>Tidak Ada Indikasi Bias</v>
      </c>
    </row>
    <row r="102" spans="1:28" ht="62.5" x14ac:dyDescent="0.35">
      <c r="A102" s="71" t="str">
        <f>IMR!A96</f>
        <v>92. Auditor tidak boleh membiarkan pertimbangan auditnya mendapat pengaruh dari pihak lain, merupakan syarat yang harus dipenuhi auditor untuk …</v>
      </c>
      <c r="B102" s="69">
        <f>IMR!B96</f>
        <v>0</v>
      </c>
      <c r="C102" s="69">
        <f>IMR!C96</f>
        <v>0</v>
      </c>
      <c r="D102" s="69">
        <f>IMR!D96</f>
        <v>0</v>
      </c>
      <c r="E102" s="69">
        <f>IMR!E96</f>
        <v>0</v>
      </c>
      <c r="F102" s="69">
        <f>IMR!F96</f>
        <v>1</v>
      </c>
      <c r="G102" s="69">
        <f>IMR!G96</f>
        <v>1</v>
      </c>
      <c r="H102" s="69">
        <f>IMR!H96</f>
        <v>0</v>
      </c>
      <c r="I102" s="69">
        <f>IMR!I96</f>
        <v>1</v>
      </c>
      <c r="J102" s="69">
        <f>IMR!J96</f>
        <v>0</v>
      </c>
      <c r="K102" s="69">
        <f>IMR!K96</f>
        <v>1</v>
      </c>
      <c r="L102" s="69">
        <f t="shared" si="34"/>
        <v>5</v>
      </c>
      <c r="M102" s="69">
        <f t="shared" si="35"/>
        <v>5</v>
      </c>
      <c r="N102" s="69">
        <f t="shared" si="36"/>
        <v>2</v>
      </c>
      <c r="O102" s="69">
        <f t="shared" si="37"/>
        <v>2</v>
      </c>
      <c r="P102" s="69">
        <f t="shared" si="38"/>
        <v>2</v>
      </c>
      <c r="Q102" s="69">
        <f t="shared" si="39"/>
        <v>2</v>
      </c>
      <c r="R102" s="70">
        <f t="shared" si="40"/>
        <v>0.40546510810816438</v>
      </c>
      <c r="S102" s="70">
        <f t="shared" si="41"/>
        <v>0.40546510810816438</v>
      </c>
      <c r="T102" s="70">
        <f t="shared" si="42"/>
        <v>0.34360302186915948</v>
      </c>
      <c r="U102" s="70">
        <f t="shared" si="43"/>
        <v>0.34360302186915948</v>
      </c>
      <c r="V102" s="70">
        <f t="shared" si="44"/>
        <v>0.91287092917527679</v>
      </c>
      <c r="W102" s="70">
        <f t="shared" si="45"/>
        <v>0.91287092917527679</v>
      </c>
      <c r="X102" s="70">
        <f t="shared" si="46"/>
        <v>0</v>
      </c>
      <c r="Y102" s="70">
        <f t="shared" si="47"/>
        <v>1.2909944487358056</v>
      </c>
      <c r="Z102" s="70">
        <f t="shared" si="48"/>
        <v>0</v>
      </c>
      <c r="AA102" s="69" t="str">
        <f t="shared" si="49"/>
        <v>Negligible</v>
      </c>
      <c r="AB102" s="69" t="str">
        <f t="shared" si="50"/>
        <v>Tidak Ada Indikasi Bias</v>
      </c>
    </row>
    <row r="103" spans="1:28" ht="37.5" customHeight="1" x14ac:dyDescent="0.35">
      <c r="A103" s="71" t="str">
        <f>IMR!A97</f>
        <v>93. Dalam menyusun notulen rapat tinjauan manajemen, minimal harus terdapat poin berikut, kecuali …</v>
      </c>
      <c r="B103" s="69">
        <f>IMR!B97</f>
        <v>0</v>
      </c>
      <c r="C103" s="69">
        <f>IMR!C97</f>
        <v>0</v>
      </c>
      <c r="D103" s="69">
        <f>IMR!D97</f>
        <v>1</v>
      </c>
      <c r="E103" s="69">
        <f>IMR!E97</f>
        <v>0</v>
      </c>
      <c r="F103" s="69">
        <f>IMR!F97</f>
        <v>1</v>
      </c>
      <c r="G103" s="69">
        <f>IMR!G97</f>
        <v>1</v>
      </c>
      <c r="H103" s="69">
        <f>IMR!H97</f>
        <v>1</v>
      </c>
      <c r="I103" s="69">
        <f>IMR!I97</f>
        <v>1</v>
      </c>
      <c r="J103" s="69">
        <f>IMR!J97</f>
        <v>1</v>
      </c>
      <c r="K103" s="69">
        <f>IMR!K97</f>
        <v>0</v>
      </c>
      <c r="L103" s="69">
        <f t="shared" si="34"/>
        <v>5</v>
      </c>
      <c r="M103" s="69">
        <f t="shared" si="35"/>
        <v>5</v>
      </c>
      <c r="N103" s="69">
        <f t="shared" si="36"/>
        <v>3</v>
      </c>
      <c r="O103" s="69">
        <f t="shared" si="37"/>
        <v>3</v>
      </c>
      <c r="P103" s="69">
        <f t="shared" si="38"/>
        <v>3</v>
      </c>
      <c r="Q103" s="69">
        <f t="shared" si="39"/>
        <v>3</v>
      </c>
      <c r="R103" s="70">
        <f t="shared" si="40"/>
        <v>-0.40546510810816444</v>
      </c>
      <c r="S103" s="70">
        <f t="shared" si="41"/>
        <v>-0.40546510810816444</v>
      </c>
      <c r="T103" s="70">
        <f t="shared" si="42"/>
        <v>-0.46732719434716941</v>
      </c>
      <c r="U103" s="70">
        <f t="shared" si="43"/>
        <v>-0.46732719434716941</v>
      </c>
      <c r="V103" s="70">
        <f t="shared" si="44"/>
        <v>0.91287092917527679</v>
      </c>
      <c r="W103" s="70">
        <f t="shared" si="45"/>
        <v>0.91287092917527679</v>
      </c>
      <c r="X103" s="70">
        <f t="shared" si="46"/>
        <v>0</v>
      </c>
      <c r="Y103" s="70">
        <f t="shared" si="47"/>
        <v>1.2909944487358056</v>
      </c>
      <c r="Z103" s="70">
        <f t="shared" si="48"/>
        <v>0</v>
      </c>
      <c r="AA103" s="69" t="str">
        <f t="shared" si="49"/>
        <v>Negligible</v>
      </c>
      <c r="AB103" s="69" t="str">
        <f t="shared" si="50"/>
        <v>Tidak Ada Indikasi Bias</v>
      </c>
    </row>
    <row r="104" spans="1:28" ht="50" customHeight="1" x14ac:dyDescent="0.35">
      <c r="A104" s="71" t="str">
        <f>IMR!A98</f>
        <v>94. Ketika organisasi pendidikan mengevaluasi tindakan untuk mengeliminasi penyebab ketidaksesuaian, hal ini harus dapat menjamin bahwa ketidaksesuaian ini tidak akan muncul lagi dimanapun dengan …</v>
      </c>
      <c r="B104" s="69">
        <f>IMR!B98</f>
        <v>0</v>
      </c>
      <c r="C104" s="69">
        <f>IMR!C98</f>
        <v>1</v>
      </c>
      <c r="D104" s="69">
        <f>IMR!D98</f>
        <v>0</v>
      </c>
      <c r="E104" s="69">
        <f>IMR!E98</f>
        <v>0</v>
      </c>
      <c r="F104" s="69">
        <f>IMR!F98</f>
        <v>0</v>
      </c>
      <c r="G104" s="69">
        <f>IMR!G98</f>
        <v>0</v>
      </c>
      <c r="H104" s="69">
        <f>IMR!H98</f>
        <v>1</v>
      </c>
      <c r="I104" s="69">
        <f>IMR!I98</f>
        <v>0</v>
      </c>
      <c r="J104" s="69">
        <f>IMR!J98</f>
        <v>1</v>
      </c>
      <c r="K104" s="69">
        <f>IMR!K98</f>
        <v>1</v>
      </c>
      <c r="L104" s="69">
        <f t="shared" si="34"/>
        <v>5</v>
      </c>
      <c r="M104" s="69">
        <f t="shared" si="35"/>
        <v>5</v>
      </c>
      <c r="N104" s="69">
        <f t="shared" si="36"/>
        <v>2</v>
      </c>
      <c r="O104" s="69">
        <f t="shared" si="37"/>
        <v>2</v>
      </c>
      <c r="P104" s="69">
        <f t="shared" si="38"/>
        <v>2</v>
      </c>
      <c r="Q104" s="69">
        <f t="shared" si="39"/>
        <v>2</v>
      </c>
      <c r="R104" s="70">
        <f t="shared" si="40"/>
        <v>0.40546510810816438</v>
      </c>
      <c r="S104" s="70">
        <f t="shared" si="41"/>
        <v>0.40546510810816438</v>
      </c>
      <c r="T104" s="70">
        <f t="shared" si="42"/>
        <v>0.34360302186915948</v>
      </c>
      <c r="U104" s="70">
        <f t="shared" si="43"/>
        <v>0.34360302186915948</v>
      </c>
      <c r="V104" s="70">
        <f t="shared" si="44"/>
        <v>0.91287092917527679</v>
      </c>
      <c r="W104" s="70">
        <f t="shared" si="45"/>
        <v>0.91287092917527679</v>
      </c>
      <c r="X104" s="70">
        <f t="shared" si="46"/>
        <v>0</v>
      </c>
      <c r="Y104" s="70">
        <f t="shared" si="47"/>
        <v>1.2909944487358056</v>
      </c>
      <c r="Z104" s="70">
        <f t="shared" si="48"/>
        <v>0</v>
      </c>
      <c r="AA104" s="69" t="str">
        <f t="shared" si="49"/>
        <v>Negligible</v>
      </c>
      <c r="AB104" s="69" t="str">
        <f t="shared" si="50"/>
        <v>Tidak Ada Indikasi Bias</v>
      </c>
    </row>
    <row r="105" spans="1:28" ht="50" x14ac:dyDescent="0.35">
      <c r="A105" s="71" t="str">
        <f>IMR!A99</f>
        <v>95. Informasi terdokumentasi terkait apa saja yang harus disusun oleh organisasi pendidikan berkaitan dengan ketidaksesuaian?</v>
      </c>
      <c r="B105" s="69">
        <f>IMR!B99</f>
        <v>1</v>
      </c>
      <c r="C105" s="69">
        <f>IMR!C99</f>
        <v>1</v>
      </c>
      <c r="D105" s="69">
        <f>IMR!D99</f>
        <v>1</v>
      </c>
      <c r="E105" s="69">
        <f>IMR!E99</f>
        <v>1</v>
      </c>
      <c r="F105" s="69">
        <f>IMR!F99</f>
        <v>1</v>
      </c>
      <c r="G105" s="69">
        <f>IMR!G99</f>
        <v>1</v>
      </c>
      <c r="H105" s="69">
        <f>IMR!H99</f>
        <v>0</v>
      </c>
      <c r="I105" s="69">
        <f>IMR!I99</f>
        <v>0</v>
      </c>
      <c r="J105" s="69">
        <f>IMR!J99</f>
        <v>0</v>
      </c>
      <c r="K105" s="69">
        <f>IMR!K99</f>
        <v>0</v>
      </c>
      <c r="L105" s="69">
        <f t="shared" si="34"/>
        <v>5</v>
      </c>
      <c r="M105" s="69">
        <f t="shared" si="35"/>
        <v>5</v>
      </c>
      <c r="N105" s="69">
        <f t="shared" si="36"/>
        <v>3</v>
      </c>
      <c r="O105" s="69">
        <f t="shared" si="37"/>
        <v>3</v>
      </c>
      <c r="P105" s="69">
        <f t="shared" si="38"/>
        <v>3</v>
      </c>
      <c r="Q105" s="69">
        <f t="shared" si="39"/>
        <v>3</v>
      </c>
      <c r="R105" s="70">
        <f t="shared" si="40"/>
        <v>-0.40546510810816444</v>
      </c>
      <c r="S105" s="70">
        <f t="shared" si="41"/>
        <v>-0.40546510810816444</v>
      </c>
      <c r="T105" s="70">
        <f t="shared" si="42"/>
        <v>-0.46732719434716941</v>
      </c>
      <c r="U105" s="70">
        <f t="shared" si="43"/>
        <v>-0.46732719434716941</v>
      </c>
      <c r="V105" s="70">
        <f t="shared" si="44"/>
        <v>0.91287092917527679</v>
      </c>
      <c r="W105" s="70">
        <f t="shared" si="45"/>
        <v>0.91287092917527679</v>
      </c>
      <c r="X105" s="70">
        <f t="shared" si="46"/>
        <v>0</v>
      </c>
      <c r="Y105" s="70">
        <f t="shared" si="47"/>
        <v>1.2909944487358056</v>
      </c>
      <c r="Z105" s="70">
        <f t="shared" si="48"/>
        <v>0</v>
      </c>
      <c r="AA105" s="69" t="str">
        <f t="shared" si="49"/>
        <v>Negligible</v>
      </c>
      <c r="AB105" s="69" t="str">
        <f t="shared" si="50"/>
        <v>Tidak Ada Indikasi Bias</v>
      </c>
    </row>
    <row r="106" spans="1:28" ht="37.5" x14ac:dyDescent="0.35">
      <c r="A106" s="71" t="str">
        <f>IMR!A100</f>
        <v>96. Apa saja yang perlu ditingkatkan oleh organisasi pendidikan berkaitan dengan SMOP?</v>
      </c>
      <c r="B106" s="69">
        <f>IMR!B100</f>
        <v>0</v>
      </c>
      <c r="C106" s="69">
        <f>IMR!C100</f>
        <v>0</v>
      </c>
      <c r="D106" s="69">
        <f>IMR!D100</f>
        <v>0</v>
      </c>
      <c r="E106" s="69">
        <f>IMR!E100</f>
        <v>0</v>
      </c>
      <c r="F106" s="69">
        <f>IMR!F100</f>
        <v>1</v>
      </c>
      <c r="G106" s="69">
        <f>IMR!G100</f>
        <v>0</v>
      </c>
      <c r="H106" s="69">
        <f>IMR!H100</f>
        <v>1</v>
      </c>
      <c r="I106" s="69">
        <f>IMR!I100</f>
        <v>1</v>
      </c>
      <c r="J106" s="69">
        <f>IMR!J100</f>
        <v>0</v>
      </c>
      <c r="K106" s="69">
        <f>IMR!K100</f>
        <v>1</v>
      </c>
      <c r="L106" s="69">
        <f t="shared" si="34"/>
        <v>5</v>
      </c>
      <c r="M106" s="69">
        <f t="shared" si="35"/>
        <v>5</v>
      </c>
      <c r="N106" s="69">
        <f t="shared" si="36"/>
        <v>2</v>
      </c>
      <c r="O106" s="69">
        <f t="shared" si="37"/>
        <v>2</v>
      </c>
      <c r="P106" s="69">
        <f t="shared" si="38"/>
        <v>2</v>
      </c>
      <c r="Q106" s="69">
        <f t="shared" si="39"/>
        <v>2</v>
      </c>
      <c r="R106" s="70">
        <f t="shared" si="40"/>
        <v>0.40546510810816438</v>
      </c>
      <c r="S106" s="70">
        <f t="shared" si="41"/>
        <v>0.40546510810816438</v>
      </c>
      <c r="T106" s="70">
        <f t="shared" si="42"/>
        <v>0.34360302186915948</v>
      </c>
      <c r="U106" s="70">
        <f t="shared" si="43"/>
        <v>0.34360302186915948</v>
      </c>
      <c r="V106" s="70">
        <f t="shared" si="44"/>
        <v>0.91287092917527679</v>
      </c>
      <c r="W106" s="70">
        <f t="shared" si="45"/>
        <v>0.91287092917527679</v>
      </c>
      <c r="X106" s="70">
        <f t="shared" si="46"/>
        <v>0</v>
      </c>
      <c r="Y106" s="70">
        <f t="shared" si="47"/>
        <v>1.2909944487358056</v>
      </c>
      <c r="Z106" s="70">
        <f t="shared" si="48"/>
        <v>0</v>
      </c>
      <c r="AA106" s="69" t="str">
        <f t="shared" si="49"/>
        <v>Negligible</v>
      </c>
      <c r="AB106" s="69" t="str">
        <f t="shared" si="50"/>
        <v>Tidak Ada Indikasi Bias</v>
      </c>
    </row>
    <row r="107" spans="1:28" ht="37.5" x14ac:dyDescent="0.35">
      <c r="A107" s="71" t="str">
        <f>IMR!A101</f>
        <v>97. Dalam melakukan peningkatan berkelanjutan, apa saja yang dapat menjadi input bagi organisasi pendidikan?</v>
      </c>
      <c r="B107" s="69">
        <f>IMR!B101</f>
        <v>1</v>
      </c>
      <c r="C107" s="69">
        <f>IMR!C101</f>
        <v>0</v>
      </c>
      <c r="D107" s="69">
        <f>IMR!D101</f>
        <v>1</v>
      </c>
      <c r="E107" s="69">
        <f>IMR!E101</f>
        <v>0</v>
      </c>
      <c r="F107" s="69">
        <f>IMR!F101</f>
        <v>0</v>
      </c>
      <c r="G107" s="69">
        <f>IMR!G101</f>
        <v>0</v>
      </c>
      <c r="H107" s="69">
        <f>IMR!H101</f>
        <v>0</v>
      </c>
      <c r="I107" s="69">
        <f>IMR!I101</f>
        <v>0</v>
      </c>
      <c r="J107" s="69">
        <f>IMR!J101</f>
        <v>0</v>
      </c>
      <c r="K107" s="69">
        <f>IMR!K101</f>
        <v>0</v>
      </c>
      <c r="L107" s="69">
        <f t="shared" si="34"/>
        <v>5</v>
      </c>
      <c r="M107" s="69">
        <f t="shared" si="35"/>
        <v>5</v>
      </c>
      <c r="N107" s="69">
        <f t="shared" si="36"/>
        <v>1</v>
      </c>
      <c r="O107" s="69">
        <f t="shared" si="37"/>
        <v>1</v>
      </c>
      <c r="P107" s="69">
        <f t="shared" si="38"/>
        <v>1</v>
      </c>
      <c r="Q107" s="69">
        <f t="shared" si="39"/>
        <v>1</v>
      </c>
      <c r="R107" s="70">
        <f t="shared" si="40"/>
        <v>1.3862943611198906</v>
      </c>
      <c r="S107" s="70">
        <f t="shared" si="41"/>
        <v>1.3862943611198906</v>
      </c>
      <c r="T107" s="70">
        <f t="shared" si="42"/>
        <v>1.3244322748808857</v>
      </c>
      <c r="U107" s="70">
        <f t="shared" si="43"/>
        <v>1.3244322748808857</v>
      </c>
      <c r="V107" s="70">
        <f t="shared" si="44"/>
        <v>1.1180339887498949</v>
      </c>
      <c r="W107" s="70">
        <f t="shared" si="45"/>
        <v>1.1180339887498949</v>
      </c>
      <c r="X107" s="70">
        <f t="shared" si="46"/>
        <v>0</v>
      </c>
      <c r="Y107" s="70">
        <f t="shared" si="47"/>
        <v>1.5811388300841898</v>
      </c>
      <c r="Z107" s="70">
        <f t="shared" ref="Z107:Z110" si="51">X107/Y107</f>
        <v>0</v>
      </c>
      <c r="AA107" s="69" t="str">
        <f t="shared" ref="AA107:AA110" si="52">IF(AND(ABS(X107)&gt;=$B$4,ABS(Z107)&gt;=$B$5),"DIF Besar - review",IF(AND(ABS(X107)&gt;=$B$3,ABS(Z107)&gt;=$B$5),"DIF Moderat - cek","Negligible"))</f>
        <v>Negligible</v>
      </c>
      <c r="AB107" s="69" t="str">
        <f t="shared" si="50"/>
        <v>Tidak Ada Indikasi Bias</v>
      </c>
    </row>
    <row r="108" spans="1:28" ht="62.5" customHeight="1" x14ac:dyDescent="0.35">
      <c r="A108" s="71" t="str">
        <f>IMR!A102</f>
        <v>98. Pengembangan produk dan layanan pendidikan harus dapat …</v>
      </c>
      <c r="B108" s="69">
        <f>IMR!B102</f>
        <v>0</v>
      </c>
      <c r="C108" s="69">
        <f>IMR!C102</f>
        <v>1</v>
      </c>
      <c r="D108" s="69">
        <f>IMR!D102</f>
        <v>1</v>
      </c>
      <c r="E108" s="69">
        <f>IMR!E102</f>
        <v>1</v>
      </c>
      <c r="F108" s="69">
        <f>IMR!F102</f>
        <v>1</v>
      </c>
      <c r="G108" s="69">
        <f>IMR!G102</f>
        <v>1</v>
      </c>
      <c r="H108" s="69">
        <f>IMR!H102</f>
        <v>0</v>
      </c>
      <c r="I108" s="69">
        <f>IMR!I102</f>
        <v>1</v>
      </c>
      <c r="J108" s="69">
        <f>IMR!J102</f>
        <v>0</v>
      </c>
      <c r="K108" s="69">
        <f>IMR!K102</f>
        <v>0</v>
      </c>
      <c r="L108" s="69">
        <f t="shared" si="34"/>
        <v>5</v>
      </c>
      <c r="M108" s="69">
        <f t="shared" si="35"/>
        <v>5</v>
      </c>
      <c r="N108" s="69">
        <f t="shared" si="36"/>
        <v>3</v>
      </c>
      <c r="O108" s="69">
        <f t="shared" si="37"/>
        <v>3</v>
      </c>
      <c r="P108" s="69">
        <f t="shared" si="38"/>
        <v>3</v>
      </c>
      <c r="Q108" s="69">
        <f t="shared" si="39"/>
        <v>3</v>
      </c>
      <c r="R108" s="70">
        <f t="shared" si="40"/>
        <v>-0.40546510810816444</v>
      </c>
      <c r="S108" s="70">
        <f t="shared" si="41"/>
        <v>-0.40546510810816444</v>
      </c>
      <c r="T108" s="70">
        <f t="shared" si="42"/>
        <v>-0.46732719434716941</v>
      </c>
      <c r="U108" s="70">
        <f t="shared" si="43"/>
        <v>-0.46732719434716941</v>
      </c>
      <c r="V108" s="70">
        <f t="shared" si="44"/>
        <v>0.91287092917527679</v>
      </c>
      <c r="W108" s="70">
        <f t="shared" si="45"/>
        <v>0.91287092917527679</v>
      </c>
      <c r="X108" s="70">
        <f t="shared" si="46"/>
        <v>0</v>
      </c>
      <c r="Y108" s="70">
        <f t="shared" si="47"/>
        <v>1.2909944487358056</v>
      </c>
      <c r="Z108" s="70">
        <f t="shared" si="51"/>
        <v>0</v>
      </c>
      <c r="AA108" s="69" t="str">
        <f t="shared" si="52"/>
        <v>Negligible</v>
      </c>
      <c r="AB108" s="69" t="str">
        <f t="shared" si="50"/>
        <v>Tidak Ada Indikasi Bias</v>
      </c>
    </row>
    <row r="109" spans="1:28" ht="25" x14ac:dyDescent="0.35">
      <c r="A109" s="71" t="str">
        <f>IMR!A103</f>
        <v>99. Materi pembelajaran pendidikan profesi diutamakan untuk …</v>
      </c>
      <c r="B109" s="69">
        <f>IMR!B103</f>
        <v>0</v>
      </c>
      <c r="C109" s="69">
        <f>IMR!C103</f>
        <v>0</v>
      </c>
      <c r="D109" s="69">
        <f>IMR!D103</f>
        <v>0</v>
      </c>
      <c r="E109" s="69">
        <f>IMR!E103</f>
        <v>1</v>
      </c>
      <c r="F109" s="69">
        <f>IMR!F103</f>
        <v>0</v>
      </c>
      <c r="G109" s="69">
        <f>IMR!G103</f>
        <v>1</v>
      </c>
      <c r="H109" s="69">
        <f>IMR!H103</f>
        <v>1</v>
      </c>
      <c r="I109" s="69">
        <f>IMR!I103</f>
        <v>1</v>
      </c>
      <c r="J109" s="69">
        <f>IMR!J103</f>
        <v>1</v>
      </c>
      <c r="K109" s="69">
        <f>IMR!K103</f>
        <v>1</v>
      </c>
      <c r="L109" s="69">
        <f t="shared" si="34"/>
        <v>5</v>
      </c>
      <c r="M109" s="69">
        <f t="shared" si="35"/>
        <v>5</v>
      </c>
      <c r="N109" s="69">
        <f t="shared" si="36"/>
        <v>3</v>
      </c>
      <c r="O109" s="69">
        <f t="shared" si="37"/>
        <v>3</v>
      </c>
      <c r="P109" s="69">
        <f t="shared" si="38"/>
        <v>3</v>
      </c>
      <c r="Q109" s="69">
        <f t="shared" si="39"/>
        <v>3</v>
      </c>
      <c r="R109" s="70">
        <f t="shared" si="40"/>
        <v>-0.40546510810816444</v>
      </c>
      <c r="S109" s="70">
        <f t="shared" si="41"/>
        <v>-0.40546510810816444</v>
      </c>
      <c r="T109" s="70">
        <f t="shared" si="42"/>
        <v>-0.46732719434716941</v>
      </c>
      <c r="U109" s="70">
        <f t="shared" si="43"/>
        <v>-0.46732719434716941</v>
      </c>
      <c r="V109" s="70">
        <f t="shared" si="44"/>
        <v>0.91287092917527679</v>
      </c>
      <c r="W109" s="70">
        <f t="shared" si="45"/>
        <v>0.91287092917527679</v>
      </c>
      <c r="X109" s="70">
        <f t="shared" si="46"/>
        <v>0</v>
      </c>
      <c r="Y109" s="70">
        <f t="shared" si="47"/>
        <v>1.2909944487358056</v>
      </c>
      <c r="Z109" s="70">
        <f t="shared" si="51"/>
        <v>0</v>
      </c>
      <c r="AA109" s="69" t="str">
        <f t="shared" si="52"/>
        <v>Negligible</v>
      </c>
      <c r="AB109" s="69" t="str">
        <f t="shared" si="50"/>
        <v>Tidak Ada Indikasi Bias</v>
      </c>
    </row>
    <row r="110" spans="1:28" ht="62.5" customHeight="1" x14ac:dyDescent="0.35">
      <c r="A110" s="71" t="str">
        <f>IMR!A104</f>
        <v>100. Sumber belajar yang dimiliki organisasi pendidikan, minimum harus …</v>
      </c>
      <c r="B110" s="69">
        <f>IMR!B104</f>
        <v>0</v>
      </c>
      <c r="C110" s="69">
        <f>IMR!C104</f>
        <v>0</v>
      </c>
      <c r="D110" s="69">
        <f>IMR!D104</f>
        <v>0</v>
      </c>
      <c r="E110" s="69">
        <f>IMR!E104</f>
        <v>0</v>
      </c>
      <c r="F110" s="69">
        <f>IMR!F104</f>
        <v>0</v>
      </c>
      <c r="G110" s="69">
        <f>IMR!G104</f>
        <v>1</v>
      </c>
      <c r="H110" s="69">
        <f>IMR!H104</f>
        <v>0</v>
      </c>
      <c r="I110" s="69">
        <f>IMR!I104</f>
        <v>1</v>
      </c>
      <c r="J110" s="69">
        <f>IMR!J104</f>
        <v>1</v>
      </c>
      <c r="K110" s="69">
        <f>IMR!K104</f>
        <v>1</v>
      </c>
      <c r="L110" s="69">
        <f t="shared" si="34"/>
        <v>5</v>
      </c>
      <c r="M110" s="69">
        <f t="shared" si="35"/>
        <v>5</v>
      </c>
      <c r="N110" s="69">
        <f t="shared" si="36"/>
        <v>2</v>
      </c>
      <c r="O110" s="69">
        <f t="shared" si="37"/>
        <v>2</v>
      </c>
      <c r="P110" s="69">
        <f t="shared" si="38"/>
        <v>2</v>
      </c>
      <c r="Q110" s="69">
        <f t="shared" si="39"/>
        <v>2</v>
      </c>
      <c r="R110" s="70">
        <f t="shared" si="40"/>
        <v>0.40546510810816438</v>
      </c>
      <c r="S110" s="70">
        <f t="shared" si="41"/>
        <v>0.40546510810816438</v>
      </c>
      <c r="T110" s="70">
        <f t="shared" si="42"/>
        <v>0.34360302186915948</v>
      </c>
      <c r="U110" s="70">
        <f t="shared" si="43"/>
        <v>0.34360302186915948</v>
      </c>
      <c r="V110" s="70">
        <f t="shared" si="44"/>
        <v>0.91287092917527679</v>
      </c>
      <c r="W110" s="70">
        <f t="shared" si="45"/>
        <v>0.91287092917527679</v>
      </c>
      <c r="X110" s="70">
        <f t="shared" si="46"/>
        <v>0</v>
      </c>
      <c r="Y110" s="70">
        <f t="shared" si="47"/>
        <v>1.2909944487358056</v>
      </c>
      <c r="Z110" s="70">
        <f t="shared" si="51"/>
        <v>0</v>
      </c>
      <c r="AA110" s="69" t="str">
        <f t="shared" si="52"/>
        <v>Negligible</v>
      </c>
      <c r="AB110" s="69" t="str">
        <f t="shared" si="50"/>
        <v>Tidak Ada Indikasi Bias</v>
      </c>
    </row>
    <row r="111" spans="1:28" x14ac:dyDescent="0.35">
      <c r="A111" s="67"/>
      <c r="B111" s="68">
        <f t="shared" ref="B111:K111" si="53">SUM(B11:B110)</f>
        <v>49</v>
      </c>
      <c r="C111" s="68">
        <f t="shared" si="53"/>
        <v>61</v>
      </c>
      <c r="D111" s="68">
        <f t="shared" si="53"/>
        <v>45</v>
      </c>
      <c r="E111" s="68">
        <f t="shared" si="53"/>
        <v>49</v>
      </c>
      <c r="F111" s="68">
        <f t="shared" si="53"/>
        <v>47</v>
      </c>
      <c r="G111" s="68">
        <f t="shared" si="53"/>
        <v>41</v>
      </c>
      <c r="H111" s="68">
        <f t="shared" si="53"/>
        <v>51</v>
      </c>
      <c r="I111" s="68">
        <f t="shared" si="53"/>
        <v>41</v>
      </c>
      <c r="J111" s="68">
        <f t="shared" si="53"/>
        <v>56</v>
      </c>
      <c r="K111" s="68">
        <f t="shared" si="53"/>
        <v>46</v>
      </c>
      <c r="L111" s="67"/>
      <c r="M111" s="67"/>
      <c r="N111" s="67"/>
      <c r="O111" s="67"/>
      <c r="P111" s="67"/>
      <c r="Q111" s="67"/>
      <c r="R111" s="67"/>
      <c r="S111" s="67"/>
      <c r="T111" s="67"/>
      <c r="U111" s="67"/>
      <c r="V111" s="67"/>
      <c r="W111" s="67"/>
      <c r="X111" s="67"/>
      <c r="Y111" s="67"/>
      <c r="Z111" s="67"/>
      <c r="AA111" s="67"/>
      <c r="AB111" s="67"/>
    </row>
    <row r="112" spans="1:28" x14ac:dyDescent="0.35">
      <c r="A112" s="1"/>
      <c r="L112"/>
    </row>
  </sheetData>
  <mergeCells count="28">
    <mergeCell ref="AB9:AB10"/>
    <mergeCell ref="R9:R10"/>
    <mergeCell ref="S9:S10"/>
    <mergeCell ref="T9:T10"/>
    <mergeCell ref="U9:U10"/>
    <mergeCell ref="V9:V10"/>
    <mergeCell ref="X9:X10"/>
    <mergeCell ref="Y9:Y10"/>
    <mergeCell ref="Z9:Z10"/>
    <mergeCell ref="AA9:AA10"/>
    <mergeCell ref="W9:W10"/>
    <mergeCell ref="A1:AC1"/>
    <mergeCell ref="P3:S3"/>
    <mergeCell ref="K4:M4"/>
    <mergeCell ref="P4:R4"/>
    <mergeCell ref="K5:M5"/>
    <mergeCell ref="P5:S5"/>
    <mergeCell ref="K6:M6"/>
    <mergeCell ref="P6:S6"/>
    <mergeCell ref="A9:A10"/>
    <mergeCell ref="B9:K9"/>
    <mergeCell ref="L9:L10"/>
    <mergeCell ref="M9:M10"/>
    <mergeCell ref="N9:N10"/>
    <mergeCell ref="O9:O10"/>
    <mergeCell ref="J7:AA7"/>
    <mergeCell ref="P9:P10"/>
    <mergeCell ref="Q9:Q10"/>
  </mergeCells>
  <pageMargins left="0.26" right="0.16" top="0.6" bottom="0.36" header="0.3" footer="0.3"/>
  <pageSetup scale="59"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74FCA-A7E4-4FC0-A177-6D21F5FE6277}">
  <dimension ref="A1:AG115"/>
  <sheetViews>
    <sheetView view="pageBreakPreview" zoomScale="48" zoomScaleNormal="77" zoomScaleSheetLayoutView="48" workbookViewId="0">
      <selection activeCell="L21" sqref="L21"/>
    </sheetView>
  </sheetViews>
  <sheetFormatPr defaultColWidth="9.08984375" defaultRowHeight="14" x14ac:dyDescent="0.3"/>
  <cols>
    <col min="1" max="1" width="37.90625" style="13" customWidth="1"/>
    <col min="2" max="11" width="5.54296875" style="4" customWidth="1"/>
    <col min="12" max="12" width="11.36328125" style="6" customWidth="1"/>
    <col min="13" max="13" width="9" style="6" customWidth="1"/>
    <col min="14" max="14" width="10.54296875" style="6" customWidth="1"/>
    <col min="15" max="15" width="16.08984375" style="6" customWidth="1"/>
    <col min="16" max="16" width="7.453125" style="6" customWidth="1"/>
    <col min="17" max="17" width="14.36328125" style="6" customWidth="1"/>
    <col min="18" max="27" width="7.36328125" style="6" customWidth="1"/>
    <col min="28" max="28" width="8.08984375" style="6" customWidth="1"/>
    <col min="29" max="16384" width="9.08984375" style="6"/>
  </cols>
  <sheetData>
    <row r="1" spans="1:31" ht="15" x14ac:dyDescent="0.3">
      <c r="A1" s="111" t="s">
        <v>802</v>
      </c>
      <c r="B1" s="112"/>
      <c r="C1" s="112"/>
      <c r="D1" s="112"/>
      <c r="E1" s="112"/>
      <c r="F1" s="112"/>
      <c r="G1" s="112"/>
      <c r="H1" s="112"/>
      <c r="I1" s="112"/>
      <c r="J1" s="112"/>
      <c r="K1" s="112"/>
      <c r="L1" s="112"/>
      <c r="M1" s="112"/>
      <c r="N1" s="112"/>
      <c r="O1" s="112"/>
      <c r="P1" s="33"/>
      <c r="Q1" s="33"/>
      <c r="R1" s="33"/>
      <c r="S1" s="33"/>
      <c r="T1" s="33"/>
      <c r="U1" s="33"/>
      <c r="V1" s="33"/>
      <c r="W1" s="33"/>
      <c r="X1" s="33"/>
      <c r="Y1" s="33"/>
      <c r="Z1" s="33"/>
      <c r="AA1" s="33"/>
      <c r="AB1" s="33"/>
      <c r="AC1" s="33"/>
      <c r="AD1" s="33"/>
      <c r="AE1" s="33"/>
    </row>
    <row r="2" spans="1:31" ht="42" x14ac:dyDescent="0.3">
      <c r="A2" s="51" t="s">
        <v>756</v>
      </c>
      <c r="B2" s="101" t="s">
        <v>757</v>
      </c>
      <c r="C2" s="101" t="s">
        <v>757</v>
      </c>
      <c r="D2" s="101" t="s">
        <v>758</v>
      </c>
      <c r="E2" s="101" t="s">
        <v>758</v>
      </c>
      <c r="F2" s="101" t="s">
        <v>758</v>
      </c>
      <c r="G2" s="101" t="s">
        <v>757</v>
      </c>
      <c r="H2" s="101" t="s">
        <v>757</v>
      </c>
      <c r="I2" s="101" t="s">
        <v>757</v>
      </c>
      <c r="J2" s="101" t="s">
        <v>758</v>
      </c>
      <c r="K2" s="101" t="s">
        <v>758</v>
      </c>
      <c r="L2" s="33"/>
      <c r="M2" s="33"/>
      <c r="N2" s="33"/>
      <c r="O2" s="33"/>
      <c r="P2" s="33"/>
      <c r="Q2" s="33"/>
      <c r="R2" s="33"/>
      <c r="S2" s="33"/>
      <c r="T2" s="33"/>
      <c r="U2" s="33"/>
      <c r="V2" s="33"/>
      <c r="W2" s="33"/>
      <c r="X2" s="33"/>
      <c r="Y2" s="33"/>
      <c r="Z2" s="33"/>
      <c r="AA2" s="33"/>
      <c r="AB2" s="33"/>
      <c r="AC2" s="33"/>
      <c r="AD2" s="33"/>
      <c r="AE2" s="33"/>
    </row>
    <row r="3" spans="1:31" ht="15" customHeight="1" x14ac:dyDescent="0.3">
      <c r="A3" s="114" t="s">
        <v>0</v>
      </c>
      <c r="B3" s="114" t="s">
        <v>633</v>
      </c>
      <c r="C3" s="114"/>
      <c r="D3" s="114"/>
      <c r="E3" s="114"/>
      <c r="F3" s="114"/>
      <c r="G3" s="114"/>
      <c r="H3" s="114"/>
      <c r="I3" s="114"/>
      <c r="J3" s="114"/>
      <c r="K3" s="114"/>
      <c r="L3" s="114" t="s">
        <v>101</v>
      </c>
      <c r="M3" s="114" t="s">
        <v>102</v>
      </c>
      <c r="N3" s="114" t="s">
        <v>103</v>
      </c>
      <c r="O3" s="109" t="s">
        <v>102</v>
      </c>
      <c r="P3" s="33"/>
      <c r="Q3" s="49" t="s">
        <v>106</v>
      </c>
      <c r="R3" s="33"/>
      <c r="S3" s="33"/>
      <c r="T3" s="33"/>
      <c r="U3" s="33"/>
      <c r="V3" s="33"/>
      <c r="W3" s="33"/>
      <c r="X3" s="33"/>
      <c r="Y3" s="33"/>
      <c r="Z3" s="33"/>
      <c r="AA3" s="33"/>
      <c r="AB3" s="33"/>
      <c r="AC3" s="33"/>
      <c r="AD3" s="33"/>
      <c r="AE3" s="33"/>
    </row>
    <row r="4" spans="1:31" ht="15" customHeight="1" x14ac:dyDescent="0.3">
      <c r="A4" s="114"/>
      <c r="B4" s="23">
        <v>1</v>
      </c>
      <c r="C4" s="23">
        <v>2</v>
      </c>
      <c r="D4" s="23">
        <v>3</v>
      </c>
      <c r="E4" s="23">
        <v>4</v>
      </c>
      <c r="F4" s="23">
        <v>5</v>
      </c>
      <c r="G4" s="23">
        <v>6</v>
      </c>
      <c r="H4" s="23">
        <v>7</v>
      </c>
      <c r="I4" s="23">
        <v>8</v>
      </c>
      <c r="J4" s="23">
        <v>9</v>
      </c>
      <c r="K4" s="23">
        <v>10</v>
      </c>
      <c r="L4" s="114"/>
      <c r="M4" s="114"/>
      <c r="N4" s="114"/>
      <c r="O4" s="109"/>
      <c r="P4" s="33"/>
      <c r="Q4" s="109" t="s">
        <v>108</v>
      </c>
      <c r="R4" s="113" t="s">
        <v>633</v>
      </c>
      <c r="S4" s="113"/>
      <c r="T4" s="113"/>
      <c r="U4" s="113"/>
      <c r="V4" s="113"/>
      <c r="W4" s="113"/>
      <c r="X4" s="113"/>
      <c r="Y4" s="113"/>
      <c r="Z4" s="113"/>
      <c r="AA4" s="113"/>
      <c r="AB4" s="109" t="s">
        <v>107</v>
      </c>
      <c r="AC4" s="109" t="s">
        <v>109</v>
      </c>
      <c r="AD4" s="109" t="s">
        <v>110</v>
      </c>
      <c r="AE4" s="33"/>
    </row>
    <row r="5" spans="1:31" ht="42" x14ac:dyDescent="0.3">
      <c r="A5" s="52" t="s">
        <v>635</v>
      </c>
      <c r="B5" s="25">
        <v>0</v>
      </c>
      <c r="C5" s="25">
        <v>0</v>
      </c>
      <c r="D5" s="25">
        <v>0</v>
      </c>
      <c r="E5" s="25">
        <v>0</v>
      </c>
      <c r="F5" s="25">
        <v>1</v>
      </c>
      <c r="G5" s="25">
        <v>0</v>
      </c>
      <c r="H5" s="25">
        <v>1</v>
      </c>
      <c r="I5" s="25">
        <v>1</v>
      </c>
      <c r="J5" s="25">
        <v>1</v>
      </c>
      <c r="K5" s="25">
        <v>0</v>
      </c>
      <c r="L5" s="3">
        <f>SUM(B5:K5)/10</f>
        <v>0.4</v>
      </c>
      <c r="M5" s="26" t="str">
        <f>IF(L5&lt;0.31,"sukar",IF(L5&lt;0.71,"sedang","mudah"))</f>
        <v>sedang</v>
      </c>
      <c r="N5" s="3">
        <f>ABS((SUM(B5:F5)-SUM(G5:K5))*2/10)</f>
        <v>0.4</v>
      </c>
      <c r="O5" s="26" t="str">
        <f>IF(N5&lt;0.2,"soal dibuang",IF(N5&lt;0.3,"soal diperbaiki",IF(N5&lt;0.4,"soal diterima tapi perlu diperbaiki","soal diterima baik")))</f>
        <v>soal diterima baik</v>
      </c>
      <c r="P5" s="33"/>
      <c r="Q5" s="109"/>
      <c r="R5" s="27">
        <v>1</v>
      </c>
      <c r="S5" s="27">
        <v>2</v>
      </c>
      <c r="T5" s="27">
        <v>3</v>
      </c>
      <c r="U5" s="27">
        <v>4</v>
      </c>
      <c r="V5" s="27">
        <v>5</v>
      </c>
      <c r="W5" s="27">
        <v>6</v>
      </c>
      <c r="X5" s="27">
        <v>7</v>
      </c>
      <c r="Y5" s="27">
        <v>8</v>
      </c>
      <c r="Z5" s="27">
        <v>9</v>
      </c>
      <c r="AA5" s="27">
        <v>10</v>
      </c>
      <c r="AB5" s="109"/>
      <c r="AC5" s="109"/>
      <c r="AD5" s="109"/>
      <c r="AE5" s="33"/>
    </row>
    <row r="6" spans="1:31" ht="42" x14ac:dyDescent="0.3">
      <c r="A6" s="53" t="s">
        <v>636</v>
      </c>
      <c r="B6" s="25">
        <v>1</v>
      </c>
      <c r="C6" s="25">
        <v>1</v>
      </c>
      <c r="D6" s="25">
        <v>1</v>
      </c>
      <c r="E6" s="25">
        <v>1</v>
      </c>
      <c r="F6" s="25">
        <v>1</v>
      </c>
      <c r="G6" s="25">
        <v>0</v>
      </c>
      <c r="H6" s="25">
        <v>1</v>
      </c>
      <c r="I6" s="25">
        <v>1</v>
      </c>
      <c r="J6" s="25">
        <v>0</v>
      </c>
      <c r="K6" s="25">
        <v>1</v>
      </c>
      <c r="L6" s="3">
        <f t="shared" ref="L6:L69" si="0">SUM(B6:K6)/10</f>
        <v>0.8</v>
      </c>
      <c r="M6" s="26" t="str">
        <f t="shared" ref="M6:M69" si="1">IF(L6&lt;0.31,"sukar",IF(L6&lt;0.71,"sedang","mudah"))</f>
        <v>mudah</v>
      </c>
      <c r="N6" s="3">
        <f t="shared" ref="N6:N69" si="2">ABS((SUM(B6:F6)-SUM(G6:K6))*2/10)</f>
        <v>0.4</v>
      </c>
      <c r="O6" s="26" t="str">
        <f t="shared" ref="O6:O69" si="3">IF(N6&lt;0.2,"soal dibuang",IF(N6&lt;0.3,"soal diperbaiki",IF(N6&lt;0.4,"soal diterima tapi perlu diperbaiki","soal diterima baik")))</f>
        <v>soal diterima baik</v>
      </c>
      <c r="P6" s="33"/>
      <c r="Q6" s="26">
        <v>1</v>
      </c>
      <c r="R6" s="25">
        <f>B5</f>
        <v>0</v>
      </c>
      <c r="S6" s="25">
        <f t="shared" ref="S6:AA21" si="4">C5</f>
        <v>0</v>
      </c>
      <c r="T6" s="25">
        <f t="shared" si="4"/>
        <v>0</v>
      </c>
      <c r="U6" s="25">
        <f t="shared" si="4"/>
        <v>0</v>
      </c>
      <c r="V6" s="25">
        <f t="shared" si="4"/>
        <v>1</v>
      </c>
      <c r="W6" s="25">
        <f t="shared" si="4"/>
        <v>0</v>
      </c>
      <c r="X6" s="25">
        <f t="shared" si="4"/>
        <v>1</v>
      </c>
      <c r="Y6" s="25">
        <f t="shared" si="4"/>
        <v>1</v>
      </c>
      <c r="Z6" s="25">
        <f t="shared" si="4"/>
        <v>1</v>
      </c>
      <c r="AA6" s="25">
        <f t="shared" si="4"/>
        <v>0</v>
      </c>
      <c r="AB6" s="3">
        <f>SUM(R6:AA6)/COUNT(R6:AA6)</f>
        <v>0.4</v>
      </c>
      <c r="AC6" s="3">
        <f>1-AB6</f>
        <v>0.6</v>
      </c>
      <c r="AD6" s="3">
        <f>AB6*AC6</f>
        <v>0.24</v>
      </c>
      <c r="AE6" s="33"/>
    </row>
    <row r="7" spans="1:31" ht="42" x14ac:dyDescent="0.3">
      <c r="A7" s="53" t="s">
        <v>637</v>
      </c>
      <c r="B7" s="25">
        <v>1</v>
      </c>
      <c r="C7" s="25">
        <v>0</v>
      </c>
      <c r="D7" s="25">
        <v>0</v>
      </c>
      <c r="E7" s="25">
        <v>0</v>
      </c>
      <c r="F7" s="25">
        <v>0</v>
      </c>
      <c r="G7" s="25">
        <v>1</v>
      </c>
      <c r="H7" s="25">
        <v>0</v>
      </c>
      <c r="I7" s="25">
        <v>0</v>
      </c>
      <c r="J7" s="25">
        <v>1</v>
      </c>
      <c r="K7" s="25">
        <v>1</v>
      </c>
      <c r="L7" s="3">
        <f t="shared" si="0"/>
        <v>0.4</v>
      </c>
      <c r="M7" s="26" t="str">
        <f t="shared" si="1"/>
        <v>sedang</v>
      </c>
      <c r="N7" s="3">
        <f t="shared" si="2"/>
        <v>0.4</v>
      </c>
      <c r="O7" s="26" t="str">
        <f t="shared" si="3"/>
        <v>soal diterima baik</v>
      </c>
      <c r="P7" s="33"/>
      <c r="Q7" s="26">
        <v>2</v>
      </c>
      <c r="R7" s="25">
        <f t="shared" ref="R7:AA45" si="5">B6</f>
        <v>1</v>
      </c>
      <c r="S7" s="25">
        <f t="shared" si="4"/>
        <v>1</v>
      </c>
      <c r="T7" s="25">
        <f t="shared" si="4"/>
        <v>1</v>
      </c>
      <c r="U7" s="25">
        <f t="shared" si="4"/>
        <v>1</v>
      </c>
      <c r="V7" s="25">
        <f t="shared" si="4"/>
        <v>1</v>
      </c>
      <c r="W7" s="25">
        <f t="shared" si="4"/>
        <v>0</v>
      </c>
      <c r="X7" s="25">
        <f t="shared" si="4"/>
        <v>1</v>
      </c>
      <c r="Y7" s="25">
        <f t="shared" si="4"/>
        <v>1</v>
      </c>
      <c r="Z7" s="25">
        <f t="shared" si="4"/>
        <v>0</v>
      </c>
      <c r="AA7" s="25">
        <f t="shared" si="4"/>
        <v>1</v>
      </c>
      <c r="AB7" s="3">
        <f t="shared" ref="AB7:AB70" si="6">SUM(R7:AA7)/COUNT(R7:AA7)</f>
        <v>0.8</v>
      </c>
      <c r="AC7" s="3">
        <f t="shared" ref="AC7:AC70" si="7">1-AB7</f>
        <v>0.19999999999999996</v>
      </c>
      <c r="AD7" s="3">
        <f t="shared" ref="AD7:AD70" si="8">AB7*AC7</f>
        <v>0.15999999999999998</v>
      </c>
      <c r="AE7" s="33"/>
    </row>
    <row r="8" spans="1:31" ht="28" x14ac:dyDescent="0.3">
      <c r="A8" s="53" t="s">
        <v>638</v>
      </c>
      <c r="B8" s="25">
        <v>1</v>
      </c>
      <c r="C8" s="25">
        <v>0</v>
      </c>
      <c r="D8" s="25">
        <v>0</v>
      </c>
      <c r="E8" s="25">
        <v>0</v>
      </c>
      <c r="F8" s="25">
        <v>0</v>
      </c>
      <c r="G8" s="25">
        <v>1</v>
      </c>
      <c r="H8" s="25">
        <v>0</v>
      </c>
      <c r="I8" s="25">
        <v>0</v>
      </c>
      <c r="J8" s="25">
        <v>1</v>
      </c>
      <c r="K8" s="25">
        <v>1</v>
      </c>
      <c r="L8" s="3">
        <f t="shared" si="0"/>
        <v>0.4</v>
      </c>
      <c r="M8" s="26" t="str">
        <f t="shared" si="1"/>
        <v>sedang</v>
      </c>
      <c r="N8" s="3">
        <f t="shared" si="2"/>
        <v>0.4</v>
      </c>
      <c r="O8" s="26" t="str">
        <f t="shared" si="3"/>
        <v>soal diterima baik</v>
      </c>
      <c r="P8" s="33"/>
      <c r="Q8" s="26">
        <v>3</v>
      </c>
      <c r="R8" s="25">
        <f t="shared" si="5"/>
        <v>1</v>
      </c>
      <c r="S8" s="25">
        <f t="shared" si="4"/>
        <v>0</v>
      </c>
      <c r="T8" s="25">
        <f t="shared" si="4"/>
        <v>0</v>
      </c>
      <c r="U8" s="25">
        <f t="shared" si="4"/>
        <v>0</v>
      </c>
      <c r="V8" s="25">
        <f t="shared" si="4"/>
        <v>0</v>
      </c>
      <c r="W8" s="25">
        <f t="shared" si="4"/>
        <v>1</v>
      </c>
      <c r="X8" s="25">
        <f t="shared" si="4"/>
        <v>0</v>
      </c>
      <c r="Y8" s="25">
        <f t="shared" si="4"/>
        <v>0</v>
      </c>
      <c r="Z8" s="25">
        <f t="shared" si="4"/>
        <v>1</v>
      </c>
      <c r="AA8" s="25">
        <f t="shared" si="4"/>
        <v>1</v>
      </c>
      <c r="AB8" s="3">
        <f t="shared" si="6"/>
        <v>0.4</v>
      </c>
      <c r="AC8" s="3">
        <f t="shared" si="7"/>
        <v>0.6</v>
      </c>
      <c r="AD8" s="3">
        <f t="shared" si="8"/>
        <v>0.24</v>
      </c>
      <c r="AE8" s="33"/>
    </row>
    <row r="9" spans="1:31" ht="28" x14ac:dyDescent="0.3">
      <c r="A9" s="52" t="s">
        <v>639</v>
      </c>
      <c r="B9" s="25">
        <v>0</v>
      </c>
      <c r="C9" s="25">
        <v>1</v>
      </c>
      <c r="D9" s="25">
        <v>1</v>
      </c>
      <c r="E9" s="25">
        <v>1</v>
      </c>
      <c r="F9" s="25">
        <v>1</v>
      </c>
      <c r="G9" s="25">
        <v>1</v>
      </c>
      <c r="H9" s="25">
        <v>1</v>
      </c>
      <c r="I9" s="25">
        <v>0</v>
      </c>
      <c r="J9" s="25">
        <v>0</v>
      </c>
      <c r="K9" s="25">
        <v>0</v>
      </c>
      <c r="L9" s="3">
        <f t="shared" si="0"/>
        <v>0.6</v>
      </c>
      <c r="M9" s="26" t="str">
        <f t="shared" si="1"/>
        <v>sedang</v>
      </c>
      <c r="N9" s="3">
        <f t="shared" si="2"/>
        <v>0.4</v>
      </c>
      <c r="O9" s="26" t="str">
        <f t="shared" si="3"/>
        <v>soal diterima baik</v>
      </c>
      <c r="P9" s="33"/>
      <c r="Q9" s="26">
        <v>4</v>
      </c>
      <c r="R9" s="25">
        <f t="shared" si="5"/>
        <v>1</v>
      </c>
      <c r="S9" s="25">
        <f t="shared" si="4"/>
        <v>0</v>
      </c>
      <c r="T9" s="25">
        <f t="shared" si="4"/>
        <v>0</v>
      </c>
      <c r="U9" s="25">
        <f t="shared" si="4"/>
        <v>0</v>
      </c>
      <c r="V9" s="25">
        <f t="shared" si="4"/>
        <v>0</v>
      </c>
      <c r="W9" s="25">
        <f t="shared" si="4"/>
        <v>1</v>
      </c>
      <c r="X9" s="25">
        <f t="shared" si="4"/>
        <v>0</v>
      </c>
      <c r="Y9" s="25">
        <f t="shared" si="4"/>
        <v>0</v>
      </c>
      <c r="Z9" s="25">
        <f t="shared" si="4"/>
        <v>1</v>
      </c>
      <c r="AA9" s="25">
        <f t="shared" si="4"/>
        <v>1</v>
      </c>
      <c r="AB9" s="3">
        <f t="shared" si="6"/>
        <v>0.4</v>
      </c>
      <c r="AC9" s="3">
        <f t="shared" si="7"/>
        <v>0.6</v>
      </c>
      <c r="AD9" s="3">
        <f t="shared" si="8"/>
        <v>0.24</v>
      </c>
      <c r="AE9" s="33"/>
    </row>
    <row r="10" spans="1:31" ht="28" x14ac:dyDescent="0.3">
      <c r="A10" s="52" t="s">
        <v>640</v>
      </c>
      <c r="B10" s="25">
        <v>1</v>
      </c>
      <c r="C10" s="25">
        <v>0</v>
      </c>
      <c r="D10" s="25">
        <v>1</v>
      </c>
      <c r="E10" s="25">
        <v>1</v>
      </c>
      <c r="F10" s="25">
        <v>0</v>
      </c>
      <c r="G10" s="25">
        <v>0</v>
      </c>
      <c r="H10" s="25">
        <v>1</v>
      </c>
      <c r="I10" s="25">
        <v>0</v>
      </c>
      <c r="J10" s="25">
        <v>0</v>
      </c>
      <c r="K10" s="25">
        <v>0</v>
      </c>
      <c r="L10" s="3">
        <f t="shared" si="0"/>
        <v>0.4</v>
      </c>
      <c r="M10" s="26" t="str">
        <f t="shared" si="1"/>
        <v>sedang</v>
      </c>
      <c r="N10" s="3">
        <f t="shared" si="2"/>
        <v>0.4</v>
      </c>
      <c r="O10" s="26" t="str">
        <f t="shared" si="3"/>
        <v>soal diterima baik</v>
      </c>
      <c r="P10" s="33"/>
      <c r="Q10" s="26">
        <v>5</v>
      </c>
      <c r="R10" s="25">
        <f t="shared" si="5"/>
        <v>0</v>
      </c>
      <c r="S10" s="25">
        <f t="shared" si="4"/>
        <v>1</v>
      </c>
      <c r="T10" s="25">
        <f t="shared" si="4"/>
        <v>1</v>
      </c>
      <c r="U10" s="25">
        <f t="shared" si="4"/>
        <v>1</v>
      </c>
      <c r="V10" s="25">
        <f t="shared" si="4"/>
        <v>1</v>
      </c>
      <c r="W10" s="25">
        <f t="shared" si="4"/>
        <v>1</v>
      </c>
      <c r="X10" s="25">
        <f t="shared" si="4"/>
        <v>1</v>
      </c>
      <c r="Y10" s="25">
        <f t="shared" si="4"/>
        <v>0</v>
      </c>
      <c r="Z10" s="25">
        <f t="shared" si="4"/>
        <v>0</v>
      </c>
      <c r="AA10" s="25">
        <f t="shared" si="4"/>
        <v>0</v>
      </c>
      <c r="AB10" s="3">
        <f t="shared" si="6"/>
        <v>0.6</v>
      </c>
      <c r="AC10" s="3">
        <f t="shared" si="7"/>
        <v>0.4</v>
      </c>
      <c r="AD10" s="3">
        <f t="shared" si="8"/>
        <v>0.24</v>
      </c>
      <c r="AE10" s="33"/>
    </row>
    <row r="11" spans="1:31" ht="42" x14ac:dyDescent="0.3">
      <c r="A11" s="54" t="s">
        <v>641</v>
      </c>
      <c r="B11" s="25">
        <v>0</v>
      </c>
      <c r="C11" s="25">
        <v>1</v>
      </c>
      <c r="D11" s="25">
        <v>0</v>
      </c>
      <c r="E11" s="25">
        <v>1</v>
      </c>
      <c r="F11" s="25">
        <v>0</v>
      </c>
      <c r="G11" s="25">
        <v>0</v>
      </c>
      <c r="H11" s="25">
        <v>1</v>
      </c>
      <c r="I11" s="25">
        <v>1</v>
      </c>
      <c r="J11" s="25">
        <v>1</v>
      </c>
      <c r="K11" s="25">
        <v>1</v>
      </c>
      <c r="L11" s="3">
        <f t="shared" si="0"/>
        <v>0.6</v>
      </c>
      <c r="M11" s="26" t="str">
        <f t="shared" si="1"/>
        <v>sedang</v>
      </c>
      <c r="N11" s="3">
        <f t="shared" si="2"/>
        <v>0.4</v>
      </c>
      <c r="O11" s="26" t="str">
        <f t="shared" si="3"/>
        <v>soal diterima baik</v>
      </c>
      <c r="P11" s="33"/>
      <c r="Q11" s="26">
        <v>6</v>
      </c>
      <c r="R11" s="25">
        <f t="shared" si="5"/>
        <v>1</v>
      </c>
      <c r="S11" s="25">
        <f t="shared" si="4"/>
        <v>0</v>
      </c>
      <c r="T11" s="25">
        <f t="shared" si="4"/>
        <v>1</v>
      </c>
      <c r="U11" s="25">
        <f t="shared" si="4"/>
        <v>1</v>
      </c>
      <c r="V11" s="25">
        <f t="shared" si="4"/>
        <v>0</v>
      </c>
      <c r="W11" s="25">
        <f t="shared" si="4"/>
        <v>0</v>
      </c>
      <c r="X11" s="25">
        <f t="shared" si="4"/>
        <v>1</v>
      </c>
      <c r="Y11" s="25">
        <f t="shared" si="4"/>
        <v>0</v>
      </c>
      <c r="Z11" s="25">
        <f t="shared" si="4"/>
        <v>0</v>
      </c>
      <c r="AA11" s="25">
        <f t="shared" si="4"/>
        <v>0</v>
      </c>
      <c r="AB11" s="3">
        <f t="shared" si="6"/>
        <v>0.4</v>
      </c>
      <c r="AC11" s="3">
        <f t="shared" si="7"/>
        <v>0.6</v>
      </c>
      <c r="AD11" s="3">
        <f t="shared" si="8"/>
        <v>0.24</v>
      </c>
      <c r="AE11" s="33"/>
    </row>
    <row r="12" spans="1:31" ht="28" x14ac:dyDescent="0.3">
      <c r="A12" s="53" t="s">
        <v>642</v>
      </c>
      <c r="B12" s="25">
        <v>0</v>
      </c>
      <c r="C12" s="25">
        <v>1</v>
      </c>
      <c r="D12" s="25">
        <v>1</v>
      </c>
      <c r="E12" s="25">
        <v>1</v>
      </c>
      <c r="F12" s="25">
        <v>0</v>
      </c>
      <c r="G12" s="25">
        <v>1</v>
      </c>
      <c r="H12" s="25">
        <v>1</v>
      </c>
      <c r="I12" s="25">
        <v>1</v>
      </c>
      <c r="J12" s="25">
        <v>1</v>
      </c>
      <c r="K12" s="25">
        <v>1</v>
      </c>
      <c r="L12" s="3">
        <f t="shared" si="0"/>
        <v>0.8</v>
      </c>
      <c r="M12" s="26" t="str">
        <f t="shared" si="1"/>
        <v>mudah</v>
      </c>
      <c r="N12" s="3">
        <f t="shared" si="2"/>
        <v>0.4</v>
      </c>
      <c r="O12" s="26" t="str">
        <f t="shared" si="3"/>
        <v>soal diterima baik</v>
      </c>
      <c r="P12" s="33"/>
      <c r="Q12" s="26">
        <v>7</v>
      </c>
      <c r="R12" s="25">
        <f t="shared" si="5"/>
        <v>0</v>
      </c>
      <c r="S12" s="25">
        <f t="shared" si="4"/>
        <v>1</v>
      </c>
      <c r="T12" s="25">
        <f t="shared" si="4"/>
        <v>0</v>
      </c>
      <c r="U12" s="25">
        <f t="shared" si="4"/>
        <v>1</v>
      </c>
      <c r="V12" s="25">
        <f t="shared" si="4"/>
        <v>0</v>
      </c>
      <c r="W12" s="25">
        <f t="shared" si="4"/>
        <v>0</v>
      </c>
      <c r="X12" s="25">
        <f t="shared" si="4"/>
        <v>1</v>
      </c>
      <c r="Y12" s="25">
        <f t="shared" si="4"/>
        <v>1</v>
      </c>
      <c r="Z12" s="25">
        <f t="shared" si="4"/>
        <v>1</v>
      </c>
      <c r="AA12" s="25">
        <f t="shared" si="4"/>
        <v>1</v>
      </c>
      <c r="AB12" s="3">
        <f t="shared" si="6"/>
        <v>0.6</v>
      </c>
      <c r="AC12" s="3">
        <f t="shared" si="7"/>
        <v>0.4</v>
      </c>
      <c r="AD12" s="3">
        <f t="shared" si="8"/>
        <v>0.24</v>
      </c>
      <c r="AE12" s="33"/>
    </row>
    <row r="13" spans="1:31" ht="42" x14ac:dyDescent="0.3">
      <c r="A13" s="52" t="s">
        <v>643</v>
      </c>
      <c r="B13" s="25">
        <v>1</v>
      </c>
      <c r="C13" s="25">
        <v>1</v>
      </c>
      <c r="D13" s="25">
        <v>0</v>
      </c>
      <c r="E13" s="25">
        <v>0</v>
      </c>
      <c r="F13" s="25">
        <v>1</v>
      </c>
      <c r="G13" s="25">
        <v>0</v>
      </c>
      <c r="H13" s="25">
        <v>0</v>
      </c>
      <c r="I13" s="25">
        <v>0</v>
      </c>
      <c r="J13" s="25">
        <v>0</v>
      </c>
      <c r="K13" s="25">
        <v>1</v>
      </c>
      <c r="L13" s="3">
        <f t="shared" si="0"/>
        <v>0.4</v>
      </c>
      <c r="M13" s="26" t="str">
        <f t="shared" si="1"/>
        <v>sedang</v>
      </c>
      <c r="N13" s="3">
        <f t="shared" si="2"/>
        <v>0.4</v>
      </c>
      <c r="O13" s="26" t="str">
        <f t="shared" si="3"/>
        <v>soal diterima baik</v>
      </c>
      <c r="P13" s="33"/>
      <c r="Q13" s="26">
        <v>8</v>
      </c>
      <c r="R13" s="25">
        <f t="shared" si="5"/>
        <v>0</v>
      </c>
      <c r="S13" s="25">
        <f t="shared" si="4"/>
        <v>1</v>
      </c>
      <c r="T13" s="25">
        <f t="shared" si="4"/>
        <v>1</v>
      </c>
      <c r="U13" s="25">
        <f t="shared" si="4"/>
        <v>1</v>
      </c>
      <c r="V13" s="25">
        <f t="shared" si="4"/>
        <v>0</v>
      </c>
      <c r="W13" s="25">
        <f t="shared" si="4"/>
        <v>1</v>
      </c>
      <c r="X13" s="25">
        <f t="shared" si="4"/>
        <v>1</v>
      </c>
      <c r="Y13" s="25">
        <f t="shared" si="4"/>
        <v>1</v>
      </c>
      <c r="Z13" s="25">
        <f t="shared" si="4"/>
        <v>1</v>
      </c>
      <c r="AA13" s="25">
        <f t="shared" si="4"/>
        <v>1</v>
      </c>
      <c r="AB13" s="3">
        <f t="shared" si="6"/>
        <v>0.8</v>
      </c>
      <c r="AC13" s="3">
        <f t="shared" si="7"/>
        <v>0.19999999999999996</v>
      </c>
      <c r="AD13" s="3">
        <f t="shared" si="8"/>
        <v>0.15999999999999998</v>
      </c>
      <c r="AE13" s="33"/>
    </row>
    <row r="14" spans="1:31" ht="28" x14ac:dyDescent="0.3">
      <c r="A14" s="54" t="s">
        <v>644</v>
      </c>
      <c r="B14" s="25">
        <v>1</v>
      </c>
      <c r="C14" s="25">
        <v>0</v>
      </c>
      <c r="D14" s="25">
        <v>1</v>
      </c>
      <c r="E14" s="25">
        <v>0</v>
      </c>
      <c r="F14" s="25">
        <v>0</v>
      </c>
      <c r="G14" s="25">
        <v>0</v>
      </c>
      <c r="H14" s="25">
        <v>0</v>
      </c>
      <c r="I14" s="25">
        <v>0</v>
      </c>
      <c r="J14" s="25">
        <v>0</v>
      </c>
      <c r="K14" s="25">
        <v>0</v>
      </c>
      <c r="L14" s="3">
        <f t="shared" si="0"/>
        <v>0.2</v>
      </c>
      <c r="M14" s="26" t="str">
        <f t="shared" si="1"/>
        <v>sukar</v>
      </c>
      <c r="N14" s="3">
        <f t="shared" si="2"/>
        <v>0.4</v>
      </c>
      <c r="O14" s="26" t="str">
        <f t="shared" si="3"/>
        <v>soal diterima baik</v>
      </c>
      <c r="P14" s="33"/>
      <c r="Q14" s="26">
        <v>9</v>
      </c>
      <c r="R14" s="25">
        <f t="shared" si="5"/>
        <v>1</v>
      </c>
      <c r="S14" s="25">
        <f t="shared" si="4"/>
        <v>1</v>
      </c>
      <c r="T14" s="25">
        <f t="shared" si="4"/>
        <v>0</v>
      </c>
      <c r="U14" s="25">
        <f t="shared" si="4"/>
        <v>0</v>
      </c>
      <c r="V14" s="25">
        <f t="shared" si="4"/>
        <v>1</v>
      </c>
      <c r="W14" s="25">
        <f t="shared" si="4"/>
        <v>0</v>
      </c>
      <c r="X14" s="25">
        <f t="shared" si="4"/>
        <v>0</v>
      </c>
      <c r="Y14" s="25">
        <f t="shared" si="4"/>
        <v>0</v>
      </c>
      <c r="Z14" s="25">
        <f t="shared" si="4"/>
        <v>0</v>
      </c>
      <c r="AA14" s="25">
        <f t="shared" si="4"/>
        <v>1</v>
      </c>
      <c r="AB14" s="3">
        <f t="shared" si="6"/>
        <v>0.4</v>
      </c>
      <c r="AC14" s="3">
        <f t="shared" si="7"/>
        <v>0.6</v>
      </c>
      <c r="AD14" s="3">
        <f t="shared" si="8"/>
        <v>0.24</v>
      </c>
      <c r="AE14" s="33"/>
    </row>
    <row r="15" spans="1:31" ht="42" x14ac:dyDescent="0.3">
      <c r="A15" s="53" t="s">
        <v>645</v>
      </c>
      <c r="B15" s="25">
        <v>0</v>
      </c>
      <c r="C15" s="25">
        <v>0</v>
      </c>
      <c r="D15" s="25">
        <v>0</v>
      </c>
      <c r="E15" s="25">
        <v>0</v>
      </c>
      <c r="F15" s="25">
        <v>0</v>
      </c>
      <c r="G15" s="25">
        <v>1</v>
      </c>
      <c r="H15" s="25">
        <v>0</v>
      </c>
      <c r="I15" s="25">
        <v>1</v>
      </c>
      <c r="J15" s="25">
        <v>1</v>
      </c>
      <c r="K15" s="25">
        <v>1</v>
      </c>
      <c r="L15" s="3">
        <f t="shared" si="0"/>
        <v>0.4</v>
      </c>
      <c r="M15" s="26" t="str">
        <f t="shared" si="1"/>
        <v>sedang</v>
      </c>
      <c r="N15" s="3">
        <f t="shared" si="2"/>
        <v>0.8</v>
      </c>
      <c r="O15" s="26" t="str">
        <f t="shared" si="3"/>
        <v>soal diterima baik</v>
      </c>
      <c r="P15" s="33"/>
      <c r="Q15" s="26">
        <v>10</v>
      </c>
      <c r="R15" s="25">
        <f t="shared" si="5"/>
        <v>1</v>
      </c>
      <c r="S15" s="25">
        <f t="shared" si="4"/>
        <v>0</v>
      </c>
      <c r="T15" s="25">
        <f t="shared" si="4"/>
        <v>1</v>
      </c>
      <c r="U15" s="25">
        <f t="shared" si="4"/>
        <v>0</v>
      </c>
      <c r="V15" s="25">
        <f t="shared" si="4"/>
        <v>0</v>
      </c>
      <c r="W15" s="25">
        <f t="shared" si="4"/>
        <v>0</v>
      </c>
      <c r="X15" s="25">
        <f t="shared" si="4"/>
        <v>0</v>
      </c>
      <c r="Y15" s="25">
        <f t="shared" si="4"/>
        <v>0</v>
      </c>
      <c r="Z15" s="25">
        <f t="shared" si="4"/>
        <v>0</v>
      </c>
      <c r="AA15" s="25">
        <f t="shared" si="4"/>
        <v>0</v>
      </c>
      <c r="AB15" s="3">
        <f t="shared" si="6"/>
        <v>0.2</v>
      </c>
      <c r="AC15" s="3">
        <f t="shared" si="7"/>
        <v>0.8</v>
      </c>
      <c r="AD15" s="3">
        <f t="shared" si="8"/>
        <v>0.16000000000000003</v>
      </c>
      <c r="AE15" s="33"/>
    </row>
    <row r="16" spans="1:31" ht="42" x14ac:dyDescent="0.3">
      <c r="A16" s="54" t="s">
        <v>646</v>
      </c>
      <c r="B16" s="25">
        <v>1</v>
      </c>
      <c r="C16" s="25">
        <v>1</v>
      </c>
      <c r="D16" s="25">
        <v>1</v>
      </c>
      <c r="E16" s="25">
        <v>0</v>
      </c>
      <c r="F16" s="25">
        <v>0</v>
      </c>
      <c r="G16" s="25">
        <v>0</v>
      </c>
      <c r="H16" s="25">
        <v>0</v>
      </c>
      <c r="I16" s="25">
        <v>0</v>
      </c>
      <c r="J16" s="25">
        <v>1</v>
      </c>
      <c r="K16" s="25">
        <v>0</v>
      </c>
      <c r="L16" s="3">
        <f t="shared" si="0"/>
        <v>0.4</v>
      </c>
      <c r="M16" s="26" t="str">
        <f t="shared" si="1"/>
        <v>sedang</v>
      </c>
      <c r="N16" s="3">
        <f t="shared" si="2"/>
        <v>0.4</v>
      </c>
      <c r="O16" s="26" t="str">
        <f t="shared" si="3"/>
        <v>soal diterima baik</v>
      </c>
      <c r="P16" s="33"/>
      <c r="Q16" s="26">
        <v>11</v>
      </c>
      <c r="R16" s="25">
        <f t="shared" si="5"/>
        <v>0</v>
      </c>
      <c r="S16" s="25">
        <f t="shared" si="4"/>
        <v>0</v>
      </c>
      <c r="T16" s="25">
        <f t="shared" si="4"/>
        <v>0</v>
      </c>
      <c r="U16" s="25">
        <f t="shared" si="4"/>
        <v>0</v>
      </c>
      <c r="V16" s="25">
        <f t="shared" si="4"/>
        <v>0</v>
      </c>
      <c r="W16" s="25">
        <f t="shared" si="4"/>
        <v>1</v>
      </c>
      <c r="X16" s="25">
        <f t="shared" si="4"/>
        <v>0</v>
      </c>
      <c r="Y16" s="25">
        <f t="shared" si="4"/>
        <v>1</v>
      </c>
      <c r="Z16" s="25">
        <f t="shared" si="4"/>
        <v>1</v>
      </c>
      <c r="AA16" s="25">
        <f t="shared" si="4"/>
        <v>1</v>
      </c>
      <c r="AB16" s="3">
        <f t="shared" si="6"/>
        <v>0.4</v>
      </c>
      <c r="AC16" s="3">
        <f t="shared" si="7"/>
        <v>0.6</v>
      </c>
      <c r="AD16" s="3">
        <f t="shared" si="8"/>
        <v>0.24</v>
      </c>
      <c r="AE16" s="33"/>
    </row>
    <row r="17" spans="1:31" ht="28" x14ac:dyDescent="0.3">
      <c r="A17" s="53" t="s">
        <v>647</v>
      </c>
      <c r="B17" s="25">
        <v>0</v>
      </c>
      <c r="C17" s="25">
        <v>0</v>
      </c>
      <c r="D17" s="25">
        <v>0</v>
      </c>
      <c r="E17" s="25">
        <v>0</v>
      </c>
      <c r="F17" s="25">
        <v>1</v>
      </c>
      <c r="G17" s="25">
        <v>0</v>
      </c>
      <c r="H17" s="25">
        <v>1</v>
      </c>
      <c r="I17" s="25">
        <v>1</v>
      </c>
      <c r="J17" s="25">
        <v>0</v>
      </c>
      <c r="K17" s="25">
        <v>1</v>
      </c>
      <c r="L17" s="3">
        <f t="shared" si="0"/>
        <v>0.4</v>
      </c>
      <c r="M17" s="26" t="str">
        <f t="shared" si="1"/>
        <v>sedang</v>
      </c>
      <c r="N17" s="3">
        <f t="shared" si="2"/>
        <v>0.4</v>
      </c>
      <c r="O17" s="26" t="str">
        <f t="shared" si="3"/>
        <v>soal diterima baik</v>
      </c>
      <c r="P17" s="33"/>
      <c r="Q17" s="26">
        <v>12</v>
      </c>
      <c r="R17" s="25">
        <f t="shared" si="5"/>
        <v>1</v>
      </c>
      <c r="S17" s="25">
        <f t="shared" si="4"/>
        <v>1</v>
      </c>
      <c r="T17" s="25">
        <f t="shared" si="4"/>
        <v>1</v>
      </c>
      <c r="U17" s="25">
        <f t="shared" si="4"/>
        <v>0</v>
      </c>
      <c r="V17" s="25">
        <f t="shared" si="4"/>
        <v>0</v>
      </c>
      <c r="W17" s="25">
        <f t="shared" si="4"/>
        <v>0</v>
      </c>
      <c r="X17" s="25">
        <f t="shared" si="4"/>
        <v>0</v>
      </c>
      <c r="Y17" s="25">
        <f t="shared" si="4"/>
        <v>0</v>
      </c>
      <c r="Z17" s="25">
        <f t="shared" si="4"/>
        <v>1</v>
      </c>
      <c r="AA17" s="25">
        <f t="shared" si="4"/>
        <v>0</v>
      </c>
      <c r="AB17" s="3">
        <f t="shared" si="6"/>
        <v>0.4</v>
      </c>
      <c r="AC17" s="3">
        <f t="shared" si="7"/>
        <v>0.6</v>
      </c>
      <c r="AD17" s="3">
        <f t="shared" si="8"/>
        <v>0.24</v>
      </c>
      <c r="AE17" s="33"/>
    </row>
    <row r="18" spans="1:31" ht="42" x14ac:dyDescent="0.3">
      <c r="A18" s="54" t="s">
        <v>648</v>
      </c>
      <c r="B18" s="25">
        <v>0</v>
      </c>
      <c r="C18" s="25">
        <v>1</v>
      </c>
      <c r="D18" s="25">
        <v>1</v>
      </c>
      <c r="E18" s="25">
        <v>0</v>
      </c>
      <c r="F18" s="25">
        <v>1</v>
      </c>
      <c r="G18" s="25">
        <v>1</v>
      </c>
      <c r="H18" s="25">
        <v>1</v>
      </c>
      <c r="I18" s="25">
        <v>1</v>
      </c>
      <c r="J18" s="25">
        <v>1</v>
      </c>
      <c r="K18" s="25">
        <v>1</v>
      </c>
      <c r="L18" s="3">
        <f t="shared" si="0"/>
        <v>0.8</v>
      </c>
      <c r="M18" s="26" t="str">
        <f t="shared" si="1"/>
        <v>mudah</v>
      </c>
      <c r="N18" s="3">
        <f t="shared" si="2"/>
        <v>0.4</v>
      </c>
      <c r="O18" s="26" t="str">
        <f t="shared" si="3"/>
        <v>soal diterima baik</v>
      </c>
      <c r="P18" s="33"/>
      <c r="Q18" s="26">
        <v>13</v>
      </c>
      <c r="R18" s="25">
        <f t="shared" si="5"/>
        <v>0</v>
      </c>
      <c r="S18" s="25">
        <f t="shared" si="4"/>
        <v>0</v>
      </c>
      <c r="T18" s="25">
        <f t="shared" si="4"/>
        <v>0</v>
      </c>
      <c r="U18" s="25">
        <f t="shared" si="4"/>
        <v>0</v>
      </c>
      <c r="V18" s="25">
        <f t="shared" si="4"/>
        <v>1</v>
      </c>
      <c r="W18" s="25">
        <f t="shared" si="4"/>
        <v>0</v>
      </c>
      <c r="X18" s="25">
        <f t="shared" si="4"/>
        <v>1</v>
      </c>
      <c r="Y18" s="25">
        <f t="shared" si="4"/>
        <v>1</v>
      </c>
      <c r="Z18" s="25">
        <f t="shared" si="4"/>
        <v>0</v>
      </c>
      <c r="AA18" s="25">
        <f t="shared" si="4"/>
        <v>1</v>
      </c>
      <c r="AB18" s="3">
        <f t="shared" si="6"/>
        <v>0.4</v>
      </c>
      <c r="AC18" s="3">
        <f t="shared" si="7"/>
        <v>0.6</v>
      </c>
      <c r="AD18" s="3">
        <f t="shared" si="8"/>
        <v>0.24</v>
      </c>
      <c r="AE18" s="33"/>
    </row>
    <row r="19" spans="1:31" ht="28" x14ac:dyDescent="0.3">
      <c r="A19" s="52" t="s">
        <v>649</v>
      </c>
      <c r="B19" s="25">
        <v>0</v>
      </c>
      <c r="C19" s="25">
        <v>0</v>
      </c>
      <c r="D19" s="25">
        <v>0</v>
      </c>
      <c r="E19" s="25">
        <v>0</v>
      </c>
      <c r="F19" s="25">
        <v>0</v>
      </c>
      <c r="G19" s="25">
        <v>0</v>
      </c>
      <c r="H19" s="25">
        <v>1</v>
      </c>
      <c r="I19" s="25">
        <v>1</v>
      </c>
      <c r="J19" s="25">
        <v>1</v>
      </c>
      <c r="K19" s="25">
        <v>1</v>
      </c>
      <c r="L19" s="3">
        <f t="shared" si="0"/>
        <v>0.4</v>
      </c>
      <c r="M19" s="26" t="str">
        <f t="shared" si="1"/>
        <v>sedang</v>
      </c>
      <c r="N19" s="3">
        <f t="shared" si="2"/>
        <v>0.8</v>
      </c>
      <c r="O19" s="26" t="str">
        <f t="shared" si="3"/>
        <v>soal diterima baik</v>
      </c>
      <c r="P19" s="33"/>
      <c r="Q19" s="26">
        <v>14</v>
      </c>
      <c r="R19" s="25">
        <f t="shared" si="5"/>
        <v>0</v>
      </c>
      <c r="S19" s="25">
        <f t="shared" si="4"/>
        <v>1</v>
      </c>
      <c r="T19" s="25">
        <f t="shared" si="4"/>
        <v>1</v>
      </c>
      <c r="U19" s="25">
        <f t="shared" si="4"/>
        <v>0</v>
      </c>
      <c r="V19" s="25">
        <f t="shared" si="4"/>
        <v>1</v>
      </c>
      <c r="W19" s="25">
        <f t="shared" si="4"/>
        <v>1</v>
      </c>
      <c r="X19" s="25">
        <f t="shared" si="4"/>
        <v>1</v>
      </c>
      <c r="Y19" s="25">
        <f t="shared" si="4"/>
        <v>1</v>
      </c>
      <c r="Z19" s="25">
        <f t="shared" si="4"/>
        <v>1</v>
      </c>
      <c r="AA19" s="25">
        <f t="shared" si="4"/>
        <v>1</v>
      </c>
      <c r="AB19" s="3">
        <f t="shared" si="6"/>
        <v>0.8</v>
      </c>
      <c r="AC19" s="3">
        <f t="shared" si="7"/>
        <v>0.19999999999999996</v>
      </c>
      <c r="AD19" s="3">
        <f t="shared" si="8"/>
        <v>0.15999999999999998</v>
      </c>
      <c r="AE19" s="33"/>
    </row>
    <row r="20" spans="1:31" ht="28" x14ac:dyDescent="0.3">
      <c r="A20" s="53" t="s">
        <v>650</v>
      </c>
      <c r="B20" s="25">
        <v>0</v>
      </c>
      <c r="C20" s="25">
        <v>0</v>
      </c>
      <c r="D20" s="25">
        <v>0</v>
      </c>
      <c r="E20" s="25">
        <v>0</v>
      </c>
      <c r="F20" s="25">
        <v>0</v>
      </c>
      <c r="G20" s="25">
        <v>0</v>
      </c>
      <c r="H20" s="25">
        <v>0</v>
      </c>
      <c r="I20" s="25">
        <v>1</v>
      </c>
      <c r="J20" s="25">
        <v>0</v>
      </c>
      <c r="K20" s="25">
        <v>1</v>
      </c>
      <c r="L20" s="3">
        <f t="shared" si="0"/>
        <v>0.2</v>
      </c>
      <c r="M20" s="26" t="str">
        <f t="shared" si="1"/>
        <v>sukar</v>
      </c>
      <c r="N20" s="3">
        <f t="shared" si="2"/>
        <v>0.4</v>
      </c>
      <c r="O20" s="26" t="str">
        <f t="shared" si="3"/>
        <v>soal diterima baik</v>
      </c>
      <c r="P20" s="33"/>
      <c r="Q20" s="26">
        <v>15</v>
      </c>
      <c r="R20" s="25">
        <f t="shared" si="5"/>
        <v>0</v>
      </c>
      <c r="S20" s="25">
        <f t="shared" si="4"/>
        <v>0</v>
      </c>
      <c r="T20" s="25">
        <f t="shared" si="4"/>
        <v>0</v>
      </c>
      <c r="U20" s="25">
        <f t="shared" si="4"/>
        <v>0</v>
      </c>
      <c r="V20" s="25">
        <f t="shared" si="4"/>
        <v>0</v>
      </c>
      <c r="W20" s="25">
        <f t="shared" si="4"/>
        <v>0</v>
      </c>
      <c r="X20" s="25">
        <f t="shared" si="4"/>
        <v>1</v>
      </c>
      <c r="Y20" s="25">
        <f t="shared" si="4"/>
        <v>1</v>
      </c>
      <c r="Z20" s="25">
        <f t="shared" si="4"/>
        <v>1</v>
      </c>
      <c r="AA20" s="25">
        <f t="shared" si="4"/>
        <v>1</v>
      </c>
      <c r="AB20" s="3">
        <f t="shared" si="6"/>
        <v>0.4</v>
      </c>
      <c r="AC20" s="3">
        <f t="shared" si="7"/>
        <v>0.6</v>
      </c>
      <c r="AD20" s="3">
        <f t="shared" si="8"/>
        <v>0.24</v>
      </c>
      <c r="AE20" s="33"/>
    </row>
    <row r="21" spans="1:31" ht="28" x14ac:dyDescent="0.3">
      <c r="A21" s="53" t="s">
        <v>651</v>
      </c>
      <c r="B21" s="25">
        <v>1</v>
      </c>
      <c r="C21" s="25">
        <v>1</v>
      </c>
      <c r="D21" s="25">
        <v>1</v>
      </c>
      <c r="E21" s="25">
        <v>0</v>
      </c>
      <c r="F21" s="25">
        <v>1</v>
      </c>
      <c r="G21" s="25">
        <v>0</v>
      </c>
      <c r="H21" s="25">
        <v>0</v>
      </c>
      <c r="I21" s="25">
        <v>0</v>
      </c>
      <c r="J21" s="25">
        <v>0</v>
      </c>
      <c r="K21" s="25">
        <v>0</v>
      </c>
      <c r="L21" s="3">
        <f t="shared" si="0"/>
        <v>0.4</v>
      </c>
      <c r="M21" s="26" t="str">
        <f t="shared" si="1"/>
        <v>sedang</v>
      </c>
      <c r="N21" s="3">
        <f t="shared" si="2"/>
        <v>0.8</v>
      </c>
      <c r="O21" s="26" t="str">
        <f t="shared" si="3"/>
        <v>soal diterima baik</v>
      </c>
      <c r="P21" s="33"/>
      <c r="Q21" s="26">
        <v>16</v>
      </c>
      <c r="R21" s="25">
        <f t="shared" si="5"/>
        <v>0</v>
      </c>
      <c r="S21" s="25">
        <f t="shared" si="4"/>
        <v>0</v>
      </c>
      <c r="T21" s="25">
        <f t="shared" si="4"/>
        <v>0</v>
      </c>
      <c r="U21" s="25">
        <f t="shared" si="4"/>
        <v>0</v>
      </c>
      <c r="V21" s="25">
        <f t="shared" si="4"/>
        <v>0</v>
      </c>
      <c r="W21" s="25">
        <f t="shared" si="4"/>
        <v>0</v>
      </c>
      <c r="X21" s="25">
        <f t="shared" si="4"/>
        <v>0</v>
      </c>
      <c r="Y21" s="25">
        <f t="shared" si="4"/>
        <v>1</v>
      </c>
      <c r="Z21" s="25">
        <f t="shared" si="4"/>
        <v>0</v>
      </c>
      <c r="AA21" s="25">
        <f t="shared" si="4"/>
        <v>1</v>
      </c>
      <c r="AB21" s="3">
        <f t="shared" si="6"/>
        <v>0.2</v>
      </c>
      <c r="AC21" s="3">
        <f t="shared" si="7"/>
        <v>0.8</v>
      </c>
      <c r="AD21" s="3">
        <f t="shared" si="8"/>
        <v>0.16000000000000003</v>
      </c>
      <c r="AE21" s="33"/>
    </row>
    <row r="22" spans="1:31" ht="42" x14ac:dyDescent="0.3">
      <c r="A22" s="52" t="s">
        <v>652</v>
      </c>
      <c r="B22" s="25">
        <v>1</v>
      </c>
      <c r="C22" s="25">
        <v>1</v>
      </c>
      <c r="D22" s="25">
        <v>1</v>
      </c>
      <c r="E22" s="25">
        <v>1</v>
      </c>
      <c r="F22" s="25">
        <v>1</v>
      </c>
      <c r="G22" s="25">
        <v>1</v>
      </c>
      <c r="H22" s="25">
        <v>0</v>
      </c>
      <c r="I22" s="25">
        <v>1</v>
      </c>
      <c r="J22" s="25">
        <v>0</v>
      </c>
      <c r="K22" s="25">
        <v>1</v>
      </c>
      <c r="L22" s="3">
        <f t="shared" si="0"/>
        <v>0.8</v>
      </c>
      <c r="M22" s="26" t="str">
        <f t="shared" si="1"/>
        <v>mudah</v>
      </c>
      <c r="N22" s="3">
        <f t="shared" si="2"/>
        <v>0.4</v>
      </c>
      <c r="O22" s="26" t="str">
        <f t="shared" si="3"/>
        <v>soal diterima baik</v>
      </c>
      <c r="P22" s="33"/>
      <c r="Q22" s="26">
        <v>17</v>
      </c>
      <c r="R22" s="25">
        <f t="shared" si="5"/>
        <v>1</v>
      </c>
      <c r="S22" s="25">
        <f t="shared" si="5"/>
        <v>1</v>
      </c>
      <c r="T22" s="25">
        <f t="shared" si="5"/>
        <v>1</v>
      </c>
      <c r="U22" s="25">
        <f t="shared" si="5"/>
        <v>0</v>
      </c>
      <c r="V22" s="25">
        <f t="shared" si="5"/>
        <v>1</v>
      </c>
      <c r="W22" s="25">
        <f t="shared" si="5"/>
        <v>0</v>
      </c>
      <c r="X22" s="25">
        <f t="shared" si="5"/>
        <v>0</v>
      </c>
      <c r="Y22" s="25">
        <f t="shared" si="5"/>
        <v>0</v>
      </c>
      <c r="Z22" s="25">
        <f t="shared" si="5"/>
        <v>0</v>
      </c>
      <c r="AA22" s="25">
        <f t="shared" si="5"/>
        <v>0</v>
      </c>
      <c r="AB22" s="3">
        <f t="shared" si="6"/>
        <v>0.4</v>
      </c>
      <c r="AC22" s="3">
        <f t="shared" si="7"/>
        <v>0.6</v>
      </c>
      <c r="AD22" s="3">
        <f t="shared" si="8"/>
        <v>0.24</v>
      </c>
      <c r="AE22" s="33"/>
    </row>
    <row r="23" spans="1:31" ht="28" x14ac:dyDescent="0.3">
      <c r="A23" s="53" t="s">
        <v>653</v>
      </c>
      <c r="B23" s="25">
        <v>1</v>
      </c>
      <c r="C23" s="25">
        <v>1</v>
      </c>
      <c r="D23" s="25">
        <v>1</v>
      </c>
      <c r="E23" s="25">
        <v>0</v>
      </c>
      <c r="F23" s="25">
        <v>0</v>
      </c>
      <c r="G23" s="25">
        <v>0</v>
      </c>
      <c r="H23" s="25">
        <v>0</v>
      </c>
      <c r="I23" s="25">
        <v>0</v>
      </c>
      <c r="J23" s="25">
        <v>1</v>
      </c>
      <c r="K23" s="25">
        <v>0</v>
      </c>
      <c r="L23" s="3">
        <f t="shared" si="0"/>
        <v>0.4</v>
      </c>
      <c r="M23" s="26" t="str">
        <f t="shared" si="1"/>
        <v>sedang</v>
      </c>
      <c r="N23" s="3">
        <f t="shared" si="2"/>
        <v>0.4</v>
      </c>
      <c r="O23" s="26" t="str">
        <f t="shared" si="3"/>
        <v>soal diterima baik</v>
      </c>
      <c r="P23" s="33"/>
      <c r="Q23" s="26">
        <v>18</v>
      </c>
      <c r="R23" s="25">
        <f t="shared" si="5"/>
        <v>1</v>
      </c>
      <c r="S23" s="25">
        <f t="shared" si="5"/>
        <v>1</v>
      </c>
      <c r="T23" s="25">
        <f t="shared" si="5"/>
        <v>1</v>
      </c>
      <c r="U23" s="25">
        <f t="shared" si="5"/>
        <v>1</v>
      </c>
      <c r="V23" s="25">
        <f t="shared" si="5"/>
        <v>1</v>
      </c>
      <c r="W23" s="25">
        <f t="shared" si="5"/>
        <v>1</v>
      </c>
      <c r="X23" s="25">
        <f t="shared" si="5"/>
        <v>0</v>
      </c>
      <c r="Y23" s="25">
        <f t="shared" si="5"/>
        <v>1</v>
      </c>
      <c r="Z23" s="25">
        <f t="shared" si="5"/>
        <v>0</v>
      </c>
      <c r="AA23" s="25">
        <f t="shared" si="5"/>
        <v>1</v>
      </c>
      <c r="AB23" s="3">
        <f t="shared" si="6"/>
        <v>0.8</v>
      </c>
      <c r="AC23" s="3">
        <f t="shared" si="7"/>
        <v>0.19999999999999996</v>
      </c>
      <c r="AD23" s="3">
        <f t="shared" si="8"/>
        <v>0.15999999999999998</v>
      </c>
      <c r="AE23" s="33"/>
    </row>
    <row r="24" spans="1:31" ht="42" x14ac:dyDescent="0.3">
      <c r="A24" s="53" t="s">
        <v>654</v>
      </c>
      <c r="B24" s="25">
        <v>1</v>
      </c>
      <c r="C24" s="25">
        <v>1</v>
      </c>
      <c r="D24" s="25">
        <v>1</v>
      </c>
      <c r="E24" s="25">
        <v>1</v>
      </c>
      <c r="F24" s="25">
        <v>1</v>
      </c>
      <c r="G24" s="25">
        <v>0</v>
      </c>
      <c r="H24" s="25">
        <v>1</v>
      </c>
      <c r="I24" s="25">
        <v>1</v>
      </c>
      <c r="J24" s="25">
        <v>0</v>
      </c>
      <c r="K24" s="25">
        <v>1</v>
      </c>
      <c r="L24" s="3">
        <f t="shared" si="0"/>
        <v>0.8</v>
      </c>
      <c r="M24" s="26" t="str">
        <f t="shared" si="1"/>
        <v>mudah</v>
      </c>
      <c r="N24" s="3">
        <f t="shared" si="2"/>
        <v>0.4</v>
      </c>
      <c r="O24" s="26" t="str">
        <f t="shared" si="3"/>
        <v>soal diterima baik</v>
      </c>
      <c r="P24" s="33"/>
      <c r="Q24" s="26">
        <v>19</v>
      </c>
      <c r="R24" s="25">
        <f t="shared" si="5"/>
        <v>1</v>
      </c>
      <c r="S24" s="25">
        <f t="shared" si="5"/>
        <v>1</v>
      </c>
      <c r="T24" s="25">
        <f t="shared" si="5"/>
        <v>1</v>
      </c>
      <c r="U24" s="25">
        <f t="shared" si="5"/>
        <v>0</v>
      </c>
      <c r="V24" s="25">
        <f t="shared" si="5"/>
        <v>0</v>
      </c>
      <c r="W24" s="25">
        <f t="shared" si="5"/>
        <v>0</v>
      </c>
      <c r="X24" s="25">
        <f t="shared" si="5"/>
        <v>0</v>
      </c>
      <c r="Y24" s="25">
        <f t="shared" si="5"/>
        <v>0</v>
      </c>
      <c r="Z24" s="25">
        <f t="shared" si="5"/>
        <v>1</v>
      </c>
      <c r="AA24" s="25">
        <f t="shared" si="5"/>
        <v>0</v>
      </c>
      <c r="AB24" s="3">
        <f t="shared" si="6"/>
        <v>0.4</v>
      </c>
      <c r="AC24" s="3">
        <f t="shared" si="7"/>
        <v>0.6</v>
      </c>
      <c r="AD24" s="3">
        <f t="shared" si="8"/>
        <v>0.24</v>
      </c>
      <c r="AE24" s="33"/>
    </row>
    <row r="25" spans="1:31" ht="28" x14ac:dyDescent="0.3">
      <c r="A25" s="52" t="s">
        <v>655</v>
      </c>
      <c r="B25" s="25">
        <v>0</v>
      </c>
      <c r="C25" s="25">
        <v>1</v>
      </c>
      <c r="D25" s="25">
        <v>1</v>
      </c>
      <c r="E25" s="25">
        <v>0</v>
      </c>
      <c r="F25" s="25">
        <v>1</v>
      </c>
      <c r="G25" s="25">
        <v>1</v>
      </c>
      <c r="H25" s="25">
        <v>1</v>
      </c>
      <c r="I25" s="25">
        <v>1</v>
      </c>
      <c r="J25" s="25">
        <v>1</v>
      </c>
      <c r="K25" s="25">
        <v>1</v>
      </c>
      <c r="L25" s="3">
        <f t="shared" si="0"/>
        <v>0.8</v>
      </c>
      <c r="M25" s="26" t="str">
        <f t="shared" si="1"/>
        <v>mudah</v>
      </c>
      <c r="N25" s="3">
        <f t="shared" si="2"/>
        <v>0.4</v>
      </c>
      <c r="O25" s="26" t="str">
        <f t="shared" si="3"/>
        <v>soal diterima baik</v>
      </c>
      <c r="P25" s="33"/>
      <c r="Q25" s="26">
        <v>20</v>
      </c>
      <c r="R25" s="25">
        <f t="shared" si="5"/>
        <v>1</v>
      </c>
      <c r="S25" s="25">
        <f t="shared" si="5"/>
        <v>1</v>
      </c>
      <c r="T25" s="25">
        <f t="shared" si="5"/>
        <v>1</v>
      </c>
      <c r="U25" s="25">
        <f t="shared" si="5"/>
        <v>1</v>
      </c>
      <c r="V25" s="25">
        <f t="shared" si="5"/>
        <v>1</v>
      </c>
      <c r="W25" s="25">
        <f t="shared" si="5"/>
        <v>0</v>
      </c>
      <c r="X25" s="25">
        <f t="shared" si="5"/>
        <v>1</v>
      </c>
      <c r="Y25" s="25">
        <f t="shared" si="5"/>
        <v>1</v>
      </c>
      <c r="Z25" s="25">
        <f t="shared" si="5"/>
        <v>0</v>
      </c>
      <c r="AA25" s="25">
        <f t="shared" si="5"/>
        <v>1</v>
      </c>
      <c r="AB25" s="3">
        <f t="shared" si="6"/>
        <v>0.8</v>
      </c>
      <c r="AC25" s="3">
        <f t="shared" si="7"/>
        <v>0.19999999999999996</v>
      </c>
      <c r="AD25" s="3">
        <f t="shared" si="8"/>
        <v>0.15999999999999998</v>
      </c>
      <c r="AE25" s="33"/>
    </row>
    <row r="26" spans="1:31" ht="28" x14ac:dyDescent="0.3">
      <c r="A26" s="53" t="s">
        <v>656</v>
      </c>
      <c r="B26" s="25">
        <v>0</v>
      </c>
      <c r="C26" s="25">
        <v>0</v>
      </c>
      <c r="D26" s="25">
        <v>0</v>
      </c>
      <c r="E26" s="25">
        <v>0</v>
      </c>
      <c r="F26" s="25">
        <v>0</v>
      </c>
      <c r="G26" s="25">
        <v>0</v>
      </c>
      <c r="H26" s="25">
        <v>1</v>
      </c>
      <c r="I26" s="25">
        <v>1</v>
      </c>
      <c r="J26" s="25">
        <v>1</v>
      </c>
      <c r="K26" s="25">
        <v>1</v>
      </c>
      <c r="L26" s="3">
        <f t="shared" si="0"/>
        <v>0.4</v>
      </c>
      <c r="M26" s="26" t="str">
        <f t="shared" si="1"/>
        <v>sedang</v>
      </c>
      <c r="N26" s="3">
        <f t="shared" si="2"/>
        <v>0.8</v>
      </c>
      <c r="O26" s="26" t="str">
        <f t="shared" si="3"/>
        <v>soal diterima baik</v>
      </c>
      <c r="P26" s="33"/>
      <c r="Q26" s="26">
        <v>21</v>
      </c>
      <c r="R26" s="25">
        <f t="shared" si="5"/>
        <v>0</v>
      </c>
      <c r="S26" s="25">
        <f t="shared" si="5"/>
        <v>1</v>
      </c>
      <c r="T26" s="25">
        <f t="shared" si="5"/>
        <v>1</v>
      </c>
      <c r="U26" s="25">
        <f t="shared" si="5"/>
        <v>0</v>
      </c>
      <c r="V26" s="25">
        <f t="shared" si="5"/>
        <v>1</v>
      </c>
      <c r="W26" s="25">
        <f t="shared" si="5"/>
        <v>1</v>
      </c>
      <c r="X26" s="25">
        <f t="shared" si="5"/>
        <v>1</v>
      </c>
      <c r="Y26" s="25">
        <f t="shared" si="5"/>
        <v>1</v>
      </c>
      <c r="Z26" s="25">
        <f t="shared" si="5"/>
        <v>1</v>
      </c>
      <c r="AA26" s="25">
        <f t="shared" si="5"/>
        <v>1</v>
      </c>
      <c r="AB26" s="3">
        <f t="shared" si="6"/>
        <v>0.8</v>
      </c>
      <c r="AC26" s="3">
        <f t="shared" si="7"/>
        <v>0.19999999999999996</v>
      </c>
      <c r="AD26" s="3">
        <f t="shared" si="8"/>
        <v>0.15999999999999998</v>
      </c>
      <c r="AE26" s="33"/>
    </row>
    <row r="27" spans="1:31" ht="42" x14ac:dyDescent="0.3">
      <c r="A27" s="52" t="s">
        <v>657</v>
      </c>
      <c r="B27" s="25">
        <v>1</v>
      </c>
      <c r="C27" s="25">
        <v>0</v>
      </c>
      <c r="D27" s="25">
        <v>1</v>
      </c>
      <c r="E27" s="25">
        <v>1</v>
      </c>
      <c r="F27" s="25">
        <v>0</v>
      </c>
      <c r="G27" s="25">
        <v>1</v>
      </c>
      <c r="H27" s="25">
        <v>0</v>
      </c>
      <c r="I27" s="25">
        <v>0</v>
      </c>
      <c r="J27" s="25">
        <v>0</v>
      </c>
      <c r="K27" s="25">
        <v>0</v>
      </c>
      <c r="L27" s="3">
        <f t="shared" si="0"/>
        <v>0.4</v>
      </c>
      <c r="M27" s="26" t="str">
        <f t="shared" si="1"/>
        <v>sedang</v>
      </c>
      <c r="N27" s="3">
        <f t="shared" si="2"/>
        <v>0.4</v>
      </c>
      <c r="O27" s="26" t="str">
        <f t="shared" si="3"/>
        <v>soal diterima baik</v>
      </c>
      <c r="P27" s="33"/>
      <c r="Q27" s="26">
        <v>22</v>
      </c>
      <c r="R27" s="25">
        <f t="shared" si="5"/>
        <v>0</v>
      </c>
      <c r="S27" s="25">
        <f t="shared" si="5"/>
        <v>0</v>
      </c>
      <c r="T27" s="25">
        <f t="shared" si="5"/>
        <v>0</v>
      </c>
      <c r="U27" s="25">
        <f t="shared" si="5"/>
        <v>0</v>
      </c>
      <c r="V27" s="25">
        <f t="shared" si="5"/>
        <v>0</v>
      </c>
      <c r="W27" s="25">
        <f t="shared" si="5"/>
        <v>0</v>
      </c>
      <c r="X27" s="25">
        <f t="shared" si="5"/>
        <v>1</v>
      </c>
      <c r="Y27" s="25">
        <f t="shared" si="5"/>
        <v>1</v>
      </c>
      <c r="Z27" s="25">
        <f t="shared" si="5"/>
        <v>1</v>
      </c>
      <c r="AA27" s="25">
        <f t="shared" si="5"/>
        <v>1</v>
      </c>
      <c r="AB27" s="3">
        <f t="shared" si="6"/>
        <v>0.4</v>
      </c>
      <c r="AC27" s="3">
        <f t="shared" si="7"/>
        <v>0.6</v>
      </c>
      <c r="AD27" s="3">
        <f t="shared" si="8"/>
        <v>0.24</v>
      </c>
      <c r="AE27" s="33"/>
    </row>
    <row r="28" spans="1:31" ht="28" x14ac:dyDescent="0.3">
      <c r="A28" s="54" t="s">
        <v>658</v>
      </c>
      <c r="B28" s="25">
        <v>0</v>
      </c>
      <c r="C28" s="25">
        <v>1</v>
      </c>
      <c r="D28" s="25">
        <v>0</v>
      </c>
      <c r="E28" s="25">
        <v>0</v>
      </c>
      <c r="F28" s="25">
        <v>0</v>
      </c>
      <c r="G28" s="25">
        <v>1</v>
      </c>
      <c r="H28" s="25">
        <v>0</v>
      </c>
      <c r="I28" s="25">
        <v>0</v>
      </c>
      <c r="J28" s="25">
        <v>1</v>
      </c>
      <c r="K28" s="25">
        <v>1</v>
      </c>
      <c r="L28" s="3">
        <f t="shared" si="0"/>
        <v>0.4</v>
      </c>
      <c r="M28" s="26" t="str">
        <f t="shared" si="1"/>
        <v>sedang</v>
      </c>
      <c r="N28" s="3">
        <f t="shared" si="2"/>
        <v>0.4</v>
      </c>
      <c r="O28" s="26" t="str">
        <f t="shared" si="3"/>
        <v>soal diterima baik</v>
      </c>
      <c r="P28" s="33"/>
      <c r="Q28" s="26">
        <v>23</v>
      </c>
      <c r="R28" s="25">
        <f t="shared" si="5"/>
        <v>1</v>
      </c>
      <c r="S28" s="25">
        <f t="shared" si="5"/>
        <v>0</v>
      </c>
      <c r="T28" s="25">
        <f t="shared" si="5"/>
        <v>1</v>
      </c>
      <c r="U28" s="25">
        <f t="shared" si="5"/>
        <v>1</v>
      </c>
      <c r="V28" s="25">
        <f t="shared" si="5"/>
        <v>0</v>
      </c>
      <c r="W28" s="25">
        <f t="shared" si="5"/>
        <v>1</v>
      </c>
      <c r="X28" s="25">
        <f t="shared" si="5"/>
        <v>0</v>
      </c>
      <c r="Y28" s="25">
        <f t="shared" si="5"/>
        <v>0</v>
      </c>
      <c r="Z28" s="25">
        <f t="shared" si="5"/>
        <v>0</v>
      </c>
      <c r="AA28" s="25">
        <f t="shared" si="5"/>
        <v>0</v>
      </c>
      <c r="AB28" s="3">
        <f t="shared" si="6"/>
        <v>0.4</v>
      </c>
      <c r="AC28" s="3">
        <f t="shared" si="7"/>
        <v>0.6</v>
      </c>
      <c r="AD28" s="3">
        <f t="shared" si="8"/>
        <v>0.24</v>
      </c>
      <c r="AE28" s="33"/>
    </row>
    <row r="29" spans="1:31" ht="42" x14ac:dyDescent="0.3">
      <c r="A29" s="53" t="s">
        <v>659</v>
      </c>
      <c r="B29" s="25">
        <v>1</v>
      </c>
      <c r="C29" s="25">
        <v>1</v>
      </c>
      <c r="D29" s="25">
        <v>1</v>
      </c>
      <c r="E29" s="25">
        <v>0</v>
      </c>
      <c r="F29" s="25">
        <v>0</v>
      </c>
      <c r="G29" s="25">
        <v>0</v>
      </c>
      <c r="H29" s="25">
        <v>0</v>
      </c>
      <c r="I29" s="25">
        <v>0</v>
      </c>
      <c r="J29" s="25">
        <v>1</v>
      </c>
      <c r="K29" s="25">
        <v>0</v>
      </c>
      <c r="L29" s="3">
        <f t="shared" si="0"/>
        <v>0.4</v>
      </c>
      <c r="M29" s="26" t="str">
        <f t="shared" si="1"/>
        <v>sedang</v>
      </c>
      <c r="N29" s="3">
        <f t="shared" si="2"/>
        <v>0.4</v>
      </c>
      <c r="O29" s="26" t="str">
        <f t="shared" si="3"/>
        <v>soal diterima baik</v>
      </c>
      <c r="P29" s="33"/>
      <c r="Q29" s="26">
        <v>24</v>
      </c>
      <c r="R29" s="25">
        <f t="shared" si="5"/>
        <v>0</v>
      </c>
      <c r="S29" s="25">
        <f t="shared" si="5"/>
        <v>1</v>
      </c>
      <c r="T29" s="25">
        <f t="shared" si="5"/>
        <v>0</v>
      </c>
      <c r="U29" s="25">
        <f t="shared" si="5"/>
        <v>0</v>
      </c>
      <c r="V29" s="25">
        <f t="shared" si="5"/>
        <v>0</v>
      </c>
      <c r="W29" s="25">
        <f t="shared" si="5"/>
        <v>1</v>
      </c>
      <c r="X29" s="25">
        <f t="shared" si="5"/>
        <v>0</v>
      </c>
      <c r="Y29" s="25">
        <f t="shared" si="5"/>
        <v>0</v>
      </c>
      <c r="Z29" s="25">
        <f t="shared" si="5"/>
        <v>1</v>
      </c>
      <c r="AA29" s="25">
        <f t="shared" si="5"/>
        <v>1</v>
      </c>
      <c r="AB29" s="3">
        <f t="shared" si="6"/>
        <v>0.4</v>
      </c>
      <c r="AC29" s="3">
        <f t="shared" si="7"/>
        <v>0.6</v>
      </c>
      <c r="AD29" s="3">
        <f t="shared" si="8"/>
        <v>0.24</v>
      </c>
      <c r="AE29" s="33"/>
    </row>
    <row r="30" spans="1:31" ht="42" x14ac:dyDescent="0.3">
      <c r="A30" s="52" t="s">
        <v>660</v>
      </c>
      <c r="B30" s="25">
        <v>1</v>
      </c>
      <c r="C30" s="25">
        <v>1</v>
      </c>
      <c r="D30" s="25">
        <v>1</v>
      </c>
      <c r="E30" s="25">
        <v>1</v>
      </c>
      <c r="F30" s="25">
        <v>1</v>
      </c>
      <c r="G30" s="25">
        <v>1</v>
      </c>
      <c r="H30" s="25">
        <v>1</v>
      </c>
      <c r="I30" s="25">
        <v>0</v>
      </c>
      <c r="J30" s="25">
        <v>0</v>
      </c>
      <c r="K30" s="25">
        <v>1</v>
      </c>
      <c r="L30" s="3">
        <f t="shared" si="0"/>
        <v>0.8</v>
      </c>
      <c r="M30" s="26" t="str">
        <f t="shared" si="1"/>
        <v>mudah</v>
      </c>
      <c r="N30" s="3">
        <f t="shared" si="2"/>
        <v>0.4</v>
      </c>
      <c r="O30" s="26" t="str">
        <f t="shared" si="3"/>
        <v>soal diterima baik</v>
      </c>
      <c r="P30" s="33"/>
      <c r="Q30" s="26">
        <v>25</v>
      </c>
      <c r="R30" s="25">
        <f t="shared" si="5"/>
        <v>1</v>
      </c>
      <c r="S30" s="25">
        <f t="shared" si="5"/>
        <v>1</v>
      </c>
      <c r="T30" s="25">
        <f t="shared" si="5"/>
        <v>1</v>
      </c>
      <c r="U30" s="25">
        <f t="shared" si="5"/>
        <v>0</v>
      </c>
      <c r="V30" s="25">
        <f t="shared" si="5"/>
        <v>0</v>
      </c>
      <c r="W30" s="25">
        <f t="shared" si="5"/>
        <v>0</v>
      </c>
      <c r="X30" s="25">
        <f t="shared" si="5"/>
        <v>0</v>
      </c>
      <c r="Y30" s="25">
        <f t="shared" si="5"/>
        <v>0</v>
      </c>
      <c r="Z30" s="25">
        <f t="shared" si="5"/>
        <v>1</v>
      </c>
      <c r="AA30" s="25">
        <f t="shared" si="5"/>
        <v>0</v>
      </c>
      <c r="AB30" s="3">
        <f t="shared" si="6"/>
        <v>0.4</v>
      </c>
      <c r="AC30" s="3">
        <f t="shared" si="7"/>
        <v>0.6</v>
      </c>
      <c r="AD30" s="3">
        <f t="shared" si="8"/>
        <v>0.24</v>
      </c>
      <c r="AE30" s="33"/>
    </row>
    <row r="31" spans="1:31" ht="42" x14ac:dyDescent="0.3">
      <c r="A31" s="53" t="s">
        <v>661</v>
      </c>
      <c r="B31" s="25">
        <v>0</v>
      </c>
      <c r="C31" s="25">
        <v>0</v>
      </c>
      <c r="D31" s="25">
        <v>0</v>
      </c>
      <c r="E31" s="25">
        <v>1</v>
      </c>
      <c r="F31" s="25">
        <v>0</v>
      </c>
      <c r="G31" s="25">
        <v>1</v>
      </c>
      <c r="H31" s="25">
        <v>0</v>
      </c>
      <c r="I31" s="25">
        <v>1</v>
      </c>
      <c r="J31" s="25">
        <v>1</v>
      </c>
      <c r="K31" s="25">
        <v>0</v>
      </c>
      <c r="L31" s="3">
        <f t="shared" si="0"/>
        <v>0.4</v>
      </c>
      <c r="M31" s="26" t="str">
        <f t="shared" si="1"/>
        <v>sedang</v>
      </c>
      <c r="N31" s="3">
        <f t="shared" si="2"/>
        <v>0.4</v>
      </c>
      <c r="O31" s="26" t="str">
        <f t="shared" si="3"/>
        <v>soal diterima baik</v>
      </c>
      <c r="P31" s="33"/>
      <c r="Q31" s="26">
        <v>26</v>
      </c>
      <c r="R31" s="25">
        <f t="shared" si="5"/>
        <v>1</v>
      </c>
      <c r="S31" s="25">
        <f t="shared" si="5"/>
        <v>1</v>
      </c>
      <c r="T31" s="25">
        <f t="shared" si="5"/>
        <v>1</v>
      </c>
      <c r="U31" s="25">
        <f t="shared" si="5"/>
        <v>1</v>
      </c>
      <c r="V31" s="25">
        <f t="shared" si="5"/>
        <v>1</v>
      </c>
      <c r="W31" s="25">
        <f t="shared" si="5"/>
        <v>1</v>
      </c>
      <c r="X31" s="25">
        <f t="shared" si="5"/>
        <v>1</v>
      </c>
      <c r="Y31" s="25">
        <f t="shared" si="5"/>
        <v>0</v>
      </c>
      <c r="Z31" s="25">
        <f t="shared" si="5"/>
        <v>0</v>
      </c>
      <c r="AA31" s="25">
        <f t="shared" si="5"/>
        <v>1</v>
      </c>
      <c r="AB31" s="3">
        <f t="shared" si="6"/>
        <v>0.8</v>
      </c>
      <c r="AC31" s="3">
        <f t="shared" si="7"/>
        <v>0.19999999999999996</v>
      </c>
      <c r="AD31" s="3">
        <f t="shared" si="8"/>
        <v>0.15999999999999998</v>
      </c>
      <c r="AE31" s="33"/>
    </row>
    <row r="32" spans="1:31" ht="28" x14ac:dyDescent="0.3">
      <c r="A32" s="52" t="s">
        <v>662</v>
      </c>
      <c r="B32" s="25">
        <v>0</v>
      </c>
      <c r="C32" s="25">
        <v>1</v>
      </c>
      <c r="D32" s="25">
        <v>0</v>
      </c>
      <c r="E32" s="25">
        <v>0</v>
      </c>
      <c r="F32" s="25">
        <v>0</v>
      </c>
      <c r="G32" s="25">
        <v>0</v>
      </c>
      <c r="H32" s="25">
        <v>0</v>
      </c>
      <c r="I32" s="25">
        <v>1</v>
      </c>
      <c r="J32" s="25">
        <v>1</v>
      </c>
      <c r="K32" s="25">
        <v>1</v>
      </c>
      <c r="L32" s="3">
        <f t="shared" si="0"/>
        <v>0.4</v>
      </c>
      <c r="M32" s="26" t="str">
        <f t="shared" si="1"/>
        <v>sedang</v>
      </c>
      <c r="N32" s="3">
        <f t="shared" si="2"/>
        <v>0.4</v>
      </c>
      <c r="O32" s="26" t="str">
        <f t="shared" si="3"/>
        <v>soal diterima baik</v>
      </c>
      <c r="P32" s="33"/>
      <c r="Q32" s="26">
        <v>27</v>
      </c>
      <c r="R32" s="25">
        <f t="shared" si="5"/>
        <v>0</v>
      </c>
      <c r="S32" s="25">
        <f t="shared" si="5"/>
        <v>0</v>
      </c>
      <c r="T32" s="25">
        <f t="shared" si="5"/>
        <v>0</v>
      </c>
      <c r="U32" s="25">
        <f t="shared" si="5"/>
        <v>1</v>
      </c>
      <c r="V32" s="25">
        <f t="shared" si="5"/>
        <v>0</v>
      </c>
      <c r="W32" s="25">
        <f t="shared" si="5"/>
        <v>1</v>
      </c>
      <c r="X32" s="25">
        <f t="shared" si="5"/>
        <v>0</v>
      </c>
      <c r="Y32" s="25">
        <f t="shared" si="5"/>
        <v>1</v>
      </c>
      <c r="Z32" s="25">
        <f t="shared" si="5"/>
        <v>1</v>
      </c>
      <c r="AA32" s="25">
        <f t="shared" si="5"/>
        <v>0</v>
      </c>
      <c r="AB32" s="3">
        <f t="shared" si="6"/>
        <v>0.4</v>
      </c>
      <c r="AC32" s="3">
        <f t="shared" si="7"/>
        <v>0.6</v>
      </c>
      <c r="AD32" s="3">
        <f t="shared" si="8"/>
        <v>0.24</v>
      </c>
      <c r="AE32" s="33"/>
    </row>
    <row r="33" spans="1:31" ht="28" x14ac:dyDescent="0.3">
      <c r="A33" s="53" t="s">
        <v>663</v>
      </c>
      <c r="B33" s="25">
        <v>1</v>
      </c>
      <c r="C33" s="25">
        <v>0</v>
      </c>
      <c r="D33" s="25">
        <v>1</v>
      </c>
      <c r="E33" s="25">
        <v>1</v>
      </c>
      <c r="F33" s="25">
        <v>0</v>
      </c>
      <c r="G33" s="25">
        <v>1</v>
      </c>
      <c r="H33" s="25">
        <v>1</v>
      </c>
      <c r="I33" s="25">
        <v>1</v>
      </c>
      <c r="J33" s="25">
        <v>1</v>
      </c>
      <c r="K33" s="25">
        <v>1</v>
      </c>
      <c r="L33" s="3">
        <f t="shared" si="0"/>
        <v>0.8</v>
      </c>
      <c r="M33" s="26" t="str">
        <f t="shared" si="1"/>
        <v>mudah</v>
      </c>
      <c r="N33" s="3">
        <f t="shared" si="2"/>
        <v>0.4</v>
      </c>
      <c r="O33" s="26" t="str">
        <f t="shared" si="3"/>
        <v>soal diterima baik</v>
      </c>
      <c r="P33" s="33"/>
      <c r="Q33" s="26">
        <v>28</v>
      </c>
      <c r="R33" s="25">
        <f t="shared" si="5"/>
        <v>0</v>
      </c>
      <c r="S33" s="25">
        <f t="shared" si="5"/>
        <v>1</v>
      </c>
      <c r="T33" s="25">
        <f t="shared" si="5"/>
        <v>0</v>
      </c>
      <c r="U33" s="25">
        <f t="shared" si="5"/>
        <v>0</v>
      </c>
      <c r="V33" s="25">
        <f t="shared" si="5"/>
        <v>0</v>
      </c>
      <c r="W33" s="25">
        <f t="shared" si="5"/>
        <v>0</v>
      </c>
      <c r="X33" s="25">
        <f t="shared" si="5"/>
        <v>0</v>
      </c>
      <c r="Y33" s="25">
        <f t="shared" si="5"/>
        <v>1</v>
      </c>
      <c r="Z33" s="25">
        <f t="shared" si="5"/>
        <v>1</v>
      </c>
      <c r="AA33" s="25">
        <f t="shared" si="5"/>
        <v>1</v>
      </c>
      <c r="AB33" s="3">
        <f t="shared" si="6"/>
        <v>0.4</v>
      </c>
      <c r="AC33" s="3">
        <f t="shared" si="7"/>
        <v>0.6</v>
      </c>
      <c r="AD33" s="3">
        <f t="shared" si="8"/>
        <v>0.24</v>
      </c>
      <c r="AE33" s="33"/>
    </row>
    <row r="34" spans="1:31" ht="28" x14ac:dyDescent="0.3">
      <c r="A34" s="54" t="s">
        <v>664</v>
      </c>
      <c r="B34" s="25">
        <v>0</v>
      </c>
      <c r="C34" s="25">
        <v>0</v>
      </c>
      <c r="D34" s="25">
        <v>1</v>
      </c>
      <c r="E34" s="25">
        <v>1</v>
      </c>
      <c r="F34" s="25">
        <v>0</v>
      </c>
      <c r="G34" s="25">
        <v>1</v>
      </c>
      <c r="H34" s="25">
        <v>1</v>
      </c>
      <c r="I34" s="25">
        <v>1</v>
      </c>
      <c r="J34" s="25">
        <v>1</v>
      </c>
      <c r="K34" s="25">
        <v>0</v>
      </c>
      <c r="L34" s="3">
        <f t="shared" si="0"/>
        <v>0.6</v>
      </c>
      <c r="M34" s="26" t="str">
        <f t="shared" si="1"/>
        <v>sedang</v>
      </c>
      <c r="N34" s="3">
        <f t="shared" si="2"/>
        <v>0.4</v>
      </c>
      <c r="O34" s="26" t="str">
        <f t="shared" si="3"/>
        <v>soal diterima baik</v>
      </c>
      <c r="P34" s="33"/>
      <c r="Q34" s="26">
        <v>29</v>
      </c>
      <c r="R34" s="25">
        <f t="shared" si="5"/>
        <v>1</v>
      </c>
      <c r="S34" s="25">
        <f t="shared" si="5"/>
        <v>0</v>
      </c>
      <c r="T34" s="25">
        <f t="shared" si="5"/>
        <v>1</v>
      </c>
      <c r="U34" s="25">
        <f t="shared" si="5"/>
        <v>1</v>
      </c>
      <c r="V34" s="25">
        <f t="shared" si="5"/>
        <v>0</v>
      </c>
      <c r="W34" s="25">
        <f t="shared" si="5"/>
        <v>1</v>
      </c>
      <c r="X34" s="25">
        <f t="shared" si="5"/>
        <v>1</v>
      </c>
      <c r="Y34" s="25">
        <f t="shared" si="5"/>
        <v>1</v>
      </c>
      <c r="Z34" s="25">
        <f t="shared" si="5"/>
        <v>1</v>
      </c>
      <c r="AA34" s="25">
        <f t="shared" si="5"/>
        <v>1</v>
      </c>
      <c r="AB34" s="3">
        <f t="shared" si="6"/>
        <v>0.8</v>
      </c>
      <c r="AC34" s="3">
        <f t="shared" si="7"/>
        <v>0.19999999999999996</v>
      </c>
      <c r="AD34" s="3">
        <f t="shared" si="8"/>
        <v>0.15999999999999998</v>
      </c>
      <c r="AE34" s="33"/>
    </row>
    <row r="35" spans="1:31" ht="42" x14ac:dyDescent="0.3">
      <c r="A35" s="52" t="s">
        <v>665</v>
      </c>
      <c r="B35" s="25">
        <v>0</v>
      </c>
      <c r="C35" s="25">
        <v>1</v>
      </c>
      <c r="D35" s="25">
        <v>0</v>
      </c>
      <c r="E35" s="25">
        <v>1</v>
      </c>
      <c r="F35" s="25">
        <v>1</v>
      </c>
      <c r="G35" s="25">
        <v>1</v>
      </c>
      <c r="H35" s="25">
        <v>1</v>
      </c>
      <c r="I35" s="25">
        <v>1</v>
      </c>
      <c r="J35" s="25">
        <v>1</v>
      </c>
      <c r="K35" s="25">
        <v>1</v>
      </c>
      <c r="L35" s="3">
        <f t="shared" si="0"/>
        <v>0.8</v>
      </c>
      <c r="M35" s="26" t="str">
        <f t="shared" si="1"/>
        <v>mudah</v>
      </c>
      <c r="N35" s="3">
        <f t="shared" si="2"/>
        <v>0.4</v>
      </c>
      <c r="O35" s="26" t="str">
        <f t="shared" si="3"/>
        <v>soal diterima baik</v>
      </c>
      <c r="P35" s="33"/>
      <c r="Q35" s="26">
        <v>30</v>
      </c>
      <c r="R35" s="25">
        <f t="shared" si="5"/>
        <v>0</v>
      </c>
      <c r="S35" s="25">
        <f t="shared" si="5"/>
        <v>0</v>
      </c>
      <c r="T35" s="25">
        <f t="shared" si="5"/>
        <v>1</v>
      </c>
      <c r="U35" s="25">
        <f t="shared" si="5"/>
        <v>1</v>
      </c>
      <c r="V35" s="25">
        <f t="shared" si="5"/>
        <v>0</v>
      </c>
      <c r="W35" s="25">
        <f t="shared" si="5"/>
        <v>1</v>
      </c>
      <c r="X35" s="25">
        <f t="shared" si="5"/>
        <v>1</v>
      </c>
      <c r="Y35" s="25">
        <f t="shared" si="5"/>
        <v>1</v>
      </c>
      <c r="Z35" s="25">
        <f t="shared" si="5"/>
        <v>1</v>
      </c>
      <c r="AA35" s="25">
        <f t="shared" si="5"/>
        <v>0</v>
      </c>
      <c r="AB35" s="3">
        <f t="shared" si="6"/>
        <v>0.6</v>
      </c>
      <c r="AC35" s="3">
        <f t="shared" si="7"/>
        <v>0.4</v>
      </c>
      <c r="AD35" s="3">
        <f t="shared" si="8"/>
        <v>0.24</v>
      </c>
      <c r="AE35" s="33"/>
    </row>
    <row r="36" spans="1:31" ht="42" x14ac:dyDescent="0.3">
      <c r="A36" s="54" t="s">
        <v>666</v>
      </c>
      <c r="B36" s="25">
        <v>0</v>
      </c>
      <c r="C36" s="25">
        <v>1</v>
      </c>
      <c r="D36" s="25">
        <v>0</v>
      </c>
      <c r="E36" s="25">
        <v>1</v>
      </c>
      <c r="F36" s="25">
        <v>0</v>
      </c>
      <c r="G36" s="25">
        <v>1</v>
      </c>
      <c r="H36" s="25">
        <v>0</v>
      </c>
      <c r="I36" s="25">
        <v>1</v>
      </c>
      <c r="J36" s="25">
        <v>1</v>
      </c>
      <c r="K36" s="25">
        <v>1</v>
      </c>
      <c r="L36" s="3">
        <f t="shared" si="0"/>
        <v>0.6</v>
      </c>
      <c r="M36" s="26" t="str">
        <f t="shared" si="1"/>
        <v>sedang</v>
      </c>
      <c r="N36" s="3">
        <f t="shared" si="2"/>
        <v>0.4</v>
      </c>
      <c r="O36" s="26" t="str">
        <f t="shared" si="3"/>
        <v>soal diterima baik</v>
      </c>
      <c r="P36" s="33"/>
      <c r="Q36" s="26">
        <v>31</v>
      </c>
      <c r="R36" s="25">
        <f t="shared" si="5"/>
        <v>0</v>
      </c>
      <c r="S36" s="25">
        <f t="shared" si="5"/>
        <v>1</v>
      </c>
      <c r="T36" s="25">
        <f t="shared" si="5"/>
        <v>0</v>
      </c>
      <c r="U36" s="25">
        <f t="shared" si="5"/>
        <v>1</v>
      </c>
      <c r="V36" s="25">
        <f t="shared" si="5"/>
        <v>1</v>
      </c>
      <c r="W36" s="25">
        <f t="shared" si="5"/>
        <v>1</v>
      </c>
      <c r="X36" s="25">
        <f t="shared" si="5"/>
        <v>1</v>
      </c>
      <c r="Y36" s="25">
        <f t="shared" si="5"/>
        <v>1</v>
      </c>
      <c r="Z36" s="25">
        <f t="shared" si="5"/>
        <v>1</v>
      </c>
      <c r="AA36" s="25">
        <f t="shared" si="5"/>
        <v>1</v>
      </c>
      <c r="AB36" s="3">
        <f t="shared" si="6"/>
        <v>0.8</v>
      </c>
      <c r="AC36" s="3">
        <f t="shared" si="7"/>
        <v>0.19999999999999996</v>
      </c>
      <c r="AD36" s="3">
        <f t="shared" si="8"/>
        <v>0.15999999999999998</v>
      </c>
      <c r="AE36" s="33"/>
    </row>
    <row r="37" spans="1:31" ht="42" x14ac:dyDescent="0.3">
      <c r="A37" s="53" t="s">
        <v>667</v>
      </c>
      <c r="B37" s="25">
        <v>1</v>
      </c>
      <c r="C37" s="25">
        <v>1</v>
      </c>
      <c r="D37" s="25">
        <v>1</v>
      </c>
      <c r="E37" s="25">
        <v>1</v>
      </c>
      <c r="F37" s="25">
        <v>1</v>
      </c>
      <c r="G37" s="25">
        <v>0</v>
      </c>
      <c r="H37" s="25">
        <v>0</v>
      </c>
      <c r="I37" s="25">
        <v>1</v>
      </c>
      <c r="J37" s="25">
        <v>0</v>
      </c>
      <c r="K37" s="25">
        <v>0</v>
      </c>
      <c r="L37" s="3">
        <f t="shared" si="0"/>
        <v>0.6</v>
      </c>
      <c r="M37" s="26" t="str">
        <f t="shared" si="1"/>
        <v>sedang</v>
      </c>
      <c r="N37" s="3">
        <f t="shared" si="2"/>
        <v>0.8</v>
      </c>
      <c r="O37" s="26" t="str">
        <f t="shared" si="3"/>
        <v>soal diterima baik</v>
      </c>
      <c r="P37" s="33"/>
      <c r="Q37" s="26">
        <v>32</v>
      </c>
      <c r="R37" s="25">
        <f t="shared" si="5"/>
        <v>0</v>
      </c>
      <c r="S37" s="25">
        <f t="shared" si="5"/>
        <v>1</v>
      </c>
      <c r="T37" s="25">
        <f t="shared" si="5"/>
        <v>0</v>
      </c>
      <c r="U37" s="25">
        <f t="shared" si="5"/>
        <v>1</v>
      </c>
      <c r="V37" s="25">
        <f t="shared" si="5"/>
        <v>0</v>
      </c>
      <c r="W37" s="25">
        <f t="shared" si="5"/>
        <v>1</v>
      </c>
      <c r="X37" s="25">
        <f t="shared" si="5"/>
        <v>0</v>
      </c>
      <c r="Y37" s="25">
        <f t="shared" si="5"/>
        <v>1</v>
      </c>
      <c r="Z37" s="25">
        <f t="shared" si="5"/>
        <v>1</v>
      </c>
      <c r="AA37" s="25">
        <f t="shared" si="5"/>
        <v>1</v>
      </c>
      <c r="AB37" s="3">
        <f t="shared" si="6"/>
        <v>0.6</v>
      </c>
      <c r="AC37" s="3">
        <f t="shared" si="7"/>
        <v>0.4</v>
      </c>
      <c r="AD37" s="3">
        <f t="shared" si="8"/>
        <v>0.24</v>
      </c>
      <c r="AE37" s="33"/>
    </row>
    <row r="38" spans="1:31" ht="28" x14ac:dyDescent="0.3">
      <c r="A38" s="54" t="s">
        <v>668</v>
      </c>
      <c r="B38" s="25">
        <v>1</v>
      </c>
      <c r="C38" s="25">
        <v>0</v>
      </c>
      <c r="D38" s="25">
        <v>0</v>
      </c>
      <c r="E38" s="25">
        <v>1</v>
      </c>
      <c r="F38" s="25">
        <v>1</v>
      </c>
      <c r="G38" s="25">
        <v>1</v>
      </c>
      <c r="H38" s="25">
        <v>0</v>
      </c>
      <c r="I38" s="25">
        <v>0</v>
      </c>
      <c r="J38" s="25">
        <v>0</v>
      </c>
      <c r="K38" s="25">
        <v>0</v>
      </c>
      <c r="L38" s="3">
        <f t="shared" si="0"/>
        <v>0.4</v>
      </c>
      <c r="M38" s="26" t="str">
        <f t="shared" si="1"/>
        <v>sedang</v>
      </c>
      <c r="N38" s="3">
        <f t="shared" si="2"/>
        <v>0.4</v>
      </c>
      <c r="O38" s="26" t="str">
        <f t="shared" si="3"/>
        <v>soal diterima baik</v>
      </c>
      <c r="P38" s="33"/>
      <c r="Q38" s="26">
        <v>33</v>
      </c>
      <c r="R38" s="25">
        <f t="shared" si="5"/>
        <v>1</v>
      </c>
      <c r="S38" s="25">
        <f t="shared" si="5"/>
        <v>1</v>
      </c>
      <c r="T38" s="25">
        <f t="shared" si="5"/>
        <v>1</v>
      </c>
      <c r="U38" s="25">
        <f t="shared" si="5"/>
        <v>1</v>
      </c>
      <c r="V38" s="25">
        <f t="shared" si="5"/>
        <v>1</v>
      </c>
      <c r="W38" s="25">
        <f t="shared" si="5"/>
        <v>0</v>
      </c>
      <c r="X38" s="25">
        <f t="shared" si="5"/>
        <v>0</v>
      </c>
      <c r="Y38" s="25">
        <f t="shared" si="5"/>
        <v>1</v>
      </c>
      <c r="Z38" s="25">
        <f t="shared" si="5"/>
        <v>0</v>
      </c>
      <c r="AA38" s="25">
        <f t="shared" si="5"/>
        <v>0</v>
      </c>
      <c r="AB38" s="3">
        <f t="shared" si="6"/>
        <v>0.6</v>
      </c>
      <c r="AC38" s="3">
        <f t="shared" si="7"/>
        <v>0.4</v>
      </c>
      <c r="AD38" s="3">
        <f t="shared" si="8"/>
        <v>0.24</v>
      </c>
      <c r="AE38" s="33"/>
    </row>
    <row r="39" spans="1:31" ht="28" x14ac:dyDescent="0.3">
      <c r="A39" s="52" t="s">
        <v>669</v>
      </c>
      <c r="B39" s="25">
        <v>0</v>
      </c>
      <c r="C39" s="25">
        <v>1</v>
      </c>
      <c r="D39" s="25">
        <v>1</v>
      </c>
      <c r="E39" s="25">
        <v>0</v>
      </c>
      <c r="F39" s="25">
        <v>0</v>
      </c>
      <c r="G39" s="25">
        <v>1</v>
      </c>
      <c r="H39" s="25">
        <v>0</v>
      </c>
      <c r="I39" s="25">
        <v>1</v>
      </c>
      <c r="J39" s="25">
        <v>1</v>
      </c>
      <c r="K39" s="25">
        <v>1</v>
      </c>
      <c r="L39" s="3">
        <f t="shared" si="0"/>
        <v>0.6</v>
      </c>
      <c r="M39" s="26" t="str">
        <f t="shared" si="1"/>
        <v>sedang</v>
      </c>
      <c r="N39" s="3">
        <f t="shared" si="2"/>
        <v>0.4</v>
      </c>
      <c r="O39" s="26" t="str">
        <f t="shared" si="3"/>
        <v>soal diterima baik</v>
      </c>
      <c r="P39" s="33"/>
      <c r="Q39" s="26">
        <v>34</v>
      </c>
      <c r="R39" s="25">
        <f t="shared" si="5"/>
        <v>1</v>
      </c>
      <c r="S39" s="25">
        <f t="shared" si="5"/>
        <v>0</v>
      </c>
      <c r="T39" s="25">
        <f t="shared" si="5"/>
        <v>0</v>
      </c>
      <c r="U39" s="25">
        <f t="shared" si="5"/>
        <v>1</v>
      </c>
      <c r="V39" s="25">
        <f t="shared" si="5"/>
        <v>1</v>
      </c>
      <c r="W39" s="25">
        <f t="shared" si="5"/>
        <v>1</v>
      </c>
      <c r="X39" s="25">
        <f t="shared" si="5"/>
        <v>0</v>
      </c>
      <c r="Y39" s="25">
        <f t="shared" si="5"/>
        <v>0</v>
      </c>
      <c r="Z39" s="25">
        <f t="shared" si="5"/>
        <v>0</v>
      </c>
      <c r="AA39" s="25">
        <f t="shared" si="5"/>
        <v>0</v>
      </c>
      <c r="AB39" s="3">
        <f t="shared" si="6"/>
        <v>0.4</v>
      </c>
      <c r="AC39" s="3">
        <f t="shared" si="7"/>
        <v>0.6</v>
      </c>
      <c r="AD39" s="3">
        <f t="shared" si="8"/>
        <v>0.24</v>
      </c>
      <c r="AE39" s="33"/>
    </row>
    <row r="40" spans="1:31" ht="28" x14ac:dyDescent="0.3">
      <c r="A40" s="54" t="s">
        <v>670</v>
      </c>
      <c r="B40" s="25">
        <v>1</v>
      </c>
      <c r="C40" s="25">
        <v>1</v>
      </c>
      <c r="D40" s="25">
        <v>1</v>
      </c>
      <c r="E40" s="25">
        <v>1</v>
      </c>
      <c r="F40" s="25">
        <v>1</v>
      </c>
      <c r="G40" s="25">
        <v>1</v>
      </c>
      <c r="H40" s="25">
        <v>1</v>
      </c>
      <c r="I40" s="25">
        <v>0</v>
      </c>
      <c r="J40" s="25">
        <v>1</v>
      </c>
      <c r="K40" s="25">
        <v>0</v>
      </c>
      <c r="L40" s="3">
        <f t="shared" si="0"/>
        <v>0.8</v>
      </c>
      <c r="M40" s="26" t="str">
        <f t="shared" si="1"/>
        <v>mudah</v>
      </c>
      <c r="N40" s="3">
        <f t="shared" si="2"/>
        <v>0.4</v>
      </c>
      <c r="O40" s="26" t="str">
        <f t="shared" si="3"/>
        <v>soal diterima baik</v>
      </c>
      <c r="P40" s="33"/>
      <c r="Q40" s="26">
        <v>35</v>
      </c>
      <c r="R40" s="25">
        <f t="shared" si="5"/>
        <v>0</v>
      </c>
      <c r="S40" s="25">
        <f t="shared" si="5"/>
        <v>1</v>
      </c>
      <c r="T40" s="25">
        <f t="shared" si="5"/>
        <v>1</v>
      </c>
      <c r="U40" s="25">
        <f t="shared" si="5"/>
        <v>0</v>
      </c>
      <c r="V40" s="25">
        <f t="shared" si="5"/>
        <v>0</v>
      </c>
      <c r="W40" s="25">
        <f t="shared" si="5"/>
        <v>1</v>
      </c>
      <c r="X40" s="25">
        <f t="shared" si="5"/>
        <v>0</v>
      </c>
      <c r="Y40" s="25">
        <f t="shared" si="5"/>
        <v>1</v>
      </c>
      <c r="Z40" s="25">
        <f t="shared" si="5"/>
        <v>1</v>
      </c>
      <c r="AA40" s="25">
        <f t="shared" si="5"/>
        <v>1</v>
      </c>
      <c r="AB40" s="3">
        <f t="shared" si="6"/>
        <v>0.6</v>
      </c>
      <c r="AC40" s="3">
        <f t="shared" si="7"/>
        <v>0.4</v>
      </c>
      <c r="AD40" s="3">
        <f t="shared" si="8"/>
        <v>0.24</v>
      </c>
      <c r="AE40" s="33"/>
    </row>
    <row r="41" spans="1:31" ht="28" x14ac:dyDescent="0.3">
      <c r="A41" s="52" t="s">
        <v>671</v>
      </c>
      <c r="B41" s="25">
        <v>1</v>
      </c>
      <c r="C41" s="25">
        <v>1</v>
      </c>
      <c r="D41" s="25">
        <v>0</v>
      </c>
      <c r="E41" s="25">
        <v>1</v>
      </c>
      <c r="F41" s="25">
        <v>1</v>
      </c>
      <c r="G41" s="25">
        <v>0</v>
      </c>
      <c r="H41" s="25">
        <v>0</v>
      </c>
      <c r="I41" s="25">
        <v>0</v>
      </c>
      <c r="J41" s="25">
        <v>0</v>
      </c>
      <c r="K41" s="25">
        <v>0</v>
      </c>
      <c r="L41" s="3">
        <f t="shared" si="0"/>
        <v>0.4</v>
      </c>
      <c r="M41" s="26" t="str">
        <f t="shared" si="1"/>
        <v>sedang</v>
      </c>
      <c r="N41" s="3">
        <f t="shared" si="2"/>
        <v>0.8</v>
      </c>
      <c r="O41" s="26" t="str">
        <f t="shared" si="3"/>
        <v>soal diterima baik</v>
      </c>
      <c r="P41" s="33"/>
      <c r="Q41" s="26">
        <v>36</v>
      </c>
      <c r="R41" s="25">
        <f t="shared" si="5"/>
        <v>1</v>
      </c>
      <c r="S41" s="25">
        <f t="shared" si="5"/>
        <v>1</v>
      </c>
      <c r="T41" s="25">
        <f t="shared" si="5"/>
        <v>1</v>
      </c>
      <c r="U41" s="25">
        <f t="shared" si="5"/>
        <v>1</v>
      </c>
      <c r="V41" s="25">
        <f t="shared" si="5"/>
        <v>1</v>
      </c>
      <c r="W41" s="25">
        <f t="shared" si="5"/>
        <v>1</v>
      </c>
      <c r="X41" s="25">
        <f t="shared" si="5"/>
        <v>1</v>
      </c>
      <c r="Y41" s="25">
        <f t="shared" si="5"/>
        <v>0</v>
      </c>
      <c r="Z41" s="25">
        <f t="shared" si="5"/>
        <v>1</v>
      </c>
      <c r="AA41" s="25">
        <f t="shared" si="5"/>
        <v>0</v>
      </c>
      <c r="AB41" s="3">
        <f t="shared" si="6"/>
        <v>0.8</v>
      </c>
      <c r="AC41" s="3">
        <f t="shared" si="7"/>
        <v>0.19999999999999996</v>
      </c>
      <c r="AD41" s="3">
        <f t="shared" si="8"/>
        <v>0.15999999999999998</v>
      </c>
      <c r="AE41" s="33"/>
    </row>
    <row r="42" spans="1:31" ht="42" x14ac:dyDescent="0.3">
      <c r="A42" s="53" t="s">
        <v>672</v>
      </c>
      <c r="B42" s="25">
        <v>1</v>
      </c>
      <c r="C42" s="25">
        <v>1</v>
      </c>
      <c r="D42" s="25">
        <v>1</v>
      </c>
      <c r="E42" s="25">
        <v>1</v>
      </c>
      <c r="F42" s="25">
        <v>0</v>
      </c>
      <c r="G42" s="25">
        <v>0</v>
      </c>
      <c r="H42" s="25">
        <v>1</v>
      </c>
      <c r="I42" s="25">
        <v>0</v>
      </c>
      <c r="J42" s="25">
        <v>1</v>
      </c>
      <c r="K42" s="25">
        <v>0</v>
      </c>
      <c r="L42" s="3">
        <f t="shared" si="0"/>
        <v>0.6</v>
      </c>
      <c r="M42" s="26" t="str">
        <f t="shared" si="1"/>
        <v>sedang</v>
      </c>
      <c r="N42" s="3">
        <f t="shared" si="2"/>
        <v>0.4</v>
      </c>
      <c r="O42" s="26" t="str">
        <f t="shared" si="3"/>
        <v>soal diterima baik</v>
      </c>
      <c r="P42" s="33"/>
      <c r="Q42" s="26">
        <v>37</v>
      </c>
      <c r="R42" s="25">
        <f t="shared" si="5"/>
        <v>1</v>
      </c>
      <c r="S42" s="25">
        <f t="shared" si="5"/>
        <v>1</v>
      </c>
      <c r="T42" s="25">
        <f t="shared" si="5"/>
        <v>0</v>
      </c>
      <c r="U42" s="25">
        <f t="shared" si="5"/>
        <v>1</v>
      </c>
      <c r="V42" s="25">
        <f t="shared" si="5"/>
        <v>1</v>
      </c>
      <c r="W42" s="25">
        <f t="shared" si="5"/>
        <v>0</v>
      </c>
      <c r="X42" s="25">
        <f t="shared" si="5"/>
        <v>0</v>
      </c>
      <c r="Y42" s="25">
        <f t="shared" si="5"/>
        <v>0</v>
      </c>
      <c r="Z42" s="25">
        <f t="shared" si="5"/>
        <v>0</v>
      </c>
      <c r="AA42" s="25">
        <f t="shared" si="5"/>
        <v>0</v>
      </c>
      <c r="AB42" s="3">
        <f t="shared" si="6"/>
        <v>0.4</v>
      </c>
      <c r="AC42" s="3">
        <f t="shared" si="7"/>
        <v>0.6</v>
      </c>
      <c r="AD42" s="3">
        <f t="shared" si="8"/>
        <v>0.24</v>
      </c>
      <c r="AE42" s="33"/>
    </row>
    <row r="43" spans="1:31" ht="42" x14ac:dyDescent="0.3">
      <c r="A43" s="53" t="s">
        <v>673</v>
      </c>
      <c r="B43" s="25">
        <v>0</v>
      </c>
      <c r="C43" s="25">
        <v>0</v>
      </c>
      <c r="D43" s="25">
        <v>1</v>
      </c>
      <c r="E43" s="25">
        <v>0</v>
      </c>
      <c r="F43" s="25">
        <v>1</v>
      </c>
      <c r="G43" s="25">
        <v>1</v>
      </c>
      <c r="H43" s="25">
        <v>1</v>
      </c>
      <c r="I43" s="25">
        <v>1</v>
      </c>
      <c r="J43" s="25">
        <v>0</v>
      </c>
      <c r="K43" s="25">
        <v>1</v>
      </c>
      <c r="L43" s="3">
        <f t="shared" si="0"/>
        <v>0.6</v>
      </c>
      <c r="M43" s="26" t="str">
        <f t="shared" si="1"/>
        <v>sedang</v>
      </c>
      <c r="N43" s="3">
        <f t="shared" si="2"/>
        <v>0.4</v>
      </c>
      <c r="O43" s="26" t="str">
        <f t="shared" si="3"/>
        <v>soal diterima baik</v>
      </c>
      <c r="P43" s="33"/>
      <c r="Q43" s="26">
        <v>38</v>
      </c>
      <c r="R43" s="25">
        <f t="shared" si="5"/>
        <v>1</v>
      </c>
      <c r="S43" s="25">
        <f t="shared" si="5"/>
        <v>1</v>
      </c>
      <c r="T43" s="25">
        <f t="shared" si="5"/>
        <v>1</v>
      </c>
      <c r="U43" s="25">
        <f t="shared" si="5"/>
        <v>1</v>
      </c>
      <c r="V43" s="25">
        <f t="shared" si="5"/>
        <v>0</v>
      </c>
      <c r="W43" s="25">
        <f t="shared" si="5"/>
        <v>0</v>
      </c>
      <c r="X43" s="25">
        <f t="shared" si="5"/>
        <v>1</v>
      </c>
      <c r="Y43" s="25">
        <f t="shared" si="5"/>
        <v>0</v>
      </c>
      <c r="Z43" s="25">
        <f t="shared" si="5"/>
        <v>1</v>
      </c>
      <c r="AA43" s="25">
        <f t="shared" si="5"/>
        <v>0</v>
      </c>
      <c r="AB43" s="3">
        <f t="shared" si="6"/>
        <v>0.6</v>
      </c>
      <c r="AC43" s="3">
        <f t="shared" si="7"/>
        <v>0.4</v>
      </c>
      <c r="AD43" s="3">
        <f t="shared" si="8"/>
        <v>0.24</v>
      </c>
      <c r="AE43" s="33"/>
    </row>
    <row r="44" spans="1:31" ht="42" x14ac:dyDescent="0.3">
      <c r="A44" s="53" t="s">
        <v>674</v>
      </c>
      <c r="B44" s="25">
        <v>1</v>
      </c>
      <c r="C44" s="25">
        <v>1</v>
      </c>
      <c r="D44" s="25">
        <v>1</v>
      </c>
      <c r="E44" s="25">
        <v>1</v>
      </c>
      <c r="F44" s="25">
        <v>1</v>
      </c>
      <c r="G44" s="25">
        <v>1</v>
      </c>
      <c r="H44" s="25">
        <v>0</v>
      </c>
      <c r="I44" s="25">
        <v>1</v>
      </c>
      <c r="J44" s="25">
        <v>1</v>
      </c>
      <c r="K44" s="25">
        <v>0</v>
      </c>
      <c r="L44" s="3">
        <f t="shared" si="0"/>
        <v>0.8</v>
      </c>
      <c r="M44" s="26" t="str">
        <f t="shared" si="1"/>
        <v>mudah</v>
      </c>
      <c r="N44" s="3">
        <f t="shared" si="2"/>
        <v>0.4</v>
      </c>
      <c r="O44" s="26" t="str">
        <f t="shared" si="3"/>
        <v>soal diterima baik</v>
      </c>
      <c r="P44" s="33"/>
      <c r="Q44" s="26">
        <v>39</v>
      </c>
      <c r="R44" s="25">
        <f t="shared" si="5"/>
        <v>0</v>
      </c>
      <c r="S44" s="25">
        <f t="shared" si="5"/>
        <v>0</v>
      </c>
      <c r="T44" s="25">
        <f t="shared" si="5"/>
        <v>1</v>
      </c>
      <c r="U44" s="25">
        <f t="shared" si="5"/>
        <v>0</v>
      </c>
      <c r="V44" s="25">
        <f t="shared" si="5"/>
        <v>1</v>
      </c>
      <c r="W44" s="25">
        <f t="shared" si="5"/>
        <v>1</v>
      </c>
      <c r="X44" s="25">
        <f t="shared" si="5"/>
        <v>1</v>
      </c>
      <c r="Y44" s="25">
        <f t="shared" si="5"/>
        <v>1</v>
      </c>
      <c r="Z44" s="25">
        <f t="shared" si="5"/>
        <v>0</v>
      </c>
      <c r="AA44" s="25">
        <f t="shared" si="5"/>
        <v>1</v>
      </c>
      <c r="AB44" s="3">
        <f t="shared" si="6"/>
        <v>0.6</v>
      </c>
      <c r="AC44" s="3">
        <f t="shared" si="7"/>
        <v>0.4</v>
      </c>
      <c r="AD44" s="3">
        <f t="shared" si="8"/>
        <v>0.24</v>
      </c>
      <c r="AE44" s="33"/>
    </row>
    <row r="45" spans="1:31" ht="42" x14ac:dyDescent="0.3">
      <c r="A45" s="54" t="s">
        <v>675</v>
      </c>
      <c r="B45" s="25">
        <v>0</v>
      </c>
      <c r="C45" s="25">
        <v>0</v>
      </c>
      <c r="D45" s="25">
        <v>0</v>
      </c>
      <c r="E45" s="25">
        <v>0</v>
      </c>
      <c r="F45" s="25">
        <v>0</v>
      </c>
      <c r="G45" s="25">
        <v>1</v>
      </c>
      <c r="H45" s="25">
        <v>1</v>
      </c>
      <c r="I45" s="25">
        <v>0</v>
      </c>
      <c r="J45" s="25">
        <v>1</v>
      </c>
      <c r="K45" s="25">
        <v>1</v>
      </c>
      <c r="L45" s="3">
        <f t="shared" si="0"/>
        <v>0.4</v>
      </c>
      <c r="M45" s="26" t="str">
        <f t="shared" si="1"/>
        <v>sedang</v>
      </c>
      <c r="N45" s="3">
        <f t="shared" si="2"/>
        <v>0.8</v>
      </c>
      <c r="O45" s="26" t="str">
        <f t="shared" si="3"/>
        <v>soal diterima baik</v>
      </c>
      <c r="P45" s="33"/>
      <c r="Q45" s="26">
        <v>40</v>
      </c>
      <c r="R45" s="25">
        <f t="shared" si="5"/>
        <v>1</v>
      </c>
      <c r="S45" s="25">
        <f t="shared" si="5"/>
        <v>1</v>
      </c>
      <c r="T45" s="25">
        <f t="shared" si="5"/>
        <v>1</v>
      </c>
      <c r="U45" s="25">
        <f t="shared" si="5"/>
        <v>1</v>
      </c>
      <c r="V45" s="25">
        <f t="shared" si="5"/>
        <v>1</v>
      </c>
      <c r="W45" s="25">
        <f t="shared" si="5"/>
        <v>1</v>
      </c>
      <c r="X45" s="25">
        <f t="shared" si="5"/>
        <v>0</v>
      </c>
      <c r="Y45" s="25">
        <f t="shared" si="5"/>
        <v>1</v>
      </c>
      <c r="Z45" s="25">
        <f t="shared" si="5"/>
        <v>1</v>
      </c>
      <c r="AA45" s="25">
        <f t="shared" si="5"/>
        <v>0</v>
      </c>
      <c r="AB45" s="3">
        <f t="shared" si="6"/>
        <v>0.8</v>
      </c>
      <c r="AC45" s="3">
        <f t="shared" si="7"/>
        <v>0.19999999999999996</v>
      </c>
      <c r="AD45" s="3">
        <f t="shared" si="8"/>
        <v>0.15999999999999998</v>
      </c>
      <c r="AE45" s="33"/>
    </row>
    <row r="46" spans="1:31" ht="42" x14ac:dyDescent="0.3">
      <c r="A46" s="54" t="s">
        <v>676</v>
      </c>
      <c r="B46" s="25">
        <v>1</v>
      </c>
      <c r="C46" s="25">
        <v>0</v>
      </c>
      <c r="D46" s="25">
        <v>0</v>
      </c>
      <c r="E46" s="25">
        <v>1</v>
      </c>
      <c r="F46" s="25">
        <v>1</v>
      </c>
      <c r="G46" s="25">
        <v>1</v>
      </c>
      <c r="H46" s="25">
        <v>0</v>
      </c>
      <c r="I46" s="25">
        <v>0</v>
      </c>
      <c r="J46" s="25">
        <v>0</v>
      </c>
      <c r="K46" s="25">
        <v>0</v>
      </c>
      <c r="L46" s="3">
        <f t="shared" si="0"/>
        <v>0.4</v>
      </c>
      <c r="M46" s="26" t="str">
        <f t="shared" si="1"/>
        <v>sedang</v>
      </c>
      <c r="N46" s="3">
        <f t="shared" si="2"/>
        <v>0.4</v>
      </c>
      <c r="O46" s="26" t="str">
        <f t="shared" si="3"/>
        <v>soal diterima baik</v>
      </c>
      <c r="P46" s="33"/>
      <c r="Q46" s="26">
        <v>41</v>
      </c>
      <c r="R46" s="25">
        <f t="shared" ref="R46:AA71" si="9">B45</f>
        <v>0</v>
      </c>
      <c r="S46" s="25">
        <f t="shared" si="9"/>
        <v>0</v>
      </c>
      <c r="T46" s="25">
        <f t="shared" si="9"/>
        <v>0</v>
      </c>
      <c r="U46" s="25">
        <f t="shared" si="9"/>
        <v>0</v>
      </c>
      <c r="V46" s="25">
        <f t="shared" si="9"/>
        <v>0</v>
      </c>
      <c r="W46" s="25">
        <f t="shared" si="9"/>
        <v>1</v>
      </c>
      <c r="X46" s="25">
        <f t="shared" si="9"/>
        <v>1</v>
      </c>
      <c r="Y46" s="25">
        <f t="shared" si="9"/>
        <v>0</v>
      </c>
      <c r="Z46" s="25">
        <f t="shared" si="9"/>
        <v>1</v>
      </c>
      <c r="AA46" s="25">
        <f t="shared" si="9"/>
        <v>1</v>
      </c>
      <c r="AB46" s="3">
        <f t="shared" si="6"/>
        <v>0.4</v>
      </c>
      <c r="AC46" s="3">
        <f t="shared" si="7"/>
        <v>0.6</v>
      </c>
      <c r="AD46" s="3">
        <f t="shared" si="8"/>
        <v>0.24</v>
      </c>
      <c r="AE46" s="33"/>
    </row>
    <row r="47" spans="1:31" ht="28" x14ac:dyDescent="0.3">
      <c r="A47" s="52" t="s">
        <v>677</v>
      </c>
      <c r="B47" s="25">
        <v>1</v>
      </c>
      <c r="C47" s="25">
        <v>0</v>
      </c>
      <c r="D47" s="25">
        <v>0</v>
      </c>
      <c r="E47" s="25">
        <v>1</v>
      </c>
      <c r="F47" s="25">
        <v>0</v>
      </c>
      <c r="G47" s="25">
        <v>1</v>
      </c>
      <c r="H47" s="25">
        <v>1</v>
      </c>
      <c r="I47" s="25">
        <v>0</v>
      </c>
      <c r="J47" s="25">
        <v>1</v>
      </c>
      <c r="K47" s="25">
        <v>1</v>
      </c>
      <c r="L47" s="3">
        <f t="shared" si="0"/>
        <v>0.6</v>
      </c>
      <c r="M47" s="26" t="str">
        <f t="shared" si="1"/>
        <v>sedang</v>
      </c>
      <c r="N47" s="3">
        <f t="shared" si="2"/>
        <v>0.4</v>
      </c>
      <c r="O47" s="26" t="str">
        <f t="shared" si="3"/>
        <v>soal diterima baik</v>
      </c>
      <c r="P47" s="33"/>
      <c r="Q47" s="26">
        <v>42</v>
      </c>
      <c r="R47" s="25">
        <f t="shared" si="9"/>
        <v>1</v>
      </c>
      <c r="S47" s="25">
        <f t="shared" si="9"/>
        <v>0</v>
      </c>
      <c r="T47" s="25">
        <f t="shared" si="9"/>
        <v>0</v>
      </c>
      <c r="U47" s="25">
        <f t="shared" si="9"/>
        <v>1</v>
      </c>
      <c r="V47" s="25">
        <f t="shared" si="9"/>
        <v>1</v>
      </c>
      <c r="W47" s="25">
        <f t="shared" si="9"/>
        <v>1</v>
      </c>
      <c r="X47" s="25">
        <f t="shared" si="9"/>
        <v>0</v>
      </c>
      <c r="Y47" s="25">
        <f t="shared" si="9"/>
        <v>0</v>
      </c>
      <c r="Z47" s="25">
        <f t="shared" si="9"/>
        <v>0</v>
      </c>
      <c r="AA47" s="25">
        <f t="shared" si="9"/>
        <v>0</v>
      </c>
      <c r="AB47" s="3">
        <f t="shared" si="6"/>
        <v>0.4</v>
      </c>
      <c r="AC47" s="3">
        <f t="shared" si="7"/>
        <v>0.6</v>
      </c>
      <c r="AD47" s="3">
        <f t="shared" si="8"/>
        <v>0.24</v>
      </c>
      <c r="AE47" s="33"/>
    </row>
    <row r="48" spans="1:31" ht="28" x14ac:dyDescent="0.3">
      <c r="A48" s="53" t="s">
        <v>678</v>
      </c>
      <c r="B48" s="25">
        <v>0</v>
      </c>
      <c r="C48" s="25">
        <v>0</v>
      </c>
      <c r="D48" s="25">
        <v>0</v>
      </c>
      <c r="E48" s="25">
        <v>1</v>
      </c>
      <c r="F48" s="25">
        <v>0</v>
      </c>
      <c r="G48" s="25">
        <v>1</v>
      </c>
      <c r="H48" s="25">
        <v>1</v>
      </c>
      <c r="I48" s="25">
        <v>1</v>
      </c>
      <c r="J48" s="25">
        <v>1</v>
      </c>
      <c r="K48" s="25">
        <v>1</v>
      </c>
      <c r="L48" s="3">
        <f t="shared" si="0"/>
        <v>0.6</v>
      </c>
      <c r="M48" s="26" t="str">
        <f t="shared" si="1"/>
        <v>sedang</v>
      </c>
      <c r="N48" s="3">
        <f t="shared" si="2"/>
        <v>0.8</v>
      </c>
      <c r="O48" s="26" t="str">
        <f t="shared" si="3"/>
        <v>soal diterima baik</v>
      </c>
      <c r="P48" s="33"/>
      <c r="Q48" s="26">
        <v>43</v>
      </c>
      <c r="R48" s="25">
        <f t="shared" si="9"/>
        <v>1</v>
      </c>
      <c r="S48" s="25">
        <f t="shared" si="9"/>
        <v>0</v>
      </c>
      <c r="T48" s="25">
        <f t="shared" si="9"/>
        <v>0</v>
      </c>
      <c r="U48" s="25">
        <f t="shared" si="9"/>
        <v>1</v>
      </c>
      <c r="V48" s="25">
        <f t="shared" si="9"/>
        <v>0</v>
      </c>
      <c r="W48" s="25">
        <f t="shared" si="9"/>
        <v>1</v>
      </c>
      <c r="X48" s="25">
        <f t="shared" si="9"/>
        <v>1</v>
      </c>
      <c r="Y48" s="25">
        <f t="shared" si="9"/>
        <v>0</v>
      </c>
      <c r="Z48" s="25">
        <f t="shared" si="9"/>
        <v>1</v>
      </c>
      <c r="AA48" s="25">
        <f t="shared" si="9"/>
        <v>1</v>
      </c>
      <c r="AB48" s="3">
        <f t="shared" si="6"/>
        <v>0.6</v>
      </c>
      <c r="AC48" s="3">
        <f t="shared" si="7"/>
        <v>0.4</v>
      </c>
      <c r="AD48" s="3">
        <f t="shared" si="8"/>
        <v>0.24</v>
      </c>
      <c r="AE48" s="33"/>
    </row>
    <row r="49" spans="1:31" ht="28" x14ac:dyDescent="0.3">
      <c r="A49" s="52" t="s">
        <v>679</v>
      </c>
      <c r="B49" s="25">
        <v>1</v>
      </c>
      <c r="C49" s="25">
        <v>1</v>
      </c>
      <c r="D49" s="25">
        <v>1</v>
      </c>
      <c r="E49" s="25">
        <v>1</v>
      </c>
      <c r="F49" s="25">
        <v>1</v>
      </c>
      <c r="G49" s="25">
        <v>1</v>
      </c>
      <c r="H49" s="25">
        <v>0</v>
      </c>
      <c r="I49" s="25">
        <v>1</v>
      </c>
      <c r="J49" s="25">
        <v>0</v>
      </c>
      <c r="K49" s="25">
        <v>1</v>
      </c>
      <c r="L49" s="3">
        <f t="shared" si="0"/>
        <v>0.8</v>
      </c>
      <c r="M49" s="26" t="str">
        <f t="shared" si="1"/>
        <v>mudah</v>
      </c>
      <c r="N49" s="3">
        <f t="shared" si="2"/>
        <v>0.4</v>
      </c>
      <c r="O49" s="26" t="str">
        <f t="shared" si="3"/>
        <v>soal diterima baik</v>
      </c>
      <c r="P49" s="33"/>
      <c r="Q49" s="26">
        <v>44</v>
      </c>
      <c r="R49" s="25">
        <f t="shared" si="9"/>
        <v>0</v>
      </c>
      <c r="S49" s="25">
        <f t="shared" si="9"/>
        <v>0</v>
      </c>
      <c r="T49" s="25">
        <f t="shared" si="9"/>
        <v>0</v>
      </c>
      <c r="U49" s="25">
        <f t="shared" si="9"/>
        <v>1</v>
      </c>
      <c r="V49" s="25">
        <f t="shared" si="9"/>
        <v>0</v>
      </c>
      <c r="W49" s="25">
        <f t="shared" si="9"/>
        <v>1</v>
      </c>
      <c r="X49" s="25">
        <f t="shared" si="9"/>
        <v>1</v>
      </c>
      <c r="Y49" s="25">
        <f t="shared" si="9"/>
        <v>1</v>
      </c>
      <c r="Z49" s="25">
        <f t="shared" si="9"/>
        <v>1</v>
      </c>
      <c r="AA49" s="25">
        <f t="shared" si="9"/>
        <v>1</v>
      </c>
      <c r="AB49" s="3">
        <f t="shared" si="6"/>
        <v>0.6</v>
      </c>
      <c r="AC49" s="3">
        <f t="shared" si="7"/>
        <v>0.4</v>
      </c>
      <c r="AD49" s="3">
        <f t="shared" si="8"/>
        <v>0.24</v>
      </c>
      <c r="AE49" s="33"/>
    </row>
    <row r="50" spans="1:31" ht="28" x14ac:dyDescent="0.3">
      <c r="A50" s="54" t="s">
        <v>680</v>
      </c>
      <c r="B50" s="25">
        <v>1</v>
      </c>
      <c r="C50" s="25">
        <v>0</v>
      </c>
      <c r="D50" s="25">
        <v>0</v>
      </c>
      <c r="E50" s="25">
        <v>1</v>
      </c>
      <c r="F50" s="25">
        <v>0</v>
      </c>
      <c r="G50" s="25">
        <v>0</v>
      </c>
      <c r="H50" s="25">
        <v>0</v>
      </c>
      <c r="I50" s="25">
        <v>0</v>
      </c>
      <c r="J50" s="25">
        <v>0</v>
      </c>
      <c r="K50" s="25">
        <v>0</v>
      </c>
      <c r="L50" s="3">
        <f t="shared" si="0"/>
        <v>0.2</v>
      </c>
      <c r="M50" s="26" t="str">
        <f t="shared" si="1"/>
        <v>sukar</v>
      </c>
      <c r="N50" s="3">
        <f t="shared" si="2"/>
        <v>0.4</v>
      </c>
      <c r="O50" s="26" t="str">
        <f t="shared" si="3"/>
        <v>soal diterima baik</v>
      </c>
      <c r="P50" s="33"/>
      <c r="Q50" s="26">
        <v>45</v>
      </c>
      <c r="R50" s="25">
        <f t="shared" si="9"/>
        <v>1</v>
      </c>
      <c r="S50" s="25">
        <f t="shared" si="9"/>
        <v>1</v>
      </c>
      <c r="T50" s="25">
        <f t="shared" si="9"/>
        <v>1</v>
      </c>
      <c r="U50" s="25">
        <f t="shared" si="9"/>
        <v>1</v>
      </c>
      <c r="V50" s="25">
        <f t="shared" si="9"/>
        <v>1</v>
      </c>
      <c r="W50" s="25">
        <f t="shared" si="9"/>
        <v>1</v>
      </c>
      <c r="X50" s="25">
        <f t="shared" si="9"/>
        <v>0</v>
      </c>
      <c r="Y50" s="25">
        <f t="shared" si="9"/>
        <v>1</v>
      </c>
      <c r="Z50" s="25">
        <f t="shared" si="9"/>
        <v>0</v>
      </c>
      <c r="AA50" s="25">
        <f t="shared" si="9"/>
        <v>1</v>
      </c>
      <c r="AB50" s="3">
        <f t="shared" si="6"/>
        <v>0.8</v>
      </c>
      <c r="AC50" s="3">
        <f t="shared" si="7"/>
        <v>0.19999999999999996</v>
      </c>
      <c r="AD50" s="3">
        <f t="shared" si="8"/>
        <v>0.15999999999999998</v>
      </c>
      <c r="AE50" s="33"/>
    </row>
    <row r="51" spans="1:31" ht="28" x14ac:dyDescent="0.3">
      <c r="A51" s="54" t="s">
        <v>681</v>
      </c>
      <c r="B51" s="25">
        <v>1</v>
      </c>
      <c r="C51" s="25">
        <v>1</v>
      </c>
      <c r="D51" s="25">
        <v>1</v>
      </c>
      <c r="E51" s="25">
        <v>1</v>
      </c>
      <c r="F51" s="25">
        <v>1</v>
      </c>
      <c r="G51" s="25">
        <v>0</v>
      </c>
      <c r="H51" s="25">
        <v>0</v>
      </c>
      <c r="I51" s="25">
        <v>1</v>
      </c>
      <c r="J51" s="25">
        <v>0</v>
      </c>
      <c r="K51" s="25">
        <v>0</v>
      </c>
      <c r="L51" s="3">
        <f t="shared" si="0"/>
        <v>0.6</v>
      </c>
      <c r="M51" s="26" t="str">
        <f t="shared" si="1"/>
        <v>sedang</v>
      </c>
      <c r="N51" s="3">
        <f t="shared" si="2"/>
        <v>0.8</v>
      </c>
      <c r="O51" s="26" t="str">
        <f t="shared" si="3"/>
        <v>soal diterima baik</v>
      </c>
      <c r="P51" s="33"/>
      <c r="Q51" s="26">
        <v>46</v>
      </c>
      <c r="R51" s="25">
        <f t="shared" si="9"/>
        <v>1</v>
      </c>
      <c r="S51" s="25">
        <f t="shared" si="9"/>
        <v>0</v>
      </c>
      <c r="T51" s="25">
        <f t="shared" si="9"/>
        <v>0</v>
      </c>
      <c r="U51" s="25">
        <f t="shared" si="9"/>
        <v>1</v>
      </c>
      <c r="V51" s="25">
        <f t="shared" si="9"/>
        <v>0</v>
      </c>
      <c r="W51" s="25">
        <f t="shared" si="9"/>
        <v>0</v>
      </c>
      <c r="X51" s="25">
        <f t="shared" si="9"/>
        <v>0</v>
      </c>
      <c r="Y51" s="25">
        <f t="shared" si="9"/>
        <v>0</v>
      </c>
      <c r="Z51" s="25">
        <f t="shared" si="9"/>
        <v>0</v>
      </c>
      <c r="AA51" s="25">
        <f t="shared" si="9"/>
        <v>0</v>
      </c>
      <c r="AB51" s="3">
        <f t="shared" si="6"/>
        <v>0.2</v>
      </c>
      <c r="AC51" s="3">
        <f t="shared" si="7"/>
        <v>0.8</v>
      </c>
      <c r="AD51" s="3">
        <f t="shared" si="8"/>
        <v>0.16000000000000003</v>
      </c>
      <c r="AE51" s="33"/>
    </row>
    <row r="52" spans="1:31" ht="28" x14ac:dyDescent="0.3">
      <c r="A52" s="53" t="s">
        <v>682</v>
      </c>
      <c r="B52" s="25">
        <v>1</v>
      </c>
      <c r="C52" s="25">
        <v>0</v>
      </c>
      <c r="D52" s="25">
        <v>0</v>
      </c>
      <c r="E52" s="25">
        <v>1</v>
      </c>
      <c r="F52" s="25">
        <v>0</v>
      </c>
      <c r="G52" s="25">
        <v>0</v>
      </c>
      <c r="H52" s="25">
        <v>0</v>
      </c>
      <c r="I52" s="25">
        <v>0</v>
      </c>
      <c r="J52" s="25">
        <v>0</v>
      </c>
      <c r="K52" s="25">
        <v>0</v>
      </c>
      <c r="L52" s="3">
        <f t="shared" si="0"/>
        <v>0.2</v>
      </c>
      <c r="M52" s="26" t="str">
        <f t="shared" si="1"/>
        <v>sukar</v>
      </c>
      <c r="N52" s="3">
        <f t="shared" si="2"/>
        <v>0.4</v>
      </c>
      <c r="O52" s="26" t="str">
        <f t="shared" si="3"/>
        <v>soal diterima baik</v>
      </c>
      <c r="P52" s="33"/>
      <c r="Q52" s="26">
        <v>47</v>
      </c>
      <c r="R52" s="25">
        <f t="shared" si="9"/>
        <v>1</v>
      </c>
      <c r="S52" s="25">
        <f t="shared" si="9"/>
        <v>1</v>
      </c>
      <c r="T52" s="25">
        <f t="shared" si="9"/>
        <v>1</v>
      </c>
      <c r="U52" s="25">
        <f t="shared" si="9"/>
        <v>1</v>
      </c>
      <c r="V52" s="25">
        <f t="shared" si="9"/>
        <v>1</v>
      </c>
      <c r="W52" s="25">
        <f t="shared" si="9"/>
        <v>0</v>
      </c>
      <c r="X52" s="25">
        <f t="shared" si="9"/>
        <v>0</v>
      </c>
      <c r="Y52" s="25">
        <f t="shared" si="9"/>
        <v>1</v>
      </c>
      <c r="Z52" s="25">
        <f t="shared" si="9"/>
        <v>0</v>
      </c>
      <c r="AA52" s="25">
        <f t="shared" si="9"/>
        <v>0</v>
      </c>
      <c r="AB52" s="3">
        <f t="shared" si="6"/>
        <v>0.6</v>
      </c>
      <c r="AC52" s="3">
        <f t="shared" si="7"/>
        <v>0.4</v>
      </c>
      <c r="AD52" s="3">
        <f t="shared" si="8"/>
        <v>0.24</v>
      </c>
      <c r="AE52" s="33"/>
    </row>
    <row r="53" spans="1:31" ht="28" x14ac:dyDescent="0.3">
      <c r="A53" s="52" t="s">
        <v>683</v>
      </c>
      <c r="B53" s="25">
        <v>0</v>
      </c>
      <c r="C53" s="25">
        <v>1</v>
      </c>
      <c r="D53" s="25">
        <v>0</v>
      </c>
      <c r="E53" s="25">
        <v>1</v>
      </c>
      <c r="F53" s="25">
        <v>1</v>
      </c>
      <c r="G53" s="25">
        <v>1</v>
      </c>
      <c r="H53" s="25">
        <v>0</v>
      </c>
      <c r="I53" s="25">
        <v>0</v>
      </c>
      <c r="J53" s="25">
        <v>0</v>
      </c>
      <c r="K53" s="25">
        <v>0</v>
      </c>
      <c r="L53" s="3">
        <f t="shared" si="0"/>
        <v>0.4</v>
      </c>
      <c r="M53" s="26" t="str">
        <f t="shared" si="1"/>
        <v>sedang</v>
      </c>
      <c r="N53" s="3">
        <f t="shared" si="2"/>
        <v>0.4</v>
      </c>
      <c r="O53" s="26" t="str">
        <f t="shared" si="3"/>
        <v>soal diterima baik</v>
      </c>
      <c r="P53" s="33"/>
      <c r="Q53" s="26">
        <v>48</v>
      </c>
      <c r="R53" s="25">
        <f t="shared" si="9"/>
        <v>1</v>
      </c>
      <c r="S53" s="25">
        <f t="shared" si="9"/>
        <v>0</v>
      </c>
      <c r="T53" s="25">
        <f t="shared" si="9"/>
        <v>0</v>
      </c>
      <c r="U53" s="25">
        <f t="shared" si="9"/>
        <v>1</v>
      </c>
      <c r="V53" s="25">
        <f t="shared" si="9"/>
        <v>0</v>
      </c>
      <c r="W53" s="25">
        <f t="shared" si="9"/>
        <v>0</v>
      </c>
      <c r="X53" s="25">
        <f t="shared" si="9"/>
        <v>0</v>
      </c>
      <c r="Y53" s="25">
        <f t="shared" si="9"/>
        <v>0</v>
      </c>
      <c r="Z53" s="25">
        <f t="shared" si="9"/>
        <v>0</v>
      </c>
      <c r="AA53" s="25">
        <f t="shared" si="9"/>
        <v>0</v>
      </c>
      <c r="AB53" s="3">
        <f t="shared" si="6"/>
        <v>0.2</v>
      </c>
      <c r="AC53" s="3">
        <f t="shared" si="7"/>
        <v>0.8</v>
      </c>
      <c r="AD53" s="3">
        <f t="shared" si="8"/>
        <v>0.16000000000000003</v>
      </c>
      <c r="AE53" s="33"/>
    </row>
    <row r="54" spans="1:31" ht="28" x14ac:dyDescent="0.3">
      <c r="A54" s="53" t="s">
        <v>684</v>
      </c>
      <c r="B54" s="25">
        <v>1</v>
      </c>
      <c r="C54" s="25">
        <v>1</v>
      </c>
      <c r="D54" s="25">
        <v>1</v>
      </c>
      <c r="E54" s="25">
        <v>1</v>
      </c>
      <c r="F54" s="25">
        <v>1</v>
      </c>
      <c r="G54" s="25">
        <v>1</v>
      </c>
      <c r="H54" s="25">
        <v>0</v>
      </c>
      <c r="I54" s="25">
        <v>0</v>
      </c>
      <c r="J54" s="25">
        <v>0</v>
      </c>
      <c r="K54" s="25">
        <v>0</v>
      </c>
      <c r="L54" s="3">
        <f t="shared" si="0"/>
        <v>0.6</v>
      </c>
      <c r="M54" s="26" t="str">
        <f t="shared" si="1"/>
        <v>sedang</v>
      </c>
      <c r="N54" s="3">
        <f t="shared" si="2"/>
        <v>0.8</v>
      </c>
      <c r="O54" s="26" t="str">
        <f t="shared" si="3"/>
        <v>soal diterima baik</v>
      </c>
      <c r="P54" s="33"/>
      <c r="Q54" s="26">
        <v>49</v>
      </c>
      <c r="R54" s="25">
        <f t="shared" si="9"/>
        <v>0</v>
      </c>
      <c r="S54" s="25">
        <f t="shared" si="9"/>
        <v>1</v>
      </c>
      <c r="T54" s="25">
        <f t="shared" si="9"/>
        <v>0</v>
      </c>
      <c r="U54" s="25">
        <f t="shared" si="9"/>
        <v>1</v>
      </c>
      <c r="V54" s="25">
        <f t="shared" si="9"/>
        <v>1</v>
      </c>
      <c r="W54" s="25">
        <f t="shared" si="9"/>
        <v>1</v>
      </c>
      <c r="X54" s="25">
        <f t="shared" si="9"/>
        <v>0</v>
      </c>
      <c r="Y54" s="25">
        <f t="shared" si="9"/>
        <v>0</v>
      </c>
      <c r="Z54" s="25">
        <f t="shared" si="9"/>
        <v>0</v>
      </c>
      <c r="AA54" s="25">
        <f t="shared" si="9"/>
        <v>0</v>
      </c>
      <c r="AB54" s="3">
        <f t="shared" si="6"/>
        <v>0.4</v>
      </c>
      <c r="AC54" s="3">
        <f t="shared" si="7"/>
        <v>0.6</v>
      </c>
      <c r="AD54" s="3">
        <f t="shared" si="8"/>
        <v>0.24</v>
      </c>
      <c r="AE54" s="33"/>
    </row>
    <row r="55" spans="1:31" ht="28" x14ac:dyDescent="0.3">
      <c r="A55" s="54" t="s">
        <v>685</v>
      </c>
      <c r="B55" s="25">
        <v>0</v>
      </c>
      <c r="C55" s="25">
        <v>0</v>
      </c>
      <c r="D55" s="25">
        <v>0</v>
      </c>
      <c r="E55" s="25">
        <v>0</v>
      </c>
      <c r="F55" s="25">
        <v>0</v>
      </c>
      <c r="G55" s="25">
        <v>1</v>
      </c>
      <c r="H55" s="25">
        <v>0</v>
      </c>
      <c r="I55" s="25">
        <v>0</v>
      </c>
      <c r="J55" s="25">
        <v>0</v>
      </c>
      <c r="K55" s="25">
        <v>1</v>
      </c>
      <c r="L55" s="3">
        <f t="shared" si="0"/>
        <v>0.2</v>
      </c>
      <c r="M55" s="26" t="str">
        <f t="shared" si="1"/>
        <v>sukar</v>
      </c>
      <c r="N55" s="3">
        <f t="shared" si="2"/>
        <v>0.4</v>
      </c>
      <c r="O55" s="26" t="str">
        <f t="shared" si="3"/>
        <v>soal diterima baik</v>
      </c>
      <c r="P55" s="33"/>
      <c r="Q55" s="26">
        <v>50</v>
      </c>
      <c r="R55" s="25">
        <f t="shared" si="9"/>
        <v>1</v>
      </c>
      <c r="S55" s="25">
        <f t="shared" si="9"/>
        <v>1</v>
      </c>
      <c r="T55" s="25">
        <f t="shared" si="9"/>
        <v>1</v>
      </c>
      <c r="U55" s="25">
        <f t="shared" si="9"/>
        <v>1</v>
      </c>
      <c r="V55" s="25">
        <f t="shared" si="9"/>
        <v>1</v>
      </c>
      <c r="W55" s="25">
        <f t="shared" si="9"/>
        <v>1</v>
      </c>
      <c r="X55" s="25">
        <f t="shared" si="9"/>
        <v>0</v>
      </c>
      <c r="Y55" s="25">
        <f t="shared" si="9"/>
        <v>0</v>
      </c>
      <c r="Z55" s="25">
        <f t="shared" si="9"/>
        <v>0</v>
      </c>
      <c r="AA55" s="25">
        <f t="shared" si="9"/>
        <v>0</v>
      </c>
      <c r="AB55" s="3">
        <f t="shared" si="6"/>
        <v>0.6</v>
      </c>
      <c r="AC55" s="3">
        <f t="shared" si="7"/>
        <v>0.4</v>
      </c>
      <c r="AD55" s="3">
        <f t="shared" si="8"/>
        <v>0.24</v>
      </c>
      <c r="AE55" s="33"/>
    </row>
    <row r="56" spans="1:31" ht="28" x14ac:dyDescent="0.3">
      <c r="A56" s="52" t="s">
        <v>686</v>
      </c>
      <c r="B56" s="25">
        <v>0</v>
      </c>
      <c r="C56" s="25">
        <v>0</v>
      </c>
      <c r="D56" s="25">
        <v>0</v>
      </c>
      <c r="E56" s="25">
        <v>1</v>
      </c>
      <c r="F56" s="25">
        <v>0</v>
      </c>
      <c r="G56" s="25">
        <v>1</v>
      </c>
      <c r="H56" s="25">
        <v>1</v>
      </c>
      <c r="I56" s="25">
        <v>0</v>
      </c>
      <c r="J56" s="25">
        <v>1</v>
      </c>
      <c r="K56" s="25">
        <v>0</v>
      </c>
      <c r="L56" s="3">
        <f t="shared" si="0"/>
        <v>0.4</v>
      </c>
      <c r="M56" s="26" t="str">
        <f t="shared" si="1"/>
        <v>sedang</v>
      </c>
      <c r="N56" s="3">
        <f t="shared" si="2"/>
        <v>0.4</v>
      </c>
      <c r="O56" s="26" t="str">
        <f t="shared" si="3"/>
        <v>soal diterima baik</v>
      </c>
      <c r="P56" s="33"/>
      <c r="Q56" s="26">
        <v>51</v>
      </c>
      <c r="R56" s="25">
        <f t="shared" si="9"/>
        <v>0</v>
      </c>
      <c r="S56" s="25">
        <f t="shared" si="9"/>
        <v>0</v>
      </c>
      <c r="T56" s="25">
        <f t="shared" si="9"/>
        <v>0</v>
      </c>
      <c r="U56" s="25">
        <f t="shared" si="9"/>
        <v>0</v>
      </c>
      <c r="V56" s="25">
        <f t="shared" si="9"/>
        <v>0</v>
      </c>
      <c r="W56" s="25">
        <f t="shared" si="9"/>
        <v>1</v>
      </c>
      <c r="X56" s="25">
        <f t="shared" si="9"/>
        <v>0</v>
      </c>
      <c r="Y56" s="25">
        <f t="shared" si="9"/>
        <v>0</v>
      </c>
      <c r="Z56" s="25">
        <f t="shared" si="9"/>
        <v>0</v>
      </c>
      <c r="AA56" s="25">
        <f t="shared" si="9"/>
        <v>1</v>
      </c>
      <c r="AB56" s="3">
        <f t="shared" si="6"/>
        <v>0.2</v>
      </c>
      <c r="AC56" s="3">
        <f t="shared" si="7"/>
        <v>0.8</v>
      </c>
      <c r="AD56" s="3">
        <f t="shared" si="8"/>
        <v>0.16000000000000003</v>
      </c>
      <c r="AE56" s="33"/>
    </row>
    <row r="57" spans="1:31" ht="28" x14ac:dyDescent="0.3">
      <c r="A57" s="52" t="s">
        <v>687</v>
      </c>
      <c r="B57" s="25">
        <v>0</v>
      </c>
      <c r="C57" s="25">
        <v>1</v>
      </c>
      <c r="D57" s="25">
        <v>0</v>
      </c>
      <c r="E57" s="25">
        <v>0</v>
      </c>
      <c r="F57" s="25">
        <v>0</v>
      </c>
      <c r="G57" s="25">
        <v>0</v>
      </c>
      <c r="H57" s="25">
        <v>1</v>
      </c>
      <c r="I57" s="25">
        <v>0</v>
      </c>
      <c r="J57" s="25">
        <v>1</v>
      </c>
      <c r="K57" s="25">
        <v>1</v>
      </c>
      <c r="L57" s="3">
        <f t="shared" si="0"/>
        <v>0.4</v>
      </c>
      <c r="M57" s="26" t="str">
        <f t="shared" si="1"/>
        <v>sedang</v>
      </c>
      <c r="N57" s="3">
        <f t="shared" si="2"/>
        <v>0.4</v>
      </c>
      <c r="O57" s="26" t="str">
        <f t="shared" si="3"/>
        <v>soal diterima baik</v>
      </c>
      <c r="P57" s="33"/>
      <c r="Q57" s="26">
        <v>52</v>
      </c>
      <c r="R57" s="25">
        <f t="shared" si="9"/>
        <v>0</v>
      </c>
      <c r="S57" s="25">
        <f t="shared" si="9"/>
        <v>0</v>
      </c>
      <c r="T57" s="25">
        <f t="shared" si="9"/>
        <v>0</v>
      </c>
      <c r="U57" s="25">
        <f t="shared" si="9"/>
        <v>1</v>
      </c>
      <c r="V57" s="25">
        <f t="shared" si="9"/>
        <v>0</v>
      </c>
      <c r="W57" s="25">
        <f t="shared" si="9"/>
        <v>1</v>
      </c>
      <c r="X57" s="25">
        <f t="shared" si="9"/>
        <v>1</v>
      </c>
      <c r="Y57" s="25">
        <f t="shared" si="9"/>
        <v>0</v>
      </c>
      <c r="Z57" s="25">
        <f t="shared" si="9"/>
        <v>1</v>
      </c>
      <c r="AA57" s="25">
        <f t="shared" si="9"/>
        <v>0</v>
      </c>
      <c r="AB57" s="3">
        <f t="shared" si="6"/>
        <v>0.4</v>
      </c>
      <c r="AC57" s="3">
        <f t="shared" si="7"/>
        <v>0.6</v>
      </c>
      <c r="AD57" s="3">
        <f t="shared" si="8"/>
        <v>0.24</v>
      </c>
      <c r="AE57" s="33"/>
    </row>
    <row r="58" spans="1:31" ht="28" x14ac:dyDescent="0.3">
      <c r="A58" s="52" t="s">
        <v>688</v>
      </c>
      <c r="B58" s="25">
        <v>0</v>
      </c>
      <c r="C58" s="25">
        <v>0</v>
      </c>
      <c r="D58" s="25">
        <v>0</v>
      </c>
      <c r="E58" s="25">
        <v>1</v>
      </c>
      <c r="F58" s="25">
        <v>0</v>
      </c>
      <c r="G58" s="25">
        <v>1</v>
      </c>
      <c r="H58" s="25">
        <v>1</v>
      </c>
      <c r="I58" s="25">
        <v>1</v>
      </c>
      <c r="J58" s="25">
        <v>1</v>
      </c>
      <c r="K58" s="25">
        <v>1</v>
      </c>
      <c r="L58" s="3">
        <f t="shared" si="0"/>
        <v>0.6</v>
      </c>
      <c r="M58" s="26" t="str">
        <f t="shared" si="1"/>
        <v>sedang</v>
      </c>
      <c r="N58" s="3">
        <f t="shared" si="2"/>
        <v>0.8</v>
      </c>
      <c r="O58" s="26" t="str">
        <f t="shared" si="3"/>
        <v>soal diterima baik</v>
      </c>
      <c r="P58" s="33"/>
      <c r="Q58" s="26">
        <v>53</v>
      </c>
      <c r="R58" s="25">
        <f t="shared" si="9"/>
        <v>0</v>
      </c>
      <c r="S58" s="25">
        <f t="shared" si="9"/>
        <v>1</v>
      </c>
      <c r="T58" s="25">
        <f t="shared" si="9"/>
        <v>0</v>
      </c>
      <c r="U58" s="25">
        <f t="shared" si="9"/>
        <v>0</v>
      </c>
      <c r="V58" s="25">
        <f t="shared" si="9"/>
        <v>0</v>
      </c>
      <c r="W58" s="25">
        <f t="shared" si="9"/>
        <v>0</v>
      </c>
      <c r="X58" s="25">
        <f t="shared" si="9"/>
        <v>1</v>
      </c>
      <c r="Y58" s="25">
        <f t="shared" si="9"/>
        <v>0</v>
      </c>
      <c r="Z58" s="25">
        <f t="shared" si="9"/>
        <v>1</v>
      </c>
      <c r="AA58" s="25">
        <f t="shared" si="9"/>
        <v>1</v>
      </c>
      <c r="AB58" s="3">
        <f t="shared" si="6"/>
        <v>0.4</v>
      </c>
      <c r="AC58" s="3">
        <f t="shared" si="7"/>
        <v>0.6</v>
      </c>
      <c r="AD58" s="3">
        <f t="shared" si="8"/>
        <v>0.24</v>
      </c>
      <c r="AE58" s="33"/>
    </row>
    <row r="59" spans="1:31" ht="42" x14ac:dyDescent="0.3">
      <c r="A59" s="52" t="s">
        <v>689</v>
      </c>
      <c r="B59" s="25">
        <v>0</v>
      </c>
      <c r="C59" s="25">
        <v>1</v>
      </c>
      <c r="D59" s="25">
        <v>1</v>
      </c>
      <c r="E59" s="25">
        <v>0</v>
      </c>
      <c r="F59" s="25">
        <v>0</v>
      </c>
      <c r="G59" s="25">
        <v>1</v>
      </c>
      <c r="H59" s="25">
        <v>0</v>
      </c>
      <c r="I59" s="25">
        <v>1</v>
      </c>
      <c r="J59" s="25">
        <v>1</v>
      </c>
      <c r="K59" s="25">
        <v>1</v>
      </c>
      <c r="L59" s="3">
        <f t="shared" si="0"/>
        <v>0.6</v>
      </c>
      <c r="M59" s="26" t="str">
        <f t="shared" si="1"/>
        <v>sedang</v>
      </c>
      <c r="N59" s="3">
        <f t="shared" si="2"/>
        <v>0.4</v>
      </c>
      <c r="O59" s="26" t="str">
        <f t="shared" si="3"/>
        <v>soal diterima baik</v>
      </c>
      <c r="P59" s="33"/>
      <c r="Q59" s="26">
        <v>54</v>
      </c>
      <c r="R59" s="25">
        <f t="shared" si="9"/>
        <v>0</v>
      </c>
      <c r="S59" s="25">
        <f t="shared" si="9"/>
        <v>0</v>
      </c>
      <c r="T59" s="25">
        <f t="shared" si="9"/>
        <v>0</v>
      </c>
      <c r="U59" s="25">
        <f t="shared" si="9"/>
        <v>1</v>
      </c>
      <c r="V59" s="25">
        <f t="shared" si="9"/>
        <v>0</v>
      </c>
      <c r="W59" s="25">
        <f t="shared" si="9"/>
        <v>1</v>
      </c>
      <c r="X59" s="25">
        <f t="shared" si="9"/>
        <v>1</v>
      </c>
      <c r="Y59" s="25">
        <f t="shared" si="9"/>
        <v>1</v>
      </c>
      <c r="Z59" s="25">
        <f t="shared" si="9"/>
        <v>1</v>
      </c>
      <c r="AA59" s="25">
        <f t="shared" si="9"/>
        <v>1</v>
      </c>
      <c r="AB59" s="3">
        <f t="shared" si="6"/>
        <v>0.6</v>
      </c>
      <c r="AC59" s="3">
        <f t="shared" si="7"/>
        <v>0.4</v>
      </c>
      <c r="AD59" s="3">
        <f t="shared" si="8"/>
        <v>0.24</v>
      </c>
      <c r="AE59" s="33"/>
    </row>
    <row r="60" spans="1:31" ht="42" x14ac:dyDescent="0.3">
      <c r="A60" s="52" t="s">
        <v>690</v>
      </c>
      <c r="B60" s="25">
        <v>0</v>
      </c>
      <c r="C60" s="25">
        <v>0</v>
      </c>
      <c r="D60" s="25">
        <v>0</v>
      </c>
      <c r="E60" s="25">
        <v>0</v>
      </c>
      <c r="F60" s="25">
        <v>0</v>
      </c>
      <c r="G60" s="25">
        <v>1</v>
      </c>
      <c r="H60" s="25">
        <v>0</v>
      </c>
      <c r="I60" s="25">
        <v>0</v>
      </c>
      <c r="J60" s="25">
        <v>0</v>
      </c>
      <c r="K60" s="25">
        <v>1</v>
      </c>
      <c r="L60" s="3">
        <f t="shared" si="0"/>
        <v>0.2</v>
      </c>
      <c r="M60" s="26" t="str">
        <f t="shared" si="1"/>
        <v>sukar</v>
      </c>
      <c r="N60" s="3">
        <f t="shared" si="2"/>
        <v>0.4</v>
      </c>
      <c r="O60" s="26" t="str">
        <f t="shared" si="3"/>
        <v>soal diterima baik</v>
      </c>
      <c r="P60" s="33"/>
      <c r="Q60" s="26">
        <v>55</v>
      </c>
      <c r="R60" s="25">
        <f t="shared" si="9"/>
        <v>0</v>
      </c>
      <c r="S60" s="25">
        <f t="shared" si="9"/>
        <v>1</v>
      </c>
      <c r="T60" s="25">
        <f t="shared" si="9"/>
        <v>1</v>
      </c>
      <c r="U60" s="25">
        <f t="shared" si="9"/>
        <v>0</v>
      </c>
      <c r="V60" s="25">
        <f t="shared" si="9"/>
        <v>0</v>
      </c>
      <c r="W60" s="25">
        <f t="shared" si="9"/>
        <v>1</v>
      </c>
      <c r="X60" s="25">
        <f t="shared" si="9"/>
        <v>0</v>
      </c>
      <c r="Y60" s="25">
        <f t="shared" si="9"/>
        <v>1</v>
      </c>
      <c r="Z60" s="25">
        <f t="shared" si="9"/>
        <v>1</v>
      </c>
      <c r="AA60" s="25">
        <f t="shared" si="9"/>
        <v>1</v>
      </c>
      <c r="AB60" s="3">
        <f t="shared" si="6"/>
        <v>0.6</v>
      </c>
      <c r="AC60" s="3">
        <f t="shared" si="7"/>
        <v>0.4</v>
      </c>
      <c r="AD60" s="3">
        <f t="shared" si="8"/>
        <v>0.24</v>
      </c>
      <c r="AE60" s="33"/>
    </row>
    <row r="61" spans="1:31" ht="28" x14ac:dyDescent="0.3">
      <c r="A61" s="52" t="s">
        <v>691</v>
      </c>
      <c r="B61" s="25">
        <v>0</v>
      </c>
      <c r="C61" s="25">
        <v>1</v>
      </c>
      <c r="D61" s="25">
        <v>0</v>
      </c>
      <c r="E61" s="25">
        <v>0</v>
      </c>
      <c r="F61" s="25">
        <v>1</v>
      </c>
      <c r="G61" s="25">
        <v>0</v>
      </c>
      <c r="H61" s="25">
        <v>0</v>
      </c>
      <c r="I61" s="25">
        <v>0</v>
      </c>
      <c r="J61" s="25">
        <v>0</v>
      </c>
      <c r="K61" s="25">
        <v>0</v>
      </c>
      <c r="L61" s="3">
        <f t="shared" si="0"/>
        <v>0.2</v>
      </c>
      <c r="M61" s="26" t="str">
        <f t="shared" si="1"/>
        <v>sukar</v>
      </c>
      <c r="N61" s="3">
        <f t="shared" si="2"/>
        <v>0.4</v>
      </c>
      <c r="O61" s="26" t="str">
        <f t="shared" si="3"/>
        <v>soal diterima baik</v>
      </c>
      <c r="P61" s="33"/>
      <c r="Q61" s="26">
        <v>56</v>
      </c>
      <c r="R61" s="25">
        <f t="shared" si="9"/>
        <v>0</v>
      </c>
      <c r="S61" s="25">
        <f t="shared" si="9"/>
        <v>0</v>
      </c>
      <c r="T61" s="25">
        <f t="shared" si="9"/>
        <v>0</v>
      </c>
      <c r="U61" s="25">
        <f t="shared" si="9"/>
        <v>0</v>
      </c>
      <c r="V61" s="25">
        <f t="shared" si="9"/>
        <v>0</v>
      </c>
      <c r="W61" s="25">
        <f t="shared" si="9"/>
        <v>1</v>
      </c>
      <c r="X61" s="25">
        <f t="shared" si="9"/>
        <v>0</v>
      </c>
      <c r="Y61" s="25">
        <f t="shared" si="9"/>
        <v>0</v>
      </c>
      <c r="Z61" s="25">
        <f t="shared" si="9"/>
        <v>0</v>
      </c>
      <c r="AA61" s="25">
        <f t="shared" si="9"/>
        <v>1</v>
      </c>
      <c r="AB61" s="3">
        <f t="shared" si="6"/>
        <v>0.2</v>
      </c>
      <c r="AC61" s="3">
        <f t="shared" si="7"/>
        <v>0.8</v>
      </c>
      <c r="AD61" s="3">
        <f t="shared" si="8"/>
        <v>0.16000000000000003</v>
      </c>
      <c r="AE61" s="33"/>
    </row>
    <row r="62" spans="1:31" ht="28" x14ac:dyDescent="0.3">
      <c r="A62" s="54" t="s">
        <v>692</v>
      </c>
      <c r="B62" s="25">
        <v>0</v>
      </c>
      <c r="C62" s="25">
        <v>0</v>
      </c>
      <c r="D62" s="25">
        <v>1</v>
      </c>
      <c r="E62" s="25">
        <v>0</v>
      </c>
      <c r="F62" s="25">
        <v>0</v>
      </c>
      <c r="G62" s="25">
        <v>1</v>
      </c>
      <c r="H62" s="25">
        <v>1</v>
      </c>
      <c r="I62" s="25">
        <v>1</v>
      </c>
      <c r="J62" s="25">
        <v>1</v>
      </c>
      <c r="K62" s="25">
        <v>1</v>
      </c>
      <c r="L62" s="3">
        <f t="shared" si="0"/>
        <v>0.6</v>
      </c>
      <c r="M62" s="26" t="str">
        <f t="shared" si="1"/>
        <v>sedang</v>
      </c>
      <c r="N62" s="3">
        <f t="shared" si="2"/>
        <v>0.8</v>
      </c>
      <c r="O62" s="26" t="str">
        <f t="shared" si="3"/>
        <v>soal diterima baik</v>
      </c>
      <c r="P62" s="33"/>
      <c r="Q62" s="26">
        <v>57</v>
      </c>
      <c r="R62" s="25">
        <f t="shared" si="9"/>
        <v>0</v>
      </c>
      <c r="S62" s="25">
        <f t="shared" si="9"/>
        <v>1</v>
      </c>
      <c r="T62" s="25">
        <f t="shared" si="9"/>
        <v>0</v>
      </c>
      <c r="U62" s="25">
        <f t="shared" si="9"/>
        <v>0</v>
      </c>
      <c r="V62" s="25">
        <f t="shared" si="9"/>
        <v>1</v>
      </c>
      <c r="W62" s="25">
        <f t="shared" si="9"/>
        <v>0</v>
      </c>
      <c r="X62" s="25">
        <f t="shared" si="9"/>
        <v>0</v>
      </c>
      <c r="Y62" s="25">
        <f t="shared" si="9"/>
        <v>0</v>
      </c>
      <c r="Z62" s="25">
        <f t="shared" si="9"/>
        <v>0</v>
      </c>
      <c r="AA62" s="25">
        <f t="shared" si="9"/>
        <v>0</v>
      </c>
      <c r="AB62" s="3">
        <f t="shared" si="6"/>
        <v>0.2</v>
      </c>
      <c r="AC62" s="3">
        <f t="shared" si="7"/>
        <v>0.8</v>
      </c>
      <c r="AD62" s="3">
        <f t="shared" si="8"/>
        <v>0.16000000000000003</v>
      </c>
      <c r="AE62" s="33"/>
    </row>
    <row r="63" spans="1:31" ht="56" x14ac:dyDescent="0.3">
      <c r="A63" s="52" t="s">
        <v>693</v>
      </c>
      <c r="B63" s="25">
        <v>1</v>
      </c>
      <c r="C63" s="25">
        <v>0</v>
      </c>
      <c r="D63" s="25">
        <v>1</v>
      </c>
      <c r="E63" s="25">
        <v>0</v>
      </c>
      <c r="F63" s="25">
        <v>0</v>
      </c>
      <c r="G63" s="25">
        <v>1</v>
      </c>
      <c r="H63" s="25">
        <v>1</v>
      </c>
      <c r="I63" s="25">
        <v>0</v>
      </c>
      <c r="J63" s="25">
        <v>1</v>
      </c>
      <c r="K63" s="25">
        <v>1</v>
      </c>
      <c r="L63" s="3">
        <f t="shared" si="0"/>
        <v>0.6</v>
      </c>
      <c r="M63" s="26" t="str">
        <f t="shared" si="1"/>
        <v>sedang</v>
      </c>
      <c r="N63" s="3">
        <f t="shared" si="2"/>
        <v>0.4</v>
      </c>
      <c r="O63" s="26" t="str">
        <f t="shared" si="3"/>
        <v>soal diterima baik</v>
      </c>
      <c r="P63" s="33"/>
      <c r="Q63" s="26">
        <v>58</v>
      </c>
      <c r="R63" s="25">
        <f t="shared" si="9"/>
        <v>0</v>
      </c>
      <c r="S63" s="25">
        <f t="shared" si="9"/>
        <v>0</v>
      </c>
      <c r="T63" s="25">
        <f t="shared" si="9"/>
        <v>1</v>
      </c>
      <c r="U63" s="25">
        <f t="shared" si="9"/>
        <v>0</v>
      </c>
      <c r="V63" s="25">
        <f t="shared" si="9"/>
        <v>0</v>
      </c>
      <c r="W63" s="25">
        <f t="shared" si="9"/>
        <v>1</v>
      </c>
      <c r="X63" s="25">
        <f t="shared" si="9"/>
        <v>1</v>
      </c>
      <c r="Y63" s="25">
        <f t="shared" si="9"/>
        <v>1</v>
      </c>
      <c r="Z63" s="25">
        <f t="shared" si="9"/>
        <v>1</v>
      </c>
      <c r="AA63" s="25">
        <f t="shared" si="9"/>
        <v>1</v>
      </c>
      <c r="AB63" s="3">
        <f t="shared" si="6"/>
        <v>0.6</v>
      </c>
      <c r="AC63" s="3">
        <f t="shared" si="7"/>
        <v>0.4</v>
      </c>
      <c r="AD63" s="3">
        <f t="shared" si="8"/>
        <v>0.24</v>
      </c>
      <c r="AE63" s="33"/>
    </row>
    <row r="64" spans="1:31" ht="42" x14ac:dyDescent="0.3">
      <c r="A64" s="52" t="s">
        <v>694</v>
      </c>
      <c r="B64" s="25">
        <v>1</v>
      </c>
      <c r="C64" s="25">
        <v>0</v>
      </c>
      <c r="D64" s="25">
        <v>1</v>
      </c>
      <c r="E64" s="25">
        <v>0</v>
      </c>
      <c r="F64" s="25">
        <v>1</v>
      </c>
      <c r="G64" s="25">
        <v>1</v>
      </c>
      <c r="H64" s="25">
        <v>1</v>
      </c>
      <c r="I64" s="25">
        <v>1</v>
      </c>
      <c r="J64" s="25">
        <v>1</v>
      </c>
      <c r="K64" s="25">
        <v>1</v>
      </c>
      <c r="L64" s="3">
        <f t="shared" si="0"/>
        <v>0.8</v>
      </c>
      <c r="M64" s="26" t="str">
        <f t="shared" si="1"/>
        <v>mudah</v>
      </c>
      <c r="N64" s="3">
        <f t="shared" si="2"/>
        <v>0.4</v>
      </c>
      <c r="O64" s="26" t="str">
        <f t="shared" si="3"/>
        <v>soal diterima baik</v>
      </c>
      <c r="P64" s="33"/>
      <c r="Q64" s="26">
        <v>59</v>
      </c>
      <c r="R64" s="25">
        <f t="shared" si="9"/>
        <v>1</v>
      </c>
      <c r="S64" s="25">
        <f t="shared" si="9"/>
        <v>0</v>
      </c>
      <c r="T64" s="25">
        <f t="shared" si="9"/>
        <v>1</v>
      </c>
      <c r="U64" s="25">
        <f t="shared" si="9"/>
        <v>0</v>
      </c>
      <c r="V64" s="25">
        <f t="shared" si="9"/>
        <v>0</v>
      </c>
      <c r="W64" s="25">
        <f t="shared" si="9"/>
        <v>1</v>
      </c>
      <c r="X64" s="25">
        <f t="shared" si="9"/>
        <v>1</v>
      </c>
      <c r="Y64" s="25">
        <f t="shared" si="9"/>
        <v>0</v>
      </c>
      <c r="Z64" s="25">
        <f t="shared" si="9"/>
        <v>1</v>
      </c>
      <c r="AA64" s="25">
        <f t="shared" si="9"/>
        <v>1</v>
      </c>
      <c r="AB64" s="3">
        <f t="shared" si="6"/>
        <v>0.6</v>
      </c>
      <c r="AC64" s="3">
        <f t="shared" si="7"/>
        <v>0.4</v>
      </c>
      <c r="AD64" s="3">
        <f t="shared" si="8"/>
        <v>0.24</v>
      </c>
      <c r="AE64" s="33"/>
    </row>
    <row r="65" spans="1:31" ht="42" x14ac:dyDescent="0.3">
      <c r="A65" s="54" t="s">
        <v>695</v>
      </c>
      <c r="B65" s="25">
        <v>0</v>
      </c>
      <c r="C65" s="25">
        <v>0</v>
      </c>
      <c r="D65" s="25">
        <v>0</v>
      </c>
      <c r="E65" s="25">
        <v>1</v>
      </c>
      <c r="F65" s="25">
        <v>0</v>
      </c>
      <c r="G65" s="25">
        <v>1</v>
      </c>
      <c r="H65" s="25">
        <v>1</v>
      </c>
      <c r="I65" s="25">
        <v>1</v>
      </c>
      <c r="J65" s="25">
        <v>1</v>
      </c>
      <c r="K65" s="25">
        <v>1</v>
      </c>
      <c r="L65" s="3">
        <f t="shared" si="0"/>
        <v>0.6</v>
      </c>
      <c r="M65" s="26" t="str">
        <f t="shared" si="1"/>
        <v>sedang</v>
      </c>
      <c r="N65" s="3">
        <f t="shared" si="2"/>
        <v>0.8</v>
      </c>
      <c r="O65" s="26" t="str">
        <f t="shared" si="3"/>
        <v>soal diterima baik</v>
      </c>
      <c r="P65" s="33"/>
      <c r="Q65" s="26">
        <v>60</v>
      </c>
      <c r="R65" s="25">
        <f t="shared" si="9"/>
        <v>1</v>
      </c>
      <c r="S65" s="25">
        <f t="shared" si="9"/>
        <v>0</v>
      </c>
      <c r="T65" s="25">
        <f t="shared" si="9"/>
        <v>1</v>
      </c>
      <c r="U65" s="25">
        <f t="shared" si="9"/>
        <v>0</v>
      </c>
      <c r="V65" s="25">
        <f t="shared" si="9"/>
        <v>1</v>
      </c>
      <c r="W65" s="25">
        <f t="shared" si="9"/>
        <v>1</v>
      </c>
      <c r="X65" s="25">
        <f t="shared" si="9"/>
        <v>1</v>
      </c>
      <c r="Y65" s="25">
        <f t="shared" si="9"/>
        <v>1</v>
      </c>
      <c r="Z65" s="25">
        <f t="shared" si="9"/>
        <v>1</v>
      </c>
      <c r="AA65" s="25">
        <f t="shared" si="9"/>
        <v>1</v>
      </c>
      <c r="AB65" s="3">
        <f t="shared" si="6"/>
        <v>0.8</v>
      </c>
      <c r="AC65" s="3">
        <f t="shared" si="7"/>
        <v>0.19999999999999996</v>
      </c>
      <c r="AD65" s="3">
        <f t="shared" si="8"/>
        <v>0.15999999999999998</v>
      </c>
      <c r="AE65" s="33"/>
    </row>
    <row r="66" spans="1:31" ht="56" x14ac:dyDescent="0.3">
      <c r="A66" s="53" t="s">
        <v>696</v>
      </c>
      <c r="B66" s="25">
        <v>1</v>
      </c>
      <c r="C66" s="25">
        <v>1</v>
      </c>
      <c r="D66" s="25">
        <v>1</v>
      </c>
      <c r="E66" s="25">
        <v>1</v>
      </c>
      <c r="F66" s="25">
        <v>1</v>
      </c>
      <c r="G66" s="25">
        <v>0</v>
      </c>
      <c r="H66" s="25">
        <v>1</v>
      </c>
      <c r="I66" s="25">
        <v>1</v>
      </c>
      <c r="J66" s="25">
        <v>1</v>
      </c>
      <c r="K66" s="25">
        <v>0</v>
      </c>
      <c r="L66" s="3">
        <f t="shared" si="0"/>
        <v>0.8</v>
      </c>
      <c r="M66" s="26" t="str">
        <f t="shared" si="1"/>
        <v>mudah</v>
      </c>
      <c r="N66" s="3">
        <f t="shared" si="2"/>
        <v>0.4</v>
      </c>
      <c r="O66" s="26" t="str">
        <f t="shared" si="3"/>
        <v>soal diterima baik</v>
      </c>
      <c r="P66" s="33"/>
      <c r="Q66" s="26">
        <v>61</v>
      </c>
      <c r="R66" s="25">
        <f t="shared" si="9"/>
        <v>0</v>
      </c>
      <c r="S66" s="25">
        <f t="shared" si="9"/>
        <v>0</v>
      </c>
      <c r="T66" s="25">
        <f t="shared" si="9"/>
        <v>0</v>
      </c>
      <c r="U66" s="25">
        <f t="shared" si="9"/>
        <v>1</v>
      </c>
      <c r="V66" s="25">
        <f t="shared" si="9"/>
        <v>0</v>
      </c>
      <c r="W66" s="25">
        <f t="shared" si="9"/>
        <v>1</v>
      </c>
      <c r="X66" s="25">
        <f t="shared" si="9"/>
        <v>1</v>
      </c>
      <c r="Y66" s="25">
        <f t="shared" si="9"/>
        <v>1</v>
      </c>
      <c r="Z66" s="25">
        <f t="shared" si="9"/>
        <v>1</v>
      </c>
      <c r="AA66" s="25">
        <f t="shared" si="9"/>
        <v>1</v>
      </c>
      <c r="AB66" s="3">
        <f t="shared" si="6"/>
        <v>0.6</v>
      </c>
      <c r="AC66" s="3">
        <f t="shared" si="7"/>
        <v>0.4</v>
      </c>
      <c r="AD66" s="3">
        <f t="shared" si="8"/>
        <v>0.24</v>
      </c>
      <c r="AE66" s="33"/>
    </row>
    <row r="67" spans="1:31" ht="28" x14ac:dyDescent="0.3">
      <c r="A67" s="54" t="s">
        <v>697</v>
      </c>
      <c r="B67" s="25">
        <v>0</v>
      </c>
      <c r="C67" s="25">
        <v>1</v>
      </c>
      <c r="D67" s="25">
        <v>1</v>
      </c>
      <c r="E67" s="25">
        <v>0</v>
      </c>
      <c r="F67" s="25">
        <v>0</v>
      </c>
      <c r="G67" s="25">
        <v>1</v>
      </c>
      <c r="H67" s="25">
        <v>1</v>
      </c>
      <c r="I67" s="25">
        <v>0</v>
      </c>
      <c r="J67" s="25">
        <v>1</v>
      </c>
      <c r="K67" s="25">
        <v>1</v>
      </c>
      <c r="L67" s="3">
        <f t="shared" si="0"/>
        <v>0.6</v>
      </c>
      <c r="M67" s="26" t="str">
        <f t="shared" si="1"/>
        <v>sedang</v>
      </c>
      <c r="N67" s="3">
        <f t="shared" si="2"/>
        <v>0.4</v>
      </c>
      <c r="O67" s="26" t="str">
        <f t="shared" si="3"/>
        <v>soal diterima baik</v>
      </c>
      <c r="P67" s="33"/>
      <c r="Q67" s="26">
        <v>62</v>
      </c>
      <c r="R67" s="25">
        <f t="shared" si="9"/>
        <v>1</v>
      </c>
      <c r="S67" s="25">
        <f t="shared" si="9"/>
        <v>1</v>
      </c>
      <c r="T67" s="25">
        <f t="shared" si="9"/>
        <v>1</v>
      </c>
      <c r="U67" s="25">
        <f t="shared" si="9"/>
        <v>1</v>
      </c>
      <c r="V67" s="25">
        <f t="shared" si="9"/>
        <v>1</v>
      </c>
      <c r="W67" s="25">
        <f t="shared" si="9"/>
        <v>0</v>
      </c>
      <c r="X67" s="25">
        <f t="shared" si="9"/>
        <v>1</v>
      </c>
      <c r="Y67" s="25">
        <f t="shared" si="9"/>
        <v>1</v>
      </c>
      <c r="Z67" s="25">
        <f t="shared" si="9"/>
        <v>1</v>
      </c>
      <c r="AA67" s="25">
        <f t="shared" si="9"/>
        <v>0</v>
      </c>
      <c r="AB67" s="3">
        <f t="shared" si="6"/>
        <v>0.8</v>
      </c>
      <c r="AC67" s="3">
        <f t="shared" si="7"/>
        <v>0.19999999999999996</v>
      </c>
      <c r="AD67" s="3">
        <f t="shared" si="8"/>
        <v>0.15999999999999998</v>
      </c>
      <c r="AE67" s="33"/>
    </row>
    <row r="68" spans="1:31" ht="28" x14ac:dyDescent="0.3">
      <c r="A68" s="52" t="s">
        <v>698</v>
      </c>
      <c r="B68" s="25">
        <v>0</v>
      </c>
      <c r="C68" s="25">
        <v>0</v>
      </c>
      <c r="D68" s="25">
        <v>0</v>
      </c>
      <c r="E68" s="25">
        <v>0</v>
      </c>
      <c r="F68" s="25">
        <v>0</v>
      </c>
      <c r="G68" s="25">
        <v>1</v>
      </c>
      <c r="H68" s="25">
        <v>1</v>
      </c>
      <c r="I68" s="25">
        <v>0</v>
      </c>
      <c r="J68" s="25">
        <v>1</v>
      </c>
      <c r="K68" s="25">
        <v>1</v>
      </c>
      <c r="L68" s="3">
        <f t="shared" si="0"/>
        <v>0.4</v>
      </c>
      <c r="M68" s="26" t="str">
        <f t="shared" si="1"/>
        <v>sedang</v>
      </c>
      <c r="N68" s="3">
        <f t="shared" si="2"/>
        <v>0.8</v>
      </c>
      <c r="O68" s="26" t="str">
        <f t="shared" si="3"/>
        <v>soal diterima baik</v>
      </c>
      <c r="P68" s="33"/>
      <c r="Q68" s="26">
        <v>63</v>
      </c>
      <c r="R68" s="25">
        <f t="shared" si="9"/>
        <v>0</v>
      </c>
      <c r="S68" s="25">
        <f t="shared" si="9"/>
        <v>1</v>
      </c>
      <c r="T68" s="25">
        <f t="shared" si="9"/>
        <v>1</v>
      </c>
      <c r="U68" s="25">
        <f t="shared" si="9"/>
        <v>0</v>
      </c>
      <c r="V68" s="25">
        <f t="shared" si="9"/>
        <v>0</v>
      </c>
      <c r="W68" s="25">
        <f t="shared" si="9"/>
        <v>1</v>
      </c>
      <c r="X68" s="25">
        <f t="shared" si="9"/>
        <v>1</v>
      </c>
      <c r="Y68" s="25">
        <f t="shared" si="9"/>
        <v>0</v>
      </c>
      <c r="Z68" s="25">
        <f t="shared" si="9"/>
        <v>1</v>
      </c>
      <c r="AA68" s="25">
        <f t="shared" si="9"/>
        <v>1</v>
      </c>
      <c r="AB68" s="3">
        <f t="shared" si="6"/>
        <v>0.6</v>
      </c>
      <c r="AC68" s="3">
        <f t="shared" si="7"/>
        <v>0.4</v>
      </c>
      <c r="AD68" s="3">
        <f t="shared" si="8"/>
        <v>0.24</v>
      </c>
      <c r="AE68" s="33"/>
    </row>
    <row r="69" spans="1:31" ht="42" x14ac:dyDescent="0.3">
      <c r="A69" s="53" t="s">
        <v>699</v>
      </c>
      <c r="B69" s="25">
        <v>0</v>
      </c>
      <c r="C69" s="25">
        <v>1</v>
      </c>
      <c r="D69" s="25">
        <v>0</v>
      </c>
      <c r="E69" s="25">
        <v>0</v>
      </c>
      <c r="F69" s="25">
        <v>0</v>
      </c>
      <c r="G69" s="25">
        <v>1</v>
      </c>
      <c r="H69" s="25">
        <v>0</v>
      </c>
      <c r="I69" s="25">
        <v>0</v>
      </c>
      <c r="J69" s="25">
        <v>1</v>
      </c>
      <c r="K69" s="25">
        <v>1</v>
      </c>
      <c r="L69" s="3">
        <f t="shared" si="0"/>
        <v>0.4</v>
      </c>
      <c r="M69" s="26" t="str">
        <f t="shared" si="1"/>
        <v>sedang</v>
      </c>
      <c r="N69" s="3">
        <f t="shared" si="2"/>
        <v>0.4</v>
      </c>
      <c r="O69" s="26" t="str">
        <f t="shared" si="3"/>
        <v>soal diterima baik</v>
      </c>
      <c r="P69" s="33"/>
      <c r="Q69" s="26">
        <v>64</v>
      </c>
      <c r="R69" s="25">
        <f t="shared" si="9"/>
        <v>0</v>
      </c>
      <c r="S69" s="25">
        <f t="shared" si="9"/>
        <v>0</v>
      </c>
      <c r="T69" s="25">
        <f t="shared" si="9"/>
        <v>0</v>
      </c>
      <c r="U69" s="25">
        <f t="shared" si="9"/>
        <v>0</v>
      </c>
      <c r="V69" s="25">
        <f t="shared" si="9"/>
        <v>0</v>
      </c>
      <c r="W69" s="25">
        <f t="shared" si="9"/>
        <v>1</v>
      </c>
      <c r="X69" s="25">
        <f t="shared" si="9"/>
        <v>1</v>
      </c>
      <c r="Y69" s="25">
        <f t="shared" si="9"/>
        <v>0</v>
      </c>
      <c r="Z69" s="25">
        <f t="shared" si="9"/>
        <v>1</v>
      </c>
      <c r="AA69" s="25">
        <f t="shared" si="9"/>
        <v>1</v>
      </c>
      <c r="AB69" s="3">
        <f t="shared" si="6"/>
        <v>0.4</v>
      </c>
      <c r="AC69" s="3">
        <f t="shared" si="7"/>
        <v>0.6</v>
      </c>
      <c r="AD69" s="3">
        <f t="shared" si="8"/>
        <v>0.24</v>
      </c>
      <c r="AE69" s="33"/>
    </row>
    <row r="70" spans="1:31" ht="28" x14ac:dyDescent="0.3">
      <c r="A70" s="54" t="s">
        <v>700</v>
      </c>
      <c r="B70" s="25">
        <v>0</v>
      </c>
      <c r="C70" s="25">
        <v>0</v>
      </c>
      <c r="D70" s="25">
        <v>0</v>
      </c>
      <c r="E70" s="25">
        <v>0</v>
      </c>
      <c r="F70" s="25">
        <v>0</v>
      </c>
      <c r="G70" s="25">
        <v>0</v>
      </c>
      <c r="H70" s="25">
        <v>1</v>
      </c>
      <c r="I70" s="25">
        <v>0</v>
      </c>
      <c r="J70" s="25">
        <v>1</v>
      </c>
      <c r="K70" s="25">
        <v>0</v>
      </c>
      <c r="L70" s="3">
        <f t="shared" ref="L70:L104" si="10">SUM(B70:K70)/10</f>
        <v>0.2</v>
      </c>
      <c r="M70" s="26" t="str">
        <f t="shared" ref="M70:M104" si="11">IF(L70&lt;0.31,"sukar",IF(L70&lt;0.71,"sedang","mudah"))</f>
        <v>sukar</v>
      </c>
      <c r="N70" s="3">
        <f t="shared" ref="N70:N104" si="12">ABS((SUM(B70:F70)-SUM(G70:K70))*2/10)</f>
        <v>0.4</v>
      </c>
      <c r="O70" s="26" t="str">
        <f t="shared" ref="O70:O104" si="13">IF(N70&lt;0.2,"soal dibuang",IF(N70&lt;0.3,"soal diperbaiki",IF(N70&lt;0.4,"soal diterima tapi perlu diperbaiki","soal diterima baik")))</f>
        <v>soal diterima baik</v>
      </c>
      <c r="P70" s="33"/>
      <c r="Q70" s="26">
        <v>65</v>
      </c>
      <c r="R70" s="25">
        <f t="shared" si="9"/>
        <v>0</v>
      </c>
      <c r="S70" s="25">
        <f t="shared" si="9"/>
        <v>1</v>
      </c>
      <c r="T70" s="25">
        <f t="shared" si="9"/>
        <v>0</v>
      </c>
      <c r="U70" s="25">
        <f t="shared" si="9"/>
        <v>0</v>
      </c>
      <c r="V70" s="25">
        <f t="shared" si="9"/>
        <v>0</v>
      </c>
      <c r="W70" s="25">
        <f t="shared" si="9"/>
        <v>1</v>
      </c>
      <c r="X70" s="25">
        <f t="shared" si="9"/>
        <v>0</v>
      </c>
      <c r="Y70" s="25">
        <f t="shared" si="9"/>
        <v>0</v>
      </c>
      <c r="Z70" s="25">
        <f t="shared" si="9"/>
        <v>1</v>
      </c>
      <c r="AA70" s="25">
        <f t="shared" si="9"/>
        <v>1</v>
      </c>
      <c r="AB70" s="3">
        <f t="shared" si="6"/>
        <v>0.4</v>
      </c>
      <c r="AC70" s="3">
        <f t="shared" si="7"/>
        <v>0.6</v>
      </c>
      <c r="AD70" s="3">
        <f t="shared" si="8"/>
        <v>0.24</v>
      </c>
      <c r="AE70" s="33"/>
    </row>
    <row r="71" spans="1:31" ht="28" x14ac:dyDescent="0.3">
      <c r="A71" s="52" t="s">
        <v>701</v>
      </c>
      <c r="B71" s="25">
        <v>0</v>
      </c>
      <c r="C71" s="25">
        <v>1</v>
      </c>
      <c r="D71" s="25">
        <v>1</v>
      </c>
      <c r="E71" s="25">
        <v>1</v>
      </c>
      <c r="F71" s="25">
        <v>1</v>
      </c>
      <c r="G71" s="25">
        <v>1</v>
      </c>
      <c r="H71" s="25">
        <v>1</v>
      </c>
      <c r="I71" s="25">
        <v>0</v>
      </c>
      <c r="J71" s="25">
        <v>0</v>
      </c>
      <c r="K71" s="25">
        <v>0</v>
      </c>
      <c r="L71" s="3">
        <f t="shared" si="10"/>
        <v>0.6</v>
      </c>
      <c r="M71" s="26" t="str">
        <f t="shared" si="11"/>
        <v>sedang</v>
      </c>
      <c r="N71" s="3">
        <f t="shared" si="12"/>
        <v>0.4</v>
      </c>
      <c r="O71" s="26" t="str">
        <f t="shared" si="13"/>
        <v>soal diterima baik</v>
      </c>
      <c r="P71" s="33"/>
      <c r="Q71" s="26">
        <v>66</v>
      </c>
      <c r="R71" s="25">
        <f t="shared" si="9"/>
        <v>0</v>
      </c>
      <c r="S71" s="25">
        <f t="shared" si="9"/>
        <v>0</v>
      </c>
      <c r="T71" s="25">
        <f t="shared" si="9"/>
        <v>0</v>
      </c>
      <c r="U71" s="25">
        <f t="shared" si="9"/>
        <v>0</v>
      </c>
      <c r="V71" s="25">
        <f t="shared" si="9"/>
        <v>0</v>
      </c>
      <c r="W71" s="25">
        <f t="shared" ref="W71:AA105" si="14">G70</f>
        <v>0</v>
      </c>
      <c r="X71" s="25">
        <f t="shared" si="14"/>
        <v>1</v>
      </c>
      <c r="Y71" s="25">
        <f t="shared" si="14"/>
        <v>0</v>
      </c>
      <c r="Z71" s="25">
        <f t="shared" si="14"/>
        <v>1</v>
      </c>
      <c r="AA71" s="25">
        <f t="shared" si="14"/>
        <v>0</v>
      </c>
      <c r="AB71" s="3">
        <f t="shared" ref="AB71:AB104" si="15">SUM(R71:AA71)/COUNT(R71:AA71)</f>
        <v>0.2</v>
      </c>
      <c r="AC71" s="3">
        <f t="shared" ref="AC71:AC105" si="16">1-AB71</f>
        <v>0.8</v>
      </c>
      <c r="AD71" s="3">
        <f t="shared" ref="AD71:AD105" si="17">AB71*AC71</f>
        <v>0.16000000000000003</v>
      </c>
      <c r="AE71" s="33"/>
    </row>
    <row r="72" spans="1:31" ht="28" x14ac:dyDescent="0.3">
      <c r="A72" s="54" t="s">
        <v>702</v>
      </c>
      <c r="B72" s="25">
        <v>1</v>
      </c>
      <c r="C72" s="25">
        <v>0</v>
      </c>
      <c r="D72" s="25">
        <v>1</v>
      </c>
      <c r="E72" s="25">
        <v>1</v>
      </c>
      <c r="F72" s="25">
        <v>1</v>
      </c>
      <c r="G72" s="25">
        <v>1</v>
      </c>
      <c r="H72" s="25">
        <v>0</v>
      </c>
      <c r="I72" s="25">
        <v>1</v>
      </c>
      <c r="J72" s="25">
        <v>0</v>
      </c>
      <c r="K72" s="25">
        <v>0</v>
      </c>
      <c r="L72" s="3">
        <f t="shared" si="10"/>
        <v>0.6</v>
      </c>
      <c r="M72" s="26" t="str">
        <f t="shared" si="11"/>
        <v>sedang</v>
      </c>
      <c r="N72" s="3">
        <f t="shared" si="12"/>
        <v>0.4</v>
      </c>
      <c r="O72" s="26" t="str">
        <f t="shared" si="13"/>
        <v>soal diterima baik</v>
      </c>
      <c r="P72" s="33"/>
      <c r="Q72" s="26">
        <v>67</v>
      </c>
      <c r="R72" s="25">
        <f t="shared" ref="R72:V105" si="18">B71</f>
        <v>0</v>
      </c>
      <c r="S72" s="25">
        <f t="shared" si="18"/>
        <v>1</v>
      </c>
      <c r="T72" s="25">
        <f t="shared" si="18"/>
        <v>1</v>
      </c>
      <c r="U72" s="25">
        <f t="shared" si="18"/>
        <v>1</v>
      </c>
      <c r="V72" s="25">
        <f t="shared" si="18"/>
        <v>1</v>
      </c>
      <c r="W72" s="25">
        <f t="shared" si="14"/>
        <v>1</v>
      </c>
      <c r="X72" s="25">
        <f t="shared" si="14"/>
        <v>1</v>
      </c>
      <c r="Y72" s="25">
        <f t="shared" si="14"/>
        <v>0</v>
      </c>
      <c r="Z72" s="25">
        <f t="shared" si="14"/>
        <v>0</v>
      </c>
      <c r="AA72" s="25">
        <f t="shared" si="14"/>
        <v>0</v>
      </c>
      <c r="AB72" s="3">
        <f t="shared" si="15"/>
        <v>0.6</v>
      </c>
      <c r="AC72" s="3">
        <f t="shared" si="16"/>
        <v>0.4</v>
      </c>
      <c r="AD72" s="3">
        <f t="shared" si="17"/>
        <v>0.24</v>
      </c>
      <c r="AE72" s="33"/>
    </row>
    <row r="73" spans="1:31" ht="84" x14ac:dyDescent="0.3">
      <c r="A73" s="53" t="s">
        <v>703</v>
      </c>
      <c r="B73" s="25">
        <v>0</v>
      </c>
      <c r="C73" s="25">
        <v>0</v>
      </c>
      <c r="D73" s="25">
        <v>0</v>
      </c>
      <c r="E73" s="25">
        <v>0</v>
      </c>
      <c r="F73" s="25">
        <v>1</v>
      </c>
      <c r="G73" s="25">
        <v>1</v>
      </c>
      <c r="H73" s="25">
        <v>1</v>
      </c>
      <c r="I73" s="25">
        <v>0</v>
      </c>
      <c r="J73" s="25">
        <v>0</v>
      </c>
      <c r="K73" s="25">
        <v>1</v>
      </c>
      <c r="L73" s="3">
        <f t="shared" si="10"/>
        <v>0.4</v>
      </c>
      <c r="M73" s="26" t="str">
        <f t="shared" si="11"/>
        <v>sedang</v>
      </c>
      <c r="N73" s="3">
        <f t="shared" si="12"/>
        <v>0.4</v>
      </c>
      <c r="O73" s="26" t="str">
        <f t="shared" si="13"/>
        <v>soal diterima baik</v>
      </c>
      <c r="P73" s="33"/>
      <c r="Q73" s="26">
        <v>68</v>
      </c>
      <c r="R73" s="25">
        <f t="shared" si="18"/>
        <v>1</v>
      </c>
      <c r="S73" s="25">
        <f t="shared" si="18"/>
        <v>0</v>
      </c>
      <c r="T73" s="25">
        <f t="shared" si="18"/>
        <v>1</v>
      </c>
      <c r="U73" s="25">
        <f t="shared" si="18"/>
        <v>1</v>
      </c>
      <c r="V73" s="25">
        <f t="shared" si="18"/>
        <v>1</v>
      </c>
      <c r="W73" s="25">
        <f t="shared" si="14"/>
        <v>1</v>
      </c>
      <c r="X73" s="25">
        <f t="shared" si="14"/>
        <v>0</v>
      </c>
      <c r="Y73" s="25">
        <f t="shared" si="14"/>
        <v>1</v>
      </c>
      <c r="Z73" s="25">
        <f t="shared" si="14"/>
        <v>0</v>
      </c>
      <c r="AA73" s="25">
        <f t="shared" si="14"/>
        <v>0</v>
      </c>
      <c r="AB73" s="3">
        <f t="shared" si="15"/>
        <v>0.6</v>
      </c>
      <c r="AC73" s="3">
        <f t="shared" si="16"/>
        <v>0.4</v>
      </c>
      <c r="AD73" s="3">
        <f t="shared" si="17"/>
        <v>0.24</v>
      </c>
      <c r="AE73" s="33"/>
    </row>
    <row r="74" spans="1:31" ht="28" x14ac:dyDescent="0.3">
      <c r="A74" s="54" t="s">
        <v>704</v>
      </c>
      <c r="B74" s="25">
        <v>0</v>
      </c>
      <c r="C74" s="25">
        <v>0</v>
      </c>
      <c r="D74" s="25">
        <v>0</v>
      </c>
      <c r="E74" s="25">
        <v>0</v>
      </c>
      <c r="F74" s="25">
        <v>0</v>
      </c>
      <c r="G74" s="25">
        <v>1</v>
      </c>
      <c r="H74" s="25">
        <v>0</v>
      </c>
      <c r="I74" s="25">
        <v>1</v>
      </c>
      <c r="J74" s="25">
        <v>1</v>
      </c>
      <c r="K74" s="25">
        <v>1</v>
      </c>
      <c r="L74" s="3">
        <f t="shared" si="10"/>
        <v>0.4</v>
      </c>
      <c r="M74" s="26" t="str">
        <f t="shared" si="11"/>
        <v>sedang</v>
      </c>
      <c r="N74" s="3">
        <f t="shared" si="12"/>
        <v>0.8</v>
      </c>
      <c r="O74" s="26" t="str">
        <f t="shared" si="13"/>
        <v>soal diterima baik</v>
      </c>
      <c r="P74" s="33"/>
      <c r="Q74" s="26">
        <v>69</v>
      </c>
      <c r="R74" s="25">
        <f t="shared" si="18"/>
        <v>0</v>
      </c>
      <c r="S74" s="25">
        <f t="shared" si="18"/>
        <v>0</v>
      </c>
      <c r="T74" s="25">
        <f t="shared" si="18"/>
        <v>0</v>
      </c>
      <c r="U74" s="25">
        <f t="shared" si="18"/>
        <v>0</v>
      </c>
      <c r="V74" s="25">
        <f t="shared" si="18"/>
        <v>1</v>
      </c>
      <c r="W74" s="25">
        <f t="shared" si="14"/>
        <v>1</v>
      </c>
      <c r="X74" s="25">
        <f t="shared" si="14"/>
        <v>1</v>
      </c>
      <c r="Y74" s="25">
        <f t="shared" si="14"/>
        <v>0</v>
      </c>
      <c r="Z74" s="25">
        <f t="shared" si="14"/>
        <v>0</v>
      </c>
      <c r="AA74" s="25">
        <f t="shared" si="14"/>
        <v>1</v>
      </c>
      <c r="AB74" s="3">
        <f t="shared" si="15"/>
        <v>0.4</v>
      </c>
      <c r="AC74" s="3">
        <f t="shared" si="16"/>
        <v>0.6</v>
      </c>
      <c r="AD74" s="3">
        <f t="shared" si="17"/>
        <v>0.24</v>
      </c>
      <c r="AE74" s="33"/>
    </row>
    <row r="75" spans="1:31" ht="28" x14ac:dyDescent="0.3">
      <c r="A75" s="52" t="s">
        <v>705</v>
      </c>
      <c r="B75" s="25">
        <v>1</v>
      </c>
      <c r="C75" s="25">
        <v>1</v>
      </c>
      <c r="D75" s="25">
        <v>1</v>
      </c>
      <c r="E75" s="25">
        <v>1</v>
      </c>
      <c r="F75" s="25">
        <v>0</v>
      </c>
      <c r="G75" s="25">
        <v>0</v>
      </c>
      <c r="H75" s="25">
        <v>0</v>
      </c>
      <c r="I75" s="25">
        <v>0</v>
      </c>
      <c r="J75" s="25">
        <v>0</v>
      </c>
      <c r="K75" s="25">
        <v>0</v>
      </c>
      <c r="L75" s="3">
        <f t="shared" si="10"/>
        <v>0.4</v>
      </c>
      <c r="M75" s="26" t="str">
        <f t="shared" si="11"/>
        <v>sedang</v>
      </c>
      <c r="N75" s="3">
        <f t="shared" si="12"/>
        <v>0.8</v>
      </c>
      <c r="O75" s="26" t="str">
        <f t="shared" si="13"/>
        <v>soal diterima baik</v>
      </c>
      <c r="P75" s="33"/>
      <c r="Q75" s="26">
        <v>70</v>
      </c>
      <c r="R75" s="25">
        <f t="shared" si="18"/>
        <v>0</v>
      </c>
      <c r="S75" s="25">
        <f t="shared" si="18"/>
        <v>0</v>
      </c>
      <c r="T75" s="25">
        <f t="shared" si="18"/>
        <v>0</v>
      </c>
      <c r="U75" s="25">
        <f t="shared" si="18"/>
        <v>0</v>
      </c>
      <c r="V75" s="25">
        <f t="shared" si="18"/>
        <v>0</v>
      </c>
      <c r="W75" s="25">
        <f t="shared" si="14"/>
        <v>1</v>
      </c>
      <c r="X75" s="25">
        <f t="shared" si="14"/>
        <v>0</v>
      </c>
      <c r="Y75" s="25">
        <f t="shared" si="14"/>
        <v>1</v>
      </c>
      <c r="Z75" s="25">
        <f t="shared" si="14"/>
        <v>1</v>
      </c>
      <c r="AA75" s="25">
        <f t="shared" si="14"/>
        <v>1</v>
      </c>
      <c r="AB75" s="3">
        <f t="shared" si="15"/>
        <v>0.4</v>
      </c>
      <c r="AC75" s="3">
        <f t="shared" si="16"/>
        <v>0.6</v>
      </c>
      <c r="AD75" s="3">
        <f t="shared" si="17"/>
        <v>0.24</v>
      </c>
      <c r="AE75" s="33"/>
    </row>
    <row r="76" spans="1:31" ht="42" x14ac:dyDescent="0.3">
      <c r="A76" s="54" t="s">
        <v>706</v>
      </c>
      <c r="B76" s="25">
        <v>1</v>
      </c>
      <c r="C76" s="25">
        <v>1</v>
      </c>
      <c r="D76" s="25">
        <v>0</v>
      </c>
      <c r="E76" s="25">
        <v>0</v>
      </c>
      <c r="F76" s="25">
        <v>1</v>
      </c>
      <c r="G76" s="25">
        <v>0</v>
      </c>
      <c r="H76" s="25">
        <v>0</v>
      </c>
      <c r="I76" s="25">
        <v>0</v>
      </c>
      <c r="J76" s="25">
        <v>0</v>
      </c>
      <c r="K76" s="25">
        <v>1</v>
      </c>
      <c r="L76" s="3">
        <f t="shared" si="10"/>
        <v>0.4</v>
      </c>
      <c r="M76" s="26" t="str">
        <f t="shared" si="11"/>
        <v>sedang</v>
      </c>
      <c r="N76" s="3">
        <f t="shared" si="12"/>
        <v>0.4</v>
      </c>
      <c r="O76" s="26" t="str">
        <f t="shared" si="13"/>
        <v>soal diterima baik</v>
      </c>
      <c r="P76" s="33"/>
      <c r="Q76" s="26">
        <v>71</v>
      </c>
      <c r="R76" s="25">
        <f t="shared" si="18"/>
        <v>1</v>
      </c>
      <c r="S76" s="25">
        <f t="shared" si="18"/>
        <v>1</v>
      </c>
      <c r="T76" s="25">
        <f t="shared" si="18"/>
        <v>1</v>
      </c>
      <c r="U76" s="25">
        <f t="shared" si="18"/>
        <v>1</v>
      </c>
      <c r="V76" s="25">
        <f t="shared" si="18"/>
        <v>0</v>
      </c>
      <c r="W76" s="25">
        <f t="shared" si="14"/>
        <v>0</v>
      </c>
      <c r="X76" s="25">
        <f t="shared" si="14"/>
        <v>0</v>
      </c>
      <c r="Y76" s="25">
        <f t="shared" si="14"/>
        <v>0</v>
      </c>
      <c r="Z76" s="25">
        <f t="shared" si="14"/>
        <v>0</v>
      </c>
      <c r="AA76" s="25">
        <f t="shared" si="14"/>
        <v>0</v>
      </c>
      <c r="AB76" s="3">
        <f t="shared" si="15"/>
        <v>0.4</v>
      </c>
      <c r="AC76" s="3">
        <f t="shared" si="16"/>
        <v>0.6</v>
      </c>
      <c r="AD76" s="3">
        <f t="shared" si="17"/>
        <v>0.24</v>
      </c>
      <c r="AE76" s="33"/>
    </row>
    <row r="77" spans="1:31" ht="42" x14ac:dyDescent="0.3">
      <c r="A77" s="54" t="s">
        <v>707</v>
      </c>
      <c r="B77" s="25">
        <v>0</v>
      </c>
      <c r="C77" s="25">
        <v>0</v>
      </c>
      <c r="D77" s="25">
        <v>1</v>
      </c>
      <c r="E77" s="25">
        <v>0</v>
      </c>
      <c r="F77" s="25">
        <v>1</v>
      </c>
      <c r="G77" s="25">
        <v>1</v>
      </c>
      <c r="H77" s="25">
        <v>1</v>
      </c>
      <c r="I77" s="25">
        <v>1</v>
      </c>
      <c r="J77" s="25">
        <v>0</v>
      </c>
      <c r="K77" s="25">
        <v>1</v>
      </c>
      <c r="L77" s="3">
        <f t="shared" si="10"/>
        <v>0.6</v>
      </c>
      <c r="M77" s="26" t="str">
        <f t="shared" si="11"/>
        <v>sedang</v>
      </c>
      <c r="N77" s="3">
        <f t="shared" si="12"/>
        <v>0.4</v>
      </c>
      <c r="O77" s="26" t="str">
        <f t="shared" si="13"/>
        <v>soal diterima baik</v>
      </c>
      <c r="P77" s="33"/>
      <c r="Q77" s="26">
        <v>72</v>
      </c>
      <c r="R77" s="25">
        <f t="shared" si="18"/>
        <v>1</v>
      </c>
      <c r="S77" s="25">
        <f t="shared" si="18"/>
        <v>1</v>
      </c>
      <c r="T77" s="25">
        <f t="shared" si="18"/>
        <v>0</v>
      </c>
      <c r="U77" s="25">
        <f t="shared" si="18"/>
        <v>0</v>
      </c>
      <c r="V77" s="25">
        <f t="shared" si="18"/>
        <v>1</v>
      </c>
      <c r="W77" s="25">
        <f t="shared" si="14"/>
        <v>0</v>
      </c>
      <c r="X77" s="25">
        <f t="shared" si="14"/>
        <v>0</v>
      </c>
      <c r="Y77" s="25">
        <f t="shared" si="14"/>
        <v>0</v>
      </c>
      <c r="Z77" s="25">
        <f t="shared" si="14"/>
        <v>0</v>
      </c>
      <c r="AA77" s="25">
        <f t="shared" si="14"/>
        <v>1</v>
      </c>
      <c r="AB77" s="3">
        <f t="shared" si="15"/>
        <v>0.4</v>
      </c>
      <c r="AC77" s="3">
        <f t="shared" si="16"/>
        <v>0.6</v>
      </c>
      <c r="AD77" s="3">
        <f t="shared" si="17"/>
        <v>0.24</v>
      </c>
      <c r="AE77" s="33"/>
    </row>
    <row r="78" spans="1:31" ht="42" x14ac:dyDescent="0.3">
      <c r="A78" s="53" t="s">
        <v>708</v>
      </c>
      <c r="B78" s="25">
        <v>1</v>
      </c>
      <c r="C78" s="25">
        <v>1</v>
      </c>
      <c r="D78" s="25">
        <v>1</v>
      </c>
      <c r="E78" s="25">
        <v>0</v>
      </c>
      <c r="F78" s="25">
        <v>0</v>
      </c>
      <c r="G78" s="25">
        <v>0</v>
      </c>
      <c r="H78" s="25">
        <v>0</v>
      </c>
      <c r="I78" s="25">
        <v>0</v>
      </c>
      <c r="J78" s="25">
        <v>1</v>
      </c>
      <c r="K78" s="25">
        <v>0</v>
      </c>
      <c r="L78" s="3">
        <f t="shared" si="10"/>
        <v>0.4</v>
      </c>
      <c r="M78" s="26" t="str">
        <f t="shared" si="11"/>
        <v>sedang</v>
      </c>
      <c r="N78" s="3">
        <f t="shared" si="12"/>
        <v>0.4</v>
      </c>
      <c r="O78" s="26" t="str">
        <f t="shared" si="13"/>
        <v>soal diterima baik</v>
      </c>
      <c r="P78" s="33"/>
      <c r="Q78" s="26">
        <v>73</v>
      </c>
      <c r="R78" s="25">
        <f t="shared" si="18"/>
        <v>0</v>
      </c>
      <c r="S78" s="25">
        <f t="shared" si="18"/>
        <v>0</v>
      </c>
      <c r="T78" s="25">
        <f t="shared" si="18"/>
        <v>1</v>
      </c>
      <c r="U78" s="25">
        <f t="shared" si="18"/>
        <v>0</v>
      </c>
      <c r="V78" s="25">
        <f t="shared" si="18"/>
        <v>1</v>
      </c>
      <c r="W78" s="25">
        <f t="shared" si="14"/>
        <v>1</v>
      </c>
      <c r="X78" s="25">
        <f t="shared" si="14"/>
        <v>1</v>
      </c>
      <c r="Y78" s="25">
        <f t="shared" si="14"/>
        <v>1</v>
      </c>
      <c r="Z78" s="25">
        <f t="shared" si="14"/>
        <v>0</v>
      </c>
      <c r="AA78" s="25">
        <f t="shared" si="14"/>
        <v>1</v>
      </c>
      <c r="AB78" s="3">
        <f t="shared" si="15"/>
        <v>0.6</v>
      </c>
      <c r="AC78" s="3">
        <f t="shared" si="16"/>
        <v>0.4</v>
      </c>
      <c r="AD78" s="3">
        <f t="shared" si="17"/>
        <v>0.24</v>
      </c>
      <c r="AE78" s="33"/>
    </row>
    <row r="79" spans="1:31" ht="84" x14ac:dyDescent="0.3">
      <c r="A79" s="53" t="s">
        <v>709</v>
      </c>
      <c r="B79" s="25">
        <v>0</v>
      </c>
      <c r="C79" s="25">
        <v>0</v>
      </c>
      <c r="D79" s="25">
        <v>0</v>
      </c>
      <c r="E79" s="25">
        <v>0</v>
      </c>
      <c r="F79" s="25">
        <v>0</v>
      </c>
      <c r="G79" s="25">
        <v>0</v>
      </c>
      <c r="H79" s="25">
        <v>0</v>
      </c>
      <c r="I79" s="25">
        <v>1</v>
      </c>
      <c r="J79" s="25">
        <v>1</v>
      </c>
      <c r="K79" s="25">
        <v>0</v>
      </c>
      <c r="L79" s="3">
        <f t="shared" si="10"/>
        <v>0.2</v>
      </c>
      <c r="M79" s="26" t="str">
        <f t="shared" si="11"/>
        <v>sukar</v>
      </c>
      <c r="N79" s="3">
        <f t="shared" si="12"/>
        <v>0.4</v>
      </c>
      <c r="O79" s="26" t="str">
        <f t="shared" si="13"/>
        <v>soal diterima baik</v>
      </c>
      <c r="P79" s="33"/>
      <c r="Q79" s="26">
        <v>74</v>
      </c>
      <c r="R79" s="25">
        <f t="shared" si="18"/>
        <v>1</v>
      </c>
      <c r="S79" s="25">
        <f t="shared" si="18"/>
        <v>1</v>
      </c>
      <c r="T79" s="25">
        <f t="shared" si="18"/>
        <v>1</v>
      </c>
      <c r="U79" s="25">
        <f t="shared" si="18"/>
        <v>0</v>
      </c>
      <c r="V79" s="25">
        <f t="shared" si="18"/>
        <v>0</v>
      </c>
      <c r="W79" s="25">
        <f t="shared" si="14"/>
        <v>0</v>
      </c>
      <c r="X79" s="25">
        <f t="shared" si="14"/>
        <v>0</v>
      </c>
      <c r="Y79" s="25">
        <f t="shared" si="14"/>
        <v>0</v>
      </c>
      <c r="Z79" s="25">
        <f t="shared" si="14"/>
        <v>1</v>
      </c>
      <c r="AA79" s="25">
        <f t="shared" si="14"/>
        <v>0</v>
      </c>
      <c r="AB79" s="3">
        <f t="shared" si="15"/>
        <v>0.4</v>
      </c>
      <c r="AC79" s="3">
        <f t="shared" si="16"/>
        <v>0.6</v>
      </c>
      <c r="AD79" s="3">
        <f t="shared" si="17"/>
        <v>0.24</v>
      </c>
      <c r="AE79" s="33"/>
    </row>
    <row r="80" spans="1:31" ht="98" x14ac:dyDescent="0.3">
      <c r="A80" s="52" t="s">
        <v>710</v>
      </c>
      <c r="B80" s="25">
        <v>0</v>
      </c>
      <c r="C80" s="25">
        <v>0</v>
      </c>
      <c r="D80" s="25">
        <v>0</v>
      </c>
      <c r="E80" s="25">
        <v>0</v>
      </c>
      <c r="F80" s="25">
        <v>0</v>
      </c>
      <c r="G80" s="25">
        <v>0</v>
      </c>
      <c r="H80" s="25">
        <v>0</v>
      </c>
      <c r="I80" s="25">
        <v>1</v>
      </c>
      <c r="J80" s="25">
        <v>0</v>
      </c>
      <c r="K80" s="25">
        <v>1</v>
      </c>
      <c r="L80" s="3">
        <f t="shared" si="10"/>
        <v>0.2</v>
      </c>
      <c r="M80" s="26" t="str">
        <f t="shared" si="11"/>
        <v>sukar</v>
      </c>
      <c r="N80" s="3">
        <f t="shared" si="12"/>
        <v>0.4</v>
      </c>
      <c r="O80" s="26" t="str">
        <f t="shared" si="13"/>
        <v>soal diterima baik</v>
      </c>
      <c r="P80" s="33"/>
      <c r="Q80" s="26">
        <v>75</v>
      </c>
      <c r="R80" s="25">
        <f t="shared" si="18"/>
        <v>0</v>
      </c>
      <c r="S80" s="25">
        <f t="shared" si="18"/>
        <v>0</v>
      </c>
      <c r="T80" s="25">
        <f t="shared" si="18"/>
        <v>0</v>
      </c>
      <c r="U80" s="25">
        <f t="shared" si="18"/>
        <v>0</v>
      </c>
      <c r="V80" s="25">
        <f t="shared" si="18"/>
        <v>0</v>
      </c>
      <c r="W80" s="25">
        <f t="shared" si="14"/>
        <v>0</v>
      </c>
      <c r="X80" s="25">
        <f t="shared" si="14"/>
        <v>0</v>
      </c>
      <c r="Y80" s="25">
        <f t="shared" si="14"/>
        <v>1</v>
      </c>
      <c r="Z80" s="25">
        <f t="shared" si="14"/>
        <v>1</v>
      </c>
      <c r="AA80" s="25">
        <f t="shared" si="14"/>
        <v>0</v>
      </c>
      <c r="AB80" s="3">
        <f t="shared" si="15"/>
        <v>0.2</v>
      </c>
      <c r="AC80" s="3">
        <f t="shared" si="16"/>
        <v>0.8</v>
      </c>
      <c r="AD80" s="3">
        <f t="shared" si="17"/>
        <v>0.16000000000000003</v>
      </c>
      <c r="AE80" s="33"/>
    </row>
    <row r="81" spans="1:31" ht="56" x14ac:dyDescent="0.3">
      <c r="A81" s="52" t="s">
        <v>711</v>
      </c>
      <c r="B81" s="25">
        <v>0</v>
      </c>
      <c r="C81" s="25">
        <v>0</v>
      </c>
      <c r="D81" s="25">
        <v>0</v>
      </c>
      <c r="E81" s="25">
        <v>0</v>
      </c>
      <c r="F81" s="25">
        <v>0</v>
      </c>
      <c r="G81" s="25">
        <v>1</v>
      </c>
      <c r="H81" s="25">
        <v>0</v>
      </c>
      <c r="I81" s="25">
        <v>0</v>
      </c>
      <c r="J81" s="25">
        <v>0</v>
      </c>
      <c r="K81" s="25">
        <v>1</v>
      </c>
      <c r="L81" s="3">
        <f t="shared" si="10"/>
        <v>0.2</v>
      </c>
      <c r="M81" s="26" t="str">
        <f t="shared" si="11"/>
        <v>sukar</v>
      </c>
      <c r="N81" s="3">
        <f t="shared" si="12"/>
        <v>0.4</v>
      </c>
      <c r="O81" s="26" t="str">
        <f t="shared" si="13"/>
        <v>soal diterima baik</v>
      </c>
      <c r="P81" s="33"/>
      <c r="Q81" s="26">
        <v>76</v>
      </c>
      <c r="R81" s="25">
        <f t="shared" si="18"/>
        <v>0</v>
      </c>
      <c r="S81" s="25">
        <f t="shared" si="18"/>
        <v>0</v>
      </c>
      <c r="T81" s="25">
        <f t="shared" si="18"/>
        <v>0</v>
      </c>
      <c r="U81" s="25">
        <f t="shared" si="18"/>
        <v>0</v>
      </c>
      <c r="V81" s="25">
        <f t="shared" si="18"/>
        <v>0</v>
      </c>
      <c r="W81" s="25">
        <f t="shared" si="14"/>
        <v>0</v>
      </c>
      <c r="X81" s="25">
        <f t="shared" si="14"/>
        <v>0</v>
      </c>
      <c r="Y81" s="25">
        <f t="shared" si="14"/>
        <v>1</v>
      </c>
      <c r="Z81" s="25">
        <f t="shared" si="14"/>
        <v>0</v>
      </c>
      <c r="AA81" s="25">
        <f t="shared" si="14"/>
        <v>1</v>
      </c>
      <c r="AB81" s="3">
        <f t="shared" si="15"/>
        <v>0.2</v>
      </c>
      <c r="AC81" s="3">
        <f t="shared" si="16"/>
        <v>0.8</v>
      </c>
      <c r="AD81" s="3">
        <f t="shared" si="17"/>
        <v>0.16000000000000003</v>
      </c>
      <c r="AE81" s="33"/>
    </row>
    <row r="82" spans="1:31" ht="98" x14ac:dyDescent="0.3">
      <c r="A82" s="52" t="s">
        <v>712</v>
      </c>
      <c r="B82" s="25">
        <v>1</v>
      </c>
      <c r="C82" s="25">
        <v>0</v>
      </c>
      <c r="D82" s="25">
        <v>0</v>
      </c>
      <c r="E82" s="25">
        <v>1</v>
      </c>
      <c r="F82" s="25">
        <v>0</v>
      </c>
      <c r="G82" s="25">
        <v>1</v>
      </c>
      <c r="H82" s="25">
        <v>1</v>
      </c>
      <c r="I82" s="25">
        <v>0</v>
      </c>
      <c r="J82" s="25">
        <v>1</v>
      </c>
      <c r="K82" s="25">
        <v>1</v>
      </c>
      <c r="L82" s="3">
        <f t="shared" si="10"/>
        <v>0.6</v>
      </c>
      <c r="M82" s="26" t="str">
        <f t="shared" si="11"/>
        <v>sedang</v>
      </c>
      <c r="N82" s="3">
        <f t="shared" si="12"/>
        <v>0.4</v>
      </c>
      <c r="O82" s="26" t="str">
        <f t="shared" si="13"/>
        <v>soal diterima baik</v>
      </c>
      <c r="P82" s="33"/>
      <c r="Q82" s="26">
        <v>77</v>
      </c>
      <c r="R82" s="25">
        <f t="shared" si="18"/>
        <v>0</v>
      </c>
      <c r="S82" s="25">
        <f t="shared" si="18"/>
        <v>0</v>
      </c>
      <c r="T82" s="25">
        <f t="shared" si="18"/>
        <v>0</v>
      </c>
      <c r="U82" s="25">
        <f t="shared" si="18"/>
        <v>0</v>
      </c>
      <c r="V82" s="25">
        <f t="shared" si="18"/>
        <v>0</v>
      </c>
      <c r="W82" s="25">
        <f t="shared" si="14"/>
        <v>1</v>
      </c>
      <c r="X82" s="25">
        <f t="shared" si="14"/>
        <v>0</v>
      </c>
      <c r="Y82" s="25">
        <f t="shared" si="14"/>
        <v>0</v>
      </c>
      <c r="Z82" s="25">
        <f t="shared" si="14"/>
        <v>0</v>
      </c>
      <c r="AA82" s="25">
        <f t="shared" si="14"/>
        <v>1</v>
      </c>
      <c r="AB82" s="3">
        <f t="shared" si="15"/>
        <v>0.2</v>
      </c>
      <c r="AC82" s="3">
        <f t="shared" si="16"/>
        <v>0.8</v>
      </c>
      <c r="AD82" s="3">
        <f t="shared" si="17"/>
        <v>0.16000000000000003</v>
      </c>
      <c r="AE82" s="33"/>
    </row>
    <row r="83" spans="1:31" ht="98" x14ac:dyDescent="0.3">
      <c r="A83" s="52" t="s">
        <v>713</v>
      </c>
      <c r="B83" s="25">
        <v>0</v>
      </c>
      <c r="C83" s="25">
        <v>1</v>
      </c>
      <c r="D83" s="25">
        <v>0</v>
      </c>
      <c r="E83" s="25">
        <v>0</v>
      </c>
      <c r="F83" s="25">
        <v>0</v>
      </c>
      <c r="G83" s="25">
        <v>0</v>
      </c>
      <c r="H83" s="25">
        <v>1</v>
      </c>
      <c r="I83" s="25">
        <v>0</v>
      </c>
      <c r="J83" s="25">
        <v>1</v>
      </c>
      <c r="K83" s="25">
        <v>1</v>
      </c>
      <c r="L83" s="3">
        <f t="shared" si="10"/>
        <v>0.4</v>
      </c>
      <c r="M83" s="26" t="str">
        <f t="shared" si="11"/>
        <v>sedang</v>
      </c>
      <c r="N83" s="3">
        <f t="shared" si="12"/>
        <v>0.4</v>
      </c>
      <c r="O83" s="26" t="str">
        <f t="shared" si="13"/>
        <v>soal diterima baik</v>
      </c>
      <c r="P83" s="33"/>
      <c r="Q83" s="26">
        <v>78</v>
      </c>
      <c r="R83" s="25">
        <f t="shared" si="18"/>
        <v>1</v>
      </c>
      <c r="S83" s="25">
        <f t="shared" si="18"/>
        <v>0</v>
      </c>
      <c r="T83" s="25">
        <f t="shared" si="18"/>
        <v>0</v>
      </c>
      <c r="U83" s="25">
        <f t="shared" si="18"/>
        <v>1</v>
      </c>
      <c r="V83" s="25">
        <f t="shared" si="18"/>
        <v>0</v>
      </c>
      <c r="W83" s="25">
        <f t="shared" si="14"/>
        <v>1</v>
      </c>
      <c r="X83" s="25">
        <f t="shared" si="14"/>
        <v>1</v>
      </c>
      <c r="Y83" s="25">
        <f t="shared" si="14"/>
        <v>0</v>
      </c>
      <c r="Z83" s="25">
        <f t="shared" si="14"/>
        <v>1</v>
      </c>
      <c r="AA83" s="25">
        <f t="shared" si="14"/>
        <v>1</v>
      </c>
      <c r="AB83" s="3">
        <f t="shared" si="15"/>
        <v>0.6</v>
      </c>
      <c r="AC83" s="3">
        <f t="shared" si="16"/>
        <v>0.4</v>
      </c>
      <c r="AD83" s="3">
        <f t="shared" si="17"/>
        <v>0.24</v>
      </c>
      <c r="AE83" s="33"/>
    </row>
    <row r="84" spans="1:31" ht="28" x14ac:dyDescent="0.3">
      <c r="A84" s="53" t="s">
        <v>714</v>
      </c>
      <c r="B84" s="25">
        <v>0</v>
      </c>
      <c r="C84" s="25">
        <v>0</v>
      </c>
      <c r="D84" s="25">
        <v>0</v>
      </c>
      <c r="E84" s="25">
        <v>1</v>
      </c>
      <c r="F84" s="25">
        <v>0</v>
      </c>
      <c r="G84" s="25">
        <v>1</v>
      </c>
      <c r="H84" s="25">
        <v>0</v>
      </c>
      <c r="I84" s="25">
        <v>1</v>
      </c>
      <c r="J84" s="25">
        <v>0</v>
      </c>
      <c r="K84" s="25">
        <v>1</v>
      </c>
      <c r="L84" s="3">
        <f t="shared" si="10"/>
        <v>0.4</v>
      </c>
      <c r="M84" s="26" t="str">
        <f t="shared" si="11"/>
        <v>sedang</v>
      </c>
      <c r="N84" s="3">
        <f t="shared" si="12"/>
        <v>0.4</v>
      </c>
      <c r="O84" s="26" t="str">
        <f t="shared" si="13"/>
        <v>soal diterima baik</v>
      </c>
      <c r="P84" s="33"/>
      <c r="Q84" s="26">
        <v>79</v>
      </c>
      <c r="R84" s="25">
        <f t="shared" si="18"/>
        <v>0</v>
      </c>
      <c r="S84" s="25">
        <f t="shared" si="18"/>
        <v>1</v>
      </c>
      <c r="T84" s="25">
        <f t="shared" si="18"/>
        <v>0</v>
      </c>
      <c r="U84" s="25">
        <f t="shared" si="18"/>
        <v>0</v>
      </c>
      <c r="V84" s="25">
        <f t="shared" si="18"/>
        <v>0</v>
      </c>
      <c r="W84" s="25">
        <f t="shared" si="14"/>
        <v>0</v>
      </c>
      <c r="X84" s="25">
        <f t="shared" si="14"/>
        <v>1</v>
      </c>
      <c r="Y84" s="25">
        <f t="shared" si="14"/>
        <v>0</v>
      </c>
      <c r="Z84" s="25">
        <f t="shared" si="14"/>
        <v>1</v>
      </c>
      <c r="AA84" s="25">
        <f t="shared" si="14"/>
        <v>1</v>
      </c>
      <c r="AB84" s="3">
        <f t="shared" si="15"/>
        <v>0.4</v>
      </c>
      <c r="AC84" s="3">
        <f t="shared" si="16"/>
        <v>0.6</v>
      </c>
      <c r="AD84" s="3">
        <f t="shared" si="17"/>
        <v>0.24</v>
      </c>
      <c r="AE84" s="33"/>
    </row>
    <row r="85" spans="1:31" ht="42" x14ac:dyDescent="0.3">
      <c r="A85" s="52" t="s">
        <v>715</v>
      </c>
      <c r="B85" s="25">
        <v>0</v>
      </c>
      <c r="C85" s="25">
        <v>1</v>
      </c>
      <c r="D85" s="25">
        <v>1</v>
      </c>
      <c r="E85" s="25">
        <v>0</v>
      </c>
      <c r="F85" s="25">
        <v>0</v>
      </c>
      <c r="G85" s="25">
        <v>0</v>
      </c>
      <c r="H85" s="25">
        <v>0</v>
      </c>
      <c r="I85" s="25">
        <v>0</v>
      </c>
      <c r="J85" s="25">
        <v>0</v>
      </c>
      <c r="K85" s="25">
        <v>0</v>
      </c>
      <c r="L85" s="3">
        <f t="shared" si="10"/>
        <v>0.2</v>
      </c>
      <c r="M85" s="26" t="str">
        <f t="shared" si="11"/>
        <v>sukar</v>
      </c>
      <c r="N85" s="3">
        <f t="shared" si="12"/>
        <v>0.4</v>
      </c>
      <c r="O85" s="26" t="str">
        <f t="shared" si="13"/>
        <v>soal diterima baik</v>
      </c>
      <c r="P85" s="33"/>
      <c r="Q85" s="26">
        <v>80</v>
      </c>
      <c r="R85" s="25">
        <f t="shared" si="18"/>
        <v>0</v>
      </c>
      <c r="S85" s="25">
        <f t="shared" si="18"/>
        <v>0</v>
      </c>
      <c r="T85" s="25">
        <f t="shared" si="18"/>
        <v>0</v>
      </c>
      <c r="U85" s="25">
        <f t="shared" si="18"/>
        <v>1</v>
      </c>
      <c r="V85" s="25">
        <f t="shared" si="18"/>
        <v>0</v>
      </c>
      <c r="W85" s="25">
        <f t="shared" si="14"/>
        <v>1</v>
      </c>
      <c r="X85" s="25">
        <f t="shared" si="14"/>
        <v>0</v>
      </c>
      <c r="Y85" s="25">
        <f t="shared" si="14"/>
        <v>1</v>
      </c>
      <c r="Z85" s="25">
        <f t="shared" si="14"/>
        <v>0</v>
      </c>
      <c r="AA85" s="25">
        <f t="shared" si="14"/>
        <v>1</v>
      </c>
      <c r="AB85" s="3">
        <f t="shared" si="15"/>
        <v>0.4</v>
      </c>
      <c r="AC85" s="3">
        <f t="shared" si="16"/>
        <v>0.6</v>
      </c>
      <c r="AD85" s="3">
        <f t="shared" si="17"/>
        <v>0.24</v>
      </c>
      <c r="AE85" s="33"/>
    </row>
    <row r="86" spans="1:31" ht="28" x14ac:dyDescent="0.3">
      <c r="A86" s="52" t="s">
        <v>716</v>
      </c>
      <c r="B86" s="25">
        <v>0</v>
      </c>
      <c r="C86" s="25">
        <v>0</v>
      </c>
      <c r="D86" s="25">
        <v>0</v>
      </c>
      <c r="E86" s="25">
        <v>0</v>
      </c>
      <c r="F86" s="25">
        <v>0</v>
      </c>
      <c r="G86" s="25">
        <v>0</v>
      </c>
      <c r="H86" s="25">
        <v>1</v>
      </c>
      <c r="I86" s="25">
        <v>0</v>
      </c>
      <c r="J86" s="25">
        <v>0</v>
      </c>
      <c r="K86" s="25">
        <v>1</v>
      </c>
      <c r="L86" s="3">
        <f t="shared" si="10"/>
        <v>0.2</v>
      </c>
      <c r="M86" s="26" t="str">
        <f t="shared" si="11"/>
        <v>sukar</v>
      </c>
      <c r="N86" s="3">
        <f t="shared" si="12"/>
        <v>0.4</v>
      </c>
      <c r="O86" s="26" t="str">
        <f t="shared" si="13"/>
        <v>soal diterima baik</v>
      </c>
      <c r="P86" s="33"/>
      <c r="Q86" s="26">
        <v>81</v>
      </c>
      <c r="R86" s="25">
        <f t="shared" si="18"/>
        <v>0</v>
      </c>
      <c r="S86" s="25">
        <f t="shared" si="18"/>
        <v>1</v>
      </c>
      <c r="T86" s="25">
        <f t="shared" si="18"/>
        <v>1</v>
      </c>
      <c r="U86" s="25">
        <f t="shared" si="18"/>
        <v>0</v>
      </c>
      <c r="V86" s="25">
        <f t="shared" si="18"/>
        <v>0</v>
      </c>
      <c r="W86" s="25">
        <f t="shared" si="14"/>
        <v>0</v>
      </c>
      <c r="X86" s="25">
        <f t="shared" si="14"/>
        <v>0</v>
      </c>
      <c r="Y86" s="25">
        <f t="shared" si="14"/>
        <v>0</v>
      </c>
      <c r="Z86" s="25">
        <f t="shared" si="14"/>
        <v>0</v>
      </c>
      <c r="AA86" s="25">
        <f t="shared" si="14"/>
        <v>0</v>
      </c>
      <c r="AB86" s="3">
        <f t="shared" si="15"/>
        <v>0.2</v>
      </c>
      <c r="AC86" s="3">
        <f t="shared" si="16"/>
        <v>0.8</v>
      </c>
      <c r="AD86" s="3">
        <f t="shared" si="17"/>
        <v>0.16000000000000003</v>
      </c>
      <c r="AE86" s="33"/>
    </row>
    <row r="87" spans="1:31" ht="42" x14ac:dyDescent="0.3">
      <c r="A87" s="52" t="s">
        <v>717</v>
      </c>
      <c r="B87" s="25">
        <v>1</v>
      </c>
      <c r="C87" s="25">
        <v>1</v>
      </c>
      <c r="D87" s="25">
        <v>1</v>
      </c>
      <c r="E87" s="25">
        <v>1</v>
      </c>
      <c r="F87" s="25">
        <v>1</v>
      </c>
      <c r="G87" s="25">
        <v>1</v>
      </c>
      <c r="H87" s="25">
        <v>0</v>
      </c>
      <c r="I87" s="25">
        <v>0</v>
      </c>
      <c r="J87" s="25">
        <v>0</v>
      </c>
      <c r="K87" s="25">
        <v>0</v>
      </c>
      <c r="L87" s="3">
        <f t="shared" si="10"/>
        <v>0.6</v>
      </c>
      <c r="M87" s="26" t="str">
        <f t="shared" si="11"/>
        <v>sedang</v>
      </c>
      <c r="N87" s="3">
        <f t="shared" si="12"/>
        <v>0.8</v>
      </c>
      <c r="O87" s="26" t="str">
        <f t="shared" si="13"/>
        <v>soal diterima baik</v>
      </c>
      <c r="P87" s="33"/>
      <c r="Q87" s="26">
        <v>82</v>
      </c>
      <c r="R87" s="25">
        <f t="shared" si="18"/>
        <v>0</v>
      </c>
      <c r="S87" s="25">
        <f t="shared" si="18"/>
        <v>0</v>
      </c>
      <c r="T87" s="25">
        <f t="shared" si="18"/>
        <v>0</v>
      </c>
      <c r="U87" s="25">
        <f t="shared" si="18"/>
        <v>0</v>
      </c>
      <c r="V87" s="25">
        <f t="shared" si="18"/>
        <v>0</v>
      </c>
      <c r="W87" s="25">
        <f t="shared" si="14"/>
        <v>0</v>
      </c>
      <c r="X87" s="25">
        <f t="shared" si="14"/>
        <v>1</v>
      </c>
      <c r="Y87" s="25">
        <f t="shared" si="14"/>
        <v>0</v>
      </c>
      <c r="Z87" s="25">
        <f t="shared" si="14"/>
        <v>0</v>
      </c>
      <c r="AA87" s="25">
        <f t="shared" si="14"/>
        <v>1</v>
      </c>
      <c r="AB87" s="3">
        <f t="shared" si="15"/>
        <v>0.2</v>
      </c>
      <c r="AC87" s="3">
        <f t="shared" si="16"/>
        <v>0.8</v>
      </c>
      <c r="AD87" s="3">
        <f t="shared" si="17"/>
        <v>0.16000000000000003</v>
      </c>
      <c r="AE87" s="33"/>
    </row>
    <row r="88" spans="1:31" ht="70" x14ac:dyDescent="0.3">
      <c r="A88" s="52" t="s">
        <v>718</v>
      </c>
      <c r="B88" s="25">
        <v>1</v>
      </c>
      <c r="C88" s="25">
        <v>0</v>
      </c>
      <c r="D88" s="25">
        <v>1</v>
      </c>
      <c r="E88" s="25">
        <v>1</v>
      </c>
      <c r="F88" s="25">
        <v>0</v>
      </c>
      <c r="G88" s="25">
        <v>1</v>
      </c>
      <c r="H88" s="25">
        <v>0</v>
      </c>
      <c r="I88" s="25">
        <v>0</v>
      </c>
      <c r="J88" s="25">
        <v>0</v>
      </c>
      <c r="K88" s="25">
        <v>0</v>
      </c>
      <c r="L88" s="3">
        <f t="shared" si="10"/>
        <v>0.4</v>
      </c>
      <c r="M88" s="26" t="str">
        <f t="shared" si="11"/>
        <v>sedang</v>
      </c>
      <c r="N88" s="3">
        <f t="shared" si="12"/>
        <v>0.4</v>
      </c>
      <c r="O88" s="26" t="str">
        <f t="shared" si="13"/>
        <v>soal diterima baik</v>
      </c>
      <c r="P88" s="33"/>
      <c r="Q88" s="26">
        <v>83</v>
      </c>
      <c r="R88" s="25">
        <f t="shared" si="18"/>
        <v>1</v>
      </c>
      <c r="S88" s="25">
        <f t="shared" si="18"/>
        <v>1</v>
      </c>
      <c r="T88" s="25">
        <f t="shared" si="18"/>
        <v>1</v>
      </c>
      <c r="U88" s="25">
        <f t="shared" si="18"/>
        <v>1</v>
      </c>
      <c r="V88" s="25">
        <f t="shared" si="18"/>
        <v>1</v>
      </c>
      <c r="W88" s="25">
        <f t="shared" si="14"/>
        <v>1</v>
      </c>
      <c r="X88" s="25">
        <f t="shared" si="14"/>
        <v>0</v>
      </c>
      <c r="Y88" s="25">
        <f t="shared" si="14"/>
        <v>0</v>
      </c>
      <c r="Z88" s="25">
        <f t="shared" si="14"/>
        <v>0</v>
      </c>
      <c r="AA88" s="25">
        <f t="shared" si="14"/>
        <v>0</v>
      </c>
      <c r="AB88" s="3">
        <f t="shared" si="15"/>
        <v>0.6</v>
      </c>
      <c r="AC88" s="3">
        <f t="shared" si="16"/>
        <v>0.4</v>
      </c>
      <c r="AD88" s="3">
        <f t="shared" si="17"/>
        <v>0.24</v>
      </c>
      <c r="AE88" s="33"/>
    </row>
    <row r="89" spans="1:31" ht="42" x14ac:dyDescent="0.3">
      <c r="A89" s="54" t="s">
        <v>719</v>
      </c>
      <c r="B89" s="25">
        <v>1</v>
      </c>
      <c r="C89" s="25">
        <v>0</v>
      </c>
      <c r="D89" s="25">
        <v>1</v>
      </c>
      <c r="E89" s="25">
        <v>1</v>
      </c>
      <c r="F89" s="25">
        <v>1</v>
      </c>
      <c r="G89" s="25">
        <v>1</v>
      </c>
      <c r="H89" s="25">
        <v>0</v>
      </c>
      <c r="I89" s="25">
        <v>1</v>
      </c>
      <c r="J89" s="25">
        <v>0</v>
      </c>
      <c r="K89" s="25">
        <v>0</v>
      </c>
      <c r="L89" s="3">
        <f t="shared" si="10"/>
        <v>0.6</v>
      </c>
      <c r="M89" s="26" t="str">
        <f t="shared" si="11"/>
        <v>sedang</v>
      </c>
      <c r="N89" s="3">
        <f t="shared" si="12"/>
        <v>0.4</v>
      </c>
      <c r="O89" s="26" t="str">
        <f t="shared" si="13"/>
        <v>soal diterima baik</v>
      </c>
      <c r="P89" s="33"/>
      <c r="Q89" s="26">
        <v>84</v>
      </c>
      <c r="R89" s="25">
        <f t="shared" si="18"/>
        <v>1</v>
      </c>
      <c r="S89" s="25">
        <f t="shared" si="18"/>
        <v>0</v>
      </c>
      <c r="T89" s="25">
        <f t="shared" si="18"/>
        <v>1</v>
      </c>
      <c r="U89" s="25">
        <f t="shared" si="18"/>
        <v>1</v>
      </c>
      <c r="V89" s="25">
        <f t="shared" si="18"/>
        <v>0</v>
      </c>
      <c r="W89" s="25">
        <f t="shared" si="14"/>
        <v>1</v>
      </c>
      <c r="X89" s="25">
        <f t="shared" si="14"/>
        <v>0</v>
      </c>
      <c r="Y89" s="25">
        <f t="shared" si="14"/>
        <v>0</v>
      </c>
      <c r="Z89" s="25">
        <f t="shared" si="14"/>
        <v>0</v>
      </c>
      <c r="AA89" s="25">
        <f t="shared" si="14"/>
        <v>0</v>
      </c>
      <c r="AB89" s="3">
        <f t="shared" si="15"/>
        <v>0.4</v>
      </c>
      <c r="AC89" s="3">
        <f t="shared" si="16"/>
        <v>0.6</v>
      </c>
      <c r="AD89" s="3">
        <f t="shared" si="17"/>
        <v>0.24</v>
      </c>
      <c r="AE89" s="33"/>
    </row>
    <row r="90" spans="1:31" ht="42" x14ac:dyDescent="0.3">
      <c r="A90" s="54" t="s">
        <v>720</v>
      </c>
      <c r="B90" s="25">
        <v>0</v>
      </c>
      <c r="C90" s="25">
        <v>0</v>
      </c>
      <c r="D90" s="25">
        <v>0</v>
      </c>
      <c r="E90" s="25">
        <v>0</v>
      </c>
      <c r="F90" s="25">
        <v>0</v>
      </c>
      <c r="G90" s="25">
        <v>1</v>
      </c>
      <c r="H90" s="25">
        <v>1</v>
      </c>
      <c r="I90" s="25">
        <v>0</v>
      </c>
      <c r="J90" s="25">
        <v>1</v>
      </c>
      <c r="K90" s="25">
        <v>1</v>
      </c>
      <c r="L90" s="3">
        <f t="shared" si="10"/>
        <v>0.4</v>
      </c>
      <c r="M90" s="26" t="str">
        <f t="shared" si="11"/>
        <v>sedang</v>
      </c>
      <c r="N90" s="3">
        <f t="shared" si="12"/>
        <v>0.8</v>
      </c>
      <c r="O90" s="26" t="str">
        <f t="shared" si="13"/>
        <v>soal diterima baik</v>
      </c>
      <c r="P90" s="33"/>
      <c r="Q90" s="26">
        <v>85</v>
      </c>
      <c r="R90" s="25">
        <f t="shared" si="18"/>
        <v>1</v>
      </c>
      <c r="S90" s="25">
        <f t="shared" si="18"/>
        <v>0</v>
      </c>
      <c r="T90" s="25">
        <f t="shared" si="18"/>
        <v>1</v>
      </c>
      <c r="U90" s="25">
        <f t="shared" si="18"/>
        <v>1</v>
      </c>
      <c r="V90" s="25">
        <f t="shared" si="18"/>
        <v>1</v>
      </c>
      <c r="W90" s="25">
        <f t="shared" si="14"/>
        <v>1</v>
      </c>
      <c r="X90" s="25">
        <f t="shared" si="14"/>
        <v>0</v>
      </c>
      <c r="Y90" s="25">
        <f t="shared" si="14"/>
        <v>1</v>
      </c>
      <c r="Z90" s="25">
        <f t="shared" si="14"/>
        <v>0</v>
      </c>
      <c r="AA90" s="25">
        <f t="shared" si="14"/>
        <v>0</v>
      </c>
      <c r="AB90" s="3">
        <f t="shared" si="15"/>
        <v>0.6</v>
      </c>
      <c r="AC90" s="3">
        <f t="shared" si="16"/>
        <v>0.4</v>
      </c>
      <c r="AD90" s="3">
        <f t="shared" si="17"/>
        <v>0.24</v>
      </c>
      <c r="AE90" s="33"/>
    </row>
    <row r="91" spans="1:31" ht="98" x14ac:dyDescent="0.3">
      <c r="A91" s="54" t="s">
        <v>721</v>
      </c>
      <c r="B91" s="25">
        <v>1</v>
      </c>
      <c r="C91" s="25">
        <v>0</v>
      </c>
      <c r="D91" s="25">
        <v>1</v>
      </c>
      <c r="E91" s="25">
        <v>1</v>
      </c>
      <c r="F91" s="25">
        <v>1</v>
      </c>
      <c r="G91" s="25">
        <v>0</v>
      </c>
      <c r="H91" s="25">
        <v>1</v>
      </c>
      <c r="I91" s="25">
        <v>1</v>
      </c>
      <c r="J91" s="25">
        <v>0</v>
      </c>
      <c r="K91" s="25">
        <v>0</v>
      </c>
      <c r="L91" s="3">
        <f t="shared" si="10"/>
        <v>0.6</v>
      </c>
      <c r="M91" s="26" t="str">
        <f t="shared" si="11"/>
        <v>sedang</v>
      </c>
      <c r="N91" s="3">
        <f t="shared" si="12"/>
        <v>0.4</v>
      </c>
      <c r="O91" s="26" t="str">
        <f t="shared" si="13"/>
        <v>soal diterima baik</v>
      </c>
      <c r="P91" s="33"/>
      <c r="Q91" s="26">
        <v>86</v>
      </c>
      <c r="R91" s="25">
        <f t="shared" si="18"/>
        <v>0</v>
      </c>
      <c r="S91" s="25">
        <f t="shared" si="18"/>
        <v>0</v>
      </c>
      <c r="T91" s="25">
        <f t="shared" si="18"/>
        <v>0</v>
      </c>
      <c r="U91" s="25">
        <f t="shared" si="18"/>
        <v>0</v>
      </c>
      <c r="V91" s="25">
        <f t="shared" si="18"/>
        <v>0</v>
      </c>
      <c r="W91" s="25">
        <f t="shared" si="14"/>
        <v>1</v>
      </c>
      <c r="X91" s="25">
        <f t="shared" si="14"/>
        <v>1</v>
      </c>
      <c r="Y91" s="25">
        <f t="shared" si="14"/>
        <v>0</v>
      </c>
      <c r="Z91" s="25">
        <f t="shared" si="14"/>
        <v>1</v>
      </c>
      <c r="AA91" s="25">
        <f t="shared" si="14"/>
        <v>1</v>
      </c>
      <c r="AB91" s="3">
        <f t="shared" si="15"/>
        <v>0.4</v>
      </c>
      <c r="AC91" s="3">
        <f t="shared" si="16"/>
        <v>0.6</v>
      </c>
      <c r="AD91" s="3">
        <f t="shared" si="17"/>
        <v>0.24</v>
      </c>
      <c r="AE91" s="33"/>
    </row>
    <row r="92" spans="1:31" ht="98" x14ac:dyDescent="0.3">
      <c r="A92" s="52" t="s">
        <v>722</v>
      </c>
      <c r="B92" s="25">
        <v>1</v>
      </c>
      <c r="C92" s="25">
        <v>1</v>
      </c>
      <c r="D92" s="25">
        <v>1</v>
      </c>
      <c r="E92" s="25">
        <v>1</v>
      </c>
      <c r="F92" s="25">
        <v>0</v>
      </c>
      <c r="G92" s="25">
        <v>0</v>
      </c>
      <c r="H92" s="25">
        <v>0</v>
      </c>
      <c r="I92" s="25">
        <v>0</v>
      </c>
      <c r="J92" s="25">
        <v>0</v>
      </c>
      <c r="K92" s="25">
        <v>0</v>
      </c>
      <c r="L92" s="3">
        <f t="shared" si="10"/>
        <v>0.4</v>
      </c>
      <c r="M92" s="26" t="str">
        <f t="shared" si="11"/>
        <v>sedang</v>
      </c>
      <c r="N92" s="3">
        <f t="shared" si="12"/>
        <v>0.8</v>
      </c>
      <c r="O92" s="26" t="str">
        <f t="shared" si="13"/>
        <v>soal diterima baik</v>
      </c>
      <c r="P92" s="33"/>
      <c r="Q92" s="26">
        <v>87</v>
      </c>
      <c r="R92" s="25">
        <f t="shared" si="18"/>
        <v>1</v>
      </c>
      <c r="S92" s="25">
        <f t="shared" si="18"/>
        <v>0</v>
      </c>
      <c r="T92" s="25">
        <f t="shared" si="18"/>
        <v>1</v>
      </c>
      <c r="U92" s="25">
        <f t="shared" si="18"/>
        <v>1</v>
      </c>
      <c r="V92" s="25">
        <f t="shared" si="18"/>
        <v>1</v>
      </c>
      <c r="W92" s="25">
        <f t="shared" si="14"/>
        <v>0</v>
      </c>
      <c r="X92" s="25">
        <f t="shared" si="14"/>
        <v>1</v>
      </c>
      <c r="Y92" s="25">
        <f t="shared" si="14"/>
        <v>1</v>
      </c>
      <c r="Z92" s="25">
        <f t="shared" si="14"/>
        <v>0</v>
      </c>
      <c r="AA92" s="25">
        <f t="shared" si="14"/>
        <v>0</v>
      </c>
      <c r="AB92" s="3">
        <f t="shared" si="15"/>
        <v>0.6</v>
      </c>
      <c r="AC92" s="3">
        <f t="shared" si="16"/>
        <v>0.4</v>
      </c>
      <c r="AD92" s="3">
        <f t="shared" si="17"/>
        <v>0.24</v>
      </c>
      <c r="AE92" s="33"/>
    </row>
    <row r="93" spans="1:31" ht="70" x14ac:dyDescent="0.3">
      <c r="A93" s="52" t="s">
        <v>723</v>
      </c>
      <c r="B93" s="25">
        <v>0</v>
      </c>
      <c r="C93" s="25">
        <v>0</v>
      </c>
      <c r="D93" s="25">
        <v>0</v>
      </c>
      <c r="E93" s="25">
        <v>1</v>
      </c>
      <c r="F93" s="25">
        <v>0</v>
      </c>
      <c r="G93" s="25">
        <v>1</v>
      </c>
      <c r="H93" s="25">
        <v>1</v>
      </c>
      <c r="I93" s="25">
        <v>1</v>
      </c>
      <c r="J93" s="25">
        <v>1</v>
      </c>
      <c r="K93" s="25">
        <v>1</v>
      </c>
      <c r="L93" s="3">
        <f t="shared" si="10"/>
        <v>0.6</v>
      </c>
      <c r="M93" s="26" t="str">
        <f t="shared" si="11"/>
        <v>sedang</v>
      </c>
      <c r="N93" s="3">
        <f t="shared" si="12"/>
        <v>0.8</v>
      </c>
      <c r="O93" s="26" t="str">
        <f t="shared" si="13"/>
        <v>soal diterima baik</v>
      </c>
      <c r="P93" s="33"/>
      <c r="Q93" s="26">
        <v>88</v>
      </c>
      <c r="R93" s="25">
        <f t="shared" si="18"/>
        <v>1</v>
      </c>
      <c r="S93" s="25">
        <f t="shared" si="18"/>
        <v>1</v>
      </c>
      <c r="T93" s="25">
        <f t="shared" si="18"/>
        <v>1</v>
      </c>
      <c r="U93" s="25">
        <f t="shared" si="18"/>
        <v>1</v>
      </c>
      <c r="V93" s="25">
        <f t="shared" si="18"/>
        <v>0</v>
      </c>
      <c r="W93" s="25">
        <f t="shared" si="14"/>
        <v>0</v>
      </c>
      <c r="X93" s="25">
        <f t="shared" si="14"/>
        <v>0</v>
      </c>
      <c r="Y93" s="25">
        <f t="shared" si="14"/>
        <v>0</v>
      </c>
      <c r="Z93" s="25">
        <f t="shared" si="14"/>
        <v>0</v>
      </c>
      <c r="AA93" s="25">
        <f t="shared" si="14"/>
        <v>0</v>
      </c>
      <c r="AB93" s="3">
        <f t="shared" si="15"/>
        <v>0.4</v>
      </c>
      <c r="AC93" s="3">
        <f t="shared" si="16"/>
        <v>0.6</v>
      </c>
      <c r="AD93" s="3">
        <f t="shared" si="17"/>
        <v>0.24</v>
      </c>
      <c r="AE93" s="33"/>
    </row>
    <row r="94" spans="1:31" ht="70" x14ac:dyDescent="0.3">
      <c r="A94" s="54" t="s">
        <v>724</v>
      </c>
      <c r="B94" s="25">
        <v>0</v>
      </c>
      <c r="C94" s="25">
        <v>0</v>
      </c>
      <c r="D94" s="25">
        <v>1</v>
      </c>
      <c r="E94" s="25">
        <v>1</v>
      </c>
      <c r="F94" s="25">
        <v>0</v>
      </c>
      <c r="G94" s="25">
        <v>1</v>
      </c>
      <c r="H94" s="25">
        <v>1</v>
      </c>
      <c r="I94" s="25">
        <v>1</v>
      </c>
      <c r="J94" s="25">
        <v>0</v>
      </c>
      <c r="K94" s="25">
        <v>1</v>
      </c>
      <c r="L94" s="3">
        <f t="shared" si="10"/>
        <v>0.6</v>
      </c>
      <c r="M94" s="26" t="str">
        <f t="shared" si="11"/>
        <v>sedang</v>
      </c>
      <c r="N94" s="3">
        <f t="shared" si="12"/>
        <v>0.4</v>
      </c>
      <c r="O94" s="26" t="str">
        <f t="shared" si="13"/>
        <v>soal diterima baik</v>
      </c>
      <c r="P94" s="33"/>
      <c r="Q94" s="26">
        <v>89</v>
      </c>
      <c r="R94" s="25">
        <f t="shared" si="18"/>
        <v>0</v>
      </c>
      <c r="S94" s="25">
        <f t="shared" si="18"/>
        <v>0</v>
      </c>
      <c r="T94" s="25">
        <f t="shared" si="18"/>
        <v>0</v>
      </c>
      <c r="U94" s="25">
        <f t="shared" si="18"/>
        <v>1</v>
      </c>
      <c r="V94" s="25">
        <f t="shared" si="18"/>
        <v>0</v>
      </c>
      <c r="W94" s="25">
        <f t="shared" si="14"/>
        <v>1</v>
      </c>
      <c r="X94" s="25">
        <f t="shared" si="14"/>
        <v>1</v>
      </c>
      <c r="Y94" s="25">
        <f t="shared" si="14"/>
        <v>1</v>
      </c>
      <c r="Z94" s="25">
        <f t="shared" si="14"/>
        <v>1</v>
      </c>
      <c r="AA94" s="25">
        <f t="shared" si="14"/>
        <v>1</v>
      </c>
      <c r="AB94" s="3">
        <f t="shared" si="15"/>
        <v>0.6</v>
      </c>
      <c r="AC94" s="3">
        <f t="shared" si="16"/>
        <v>0.4</v>
      </c>
      <c r="AD94" s="3">
        <f t="shared" si="17"/>
        <v>0.24</v>
      </c>
      <c r="AE94" s="33"/>
    </row>
    <row r="95" spans="1:31" ht="56" x14ac:dyDescent="0.3">
      <c r="A95" s="54" t="s">
        <v>302</v>
      </c>
      <c r="B95" s="25">
        <v>0</v>
      </c>
      <c r="C95" s="25">
        <v>0</v>
      </c>
      <c r="D95" s="25">
        <v>0</v>
      </c>
      <c r="E95" s="25">
        <v>0</v>
      </c>
      <c r="F95" s="25">
        <v>0</v>
      </c>
      <c r="G95" s="25">
        <v>1</v>
      </c>
      <c r="H95" s="25">
        <v>0</v>
      </c>
      <c r="I95" s="25">
        <v>1</v>
      </c>
      <c r="J95" s="25">
        <v>1</v>
      </c>
      <c r="K95" s="25">
        <v>1</v>
      </c>
      <c r="L95" s="3">
        <f t="shared" si="10"/>
        <v>0.4</v>
      </c>
      <c r="M95" s="26" t="str">
        <f t="shared" si="11"/>
        <v>sedang</v>
      </c>
      <c r="N95" s="3">
        <f t="shared" si="12"/>
        <v>0.8</v>
      </c>
      <c r="O95" s="26" t="str">
        <f t="shared" si="13"/>
        <v>soal diterima baik</v>
      </c>
      <c r="P95" s="33"/>
      <c r="Q95" s="26">
        <v>90</v>
      </c>
      <c r="R95" s="25">
        <f t="shared" si="18"/>
        <v>0</v>
      </c>
      <c r="S95" s="25">
        <f t="shared" si="18"/>
        <v>0</v>
      </c>
      <c r="T95" s="25">
        <f t="shared" si="18"/>
        <v>1</v>
      </c>
      <c r="U95" s="25">
        <f t="shared" si="18"/>
        <v>1</v>
      </c>
      <c r="V95" s="25">
        <f t="shared" si="18"/>
        <v>0</v>
      </c>
      <c r="W95" s="25">
        <f t="shared" si="14"/>
        <v>1</v>
      </c>
      <c r="X95" s="25">
        <f t="shared" si="14"/>
        <v>1</v>
      </c>
      <c r="Y95" s="25">
        <f t="shared" si="14"/>
        <v>1</v>
      </c>
      <c r="Z95" s="25">
        <f t="shared" si="14"/>
        <v>0</v>
      </c>
      <c r="AA95" s="25">
        <f t="shared" si="14"/>
        <v>1</v>
      </c>
      <c r="AB95" s="3">
        <f t="shared" si="15"/>
        <v>0.6</v>
      </c>
      <c r="AC95" s="3">
        <f t="shared" si="16"/>
        <v>0.4</v>
      </c>
      <c r="AD95" s="3">
        <f t="shared" si="17"/>
        <v>0.24</v>
      </c>
      <c r="AE95" s="33"/>
    </row>
    <row r="96" spans="1:31" ht="70" x14ac:dyDescent="0.3">
      <c r="A96" s="54" t="s">
        <v>303</v>
      </c>
      <c r="B96" s="25">
        <v>1</v>
      </c>
      <c r="C96" s="25">
        <v>1</v>
      </c>
      <c r="D96" s="25">
        <v>1</v>
      </c>
      <c r="E96" s="25">
        <v>1</v>
      </c>
      <c r="F96" s="25">
        <v>1</v>
      </c>
      <c r="G96" s="25">
        <v>0</v>
      </c>
      <c r="H96" s="25">
        <v>1</v>
      </c>
      <c r="I96" s="25">
        <v>1</v>
      </c>
      <c r="J96" s="25">
        <v>1</v>
      </c>
      <c r="K96" s="25">
        <v>0</v>
      </c>
      <c r="L96" s="3">
        <f t="shared" si="10"/>
        <v>0.8</v>
      </c>
      <c r="M96" s="26" t="str">
        <f t="shared" si="11"/>
        <v>mudah</v>
      </c>
      <c r="N96" s="3">
        <f t="shared" si="12"/>
        <v>0.4</v>
      </c>
      <c r="O96" s="26" t="str">
        <f t="shared" si="13"/>
        <v>soal diterima baik</v>
      </c>
      <c r="P96" s="33"/>
      <c r="Q96" s="26">
        <v>91</v>
      </c>
      <c r="R96" s="25">
        <f t="shared" si="18"/>
        <v>0</v>
      </c>
      <c r="S96" s="25">
        <f t="shared" si="18"/>
        <v>0</v>
      </c>
      <c r="T96" s="25">
        <f t="shared" si="18"/>
        <v>0</v>
      </c>
      <c r="U96" s="25">
        <f t="shared" si="18"/>
        <v>0</v>
      </c>
      <c r="V96" s="25">
        <f t="shared" si="18"/>
        <v>0</v>
      </c>
      <c r="W96" s="25">
        <f t="shared" si="14"/>
        <v>1</v>
      </c>
      <c r="X96" s="25">
        <f t="shared" si="14"/>
        <v>0</v>
      </c>
      <c r="Y96" s="25">
        <f t="shared" si="14"/>
        <v>1</v>
      </c>
      <c r="Z96" s="25">
        <f t="shared" si="14"/>
        <v>1</v>
      </c>
      <c r="AA96" s="25">
        <f t="shared" si="14"/>
        <v>1</v>
      </c>
      <c r="AB96" s="3">
        <f t="shared" si="15"/>
        <v>0.4</v>
      </c>
      <c r="AC96" s="3">
        <f t="shared" si="16"/>
        <v>0.6</v>
      </c>
      <c r="AD96" s="3">
        <f t="shared" si="17"/>
        <v>0.24</v>
      </c>
      <c r="AE96" s="33"/>
    </row>
    <row r="97" spans="1:33" ht="42" x14ac:dyDescent="0.3">
      <c r="A97" s="53" t="s">
        <v>330</v>
      </c>
      <c r="B97" s="25">
        <v>0</v>
      </c>
      <c r="C97" s="25">
        <v>0</v>
      </c>
      <c r="D97" s="25">
        <v>0</v>
      </c>
      <c r="E97" s="25">
        <v>0</v>
      </c>
      <c r="F97" s="25">
        <v>0</v>
      </c>
      <c r="G97" s="25">
        <v>0</v>
      </c>
      <c r="H97" s="25">
        <v>1</v>
      </c>
      <c r="I97" s="25">
        <v>0</v>
      </c>
      <c r="J97" s="25">
        <v>1</v>
      </c>
      <c r="K97" s="25">
        <v>0</v>
      </c>
      <c r="L97" s="3">
        <f t="shared" si="10"/>
        <v>0.2</v>
      </c>
      <c r="M97" s="26" t="str">
        <f t="shared" si="11"/>
        <v>sukar</v>
      </c>
      <c r="N97" s="3">
        <f t="shared" si="12"/>
        <v>0.4</v>
      </c>
      <c r="O97" s="26" t="str">
        <f t="shared" si="13"/>
        <v>soal diterima baik</v>
      </c>
      <c r="P97" s="33"/>
      <c r="Q97" s="26">
        <v>92</v>
      </c>
      <c r="R97" s="25">
        <f t="shared" si="18"/>
        <v>1</v>
      </c>
      <c r="S97" s="25">
        <f t="shared" si="18"/>
        <v>1</v>
      </c>
      <c r="T97" s="25">
        <f t="shared" si="18"/>
        <v>1</v>
      </c>
      <c r="U97" s="25">
        <f t="shared" si="18"/>
        <v>1</v>
      </c>
      <c r="V97" s="25">
        <f t="shared" si="18"/>
        <v>1</v>
      </c>
      <c r="W97" s="25">
        <f t="shared" si="14"/>
        <v>0</v>
      </c>
      <c r="X97" s="25">
        <f t="shared" si="14"/>
        <v>1</v>
      </c>
      <c r="Y97" s="25">
        <f t="shared" si="14"/>
        <v>1</v>
      </c>
      <c r="Z97" s="25">
        <f t="shared" si="14"/>
        <v>1</v>
      </c>
      <c r="AA97" s="25">
        <f t="shared" si="14"/>
        <v>0</v>
      </c>
      <c r="AB97" s="3">
        <f t="shared" si="15"/>
        <v>0.8</v>
      </c>
      <c r="AC97" s="3">
        <f t="shared" si="16"/>
        <v>0.19999999999999996</v>
      </c>
      <c r="AD97" s="3">
        <f t="shared" si="17"/>
        <v>0.15999999999999998</v>
      </c>
      <c r="AE97" s="33"/>
    </row>
    <row r="98" spans="1:33" ht="84" x14ac:dyDescent="0.3">
      <c r="A98" s="54" t="s">
        <v>304</v>
      </c>
      <c r="B98" s="25">
        <v>1</v>
      </c>
      <c r="C98" s="25">
        <v>1</v>
      </c>
      <c r="D98" s="25">
        <v>0</v>
      </c>
      <c r="E98" s="25">
        <v>0</v>
      </c>
      <c r="F98" s="25">
        <v>1</v>
      </c>
      <c r="G98" s="25">
        <v>0</v>
      </c>
      <c r="H98" s="25">
        <v>0</v>
      </c>
      <c r="I98" s="25">
        <v>0</v>
      </c>
      <c r="J98" s="25">
        <v>1</v>
      </c>
      <c r="K98" s="25">
        <v>0</v>
      </c>
      <c r="L98" s="3">
        <f t="shared" si="10"/>
        <v>0.4</v>
      </c>
      <c r="M98" s="26" t="str">
        <f t="shared" si="11"/>
        <v>sedang</v>
      </c>
      <c r="N98" s="3">
        <f t="shared" si="12"/>
        <v>0.4</v>
      </c>
      <c r="O98" s="26" t="str">
        <f t="shared" si="13"/>
        <v>soal diterima baik</v>
      </c>
      <c r="P98" s="33"/>
      <c r="Q98" s="26">
        <v>93</v>
      </c>
      <c r="R98" s="25">
        <f t="shared" si="18"/>
        <v>0</v>
      </c>
      <c r="S98" s="25">
        <f t="shared" si="18"/>
        <v>0</v>
      </c>
      <c r="T98" s="25">
        <f t="shared" si="18"/>
        <v>0</v>
      </c>
      <c r="U98" s="25">
        <f t="shared" si="18"/>
        <v>0</v>
      </c>
      <c r="V98" s="25">
        <f t="shared" si="18"/>
        <v>0</v>
      </c>
      <c r="W98" s="25">
        <f t="shared" si="14"/>
        <v>0</v>
      </c>
      <c r="X98" s="25">
        <f t="shared" si="14"/>
        <v>1</v>
      </c>
      <c r="Y98" s="25">
        <f t="shared" si="14"/>
        <v>0</v>
      </c>
      <c r="Z98" s="25">
        <f t="shared" si="14"/>
        <v>1</v>
      </c>
      <c r="AA98" s="25">
        <f t="shared" si="14"/>
        <v>0</v>
      </c>
      <c r="AB98" s="3">
        <f t="shared" si="15"/>
        <v>0.2</v>
      </c>
      <c r="AC98" s="3">
        <f t="shared" si="16"/>
        <v>0.8</v>
      </c>
      <c r="AD98" s="3">
        <f t="shared" si="17"/>
        <v>0.16000000000000003</v>
      </c>
      <c r="AE98" s="33"/>
    </row>
    <row r="99" spans="1:33" ht="56" x14ac:dyDescent="0.3">
      <c r="A99" s="52" t="s">
        <v>305</v>
      </c>
      <c r="B99" s="25">
        <v>0</v>
      </c>
      <c r="C99" s="25">
        <v>1</v>
      </c>
      <c r="D99" s="25">
        <v>1</v>
      </c>
      <c r="E99" s="25">
        <v>1</v>
      </c>
      <c r="F99" s="25">
        <v>0</v>
      </c>
      <c r="G99" s="25">
        <v>1</v>
      </c>
      <c r="H99" s="25">
        <v>0</v>
      </c>
      <c r="I99" s="25">
        <v>0</v>
      </c>
      <c r="J99" s="25">
        <v>0</v>
      </c>
      <c r="K99" s="25">
        <v>0</v>
      </c>
      <c r="L99" s="3">
        <f t="shared" si="10"/>
        <v>0.4</v>
      </c>
      <c r="M99" s="26" t="str">
        <f t="shared" si="11"/>
        <v>sedang</v>
      </c>
      <c r="N99" s="3">
        <f t="shared" si="12"/>
        <v>0.4</v>
      </c>
      <c r="O99" s="26" t="str">
        <f t="shared" si="13"/>
        <v>soal diterima baik</v>
      </c>
      <c r="P99" s="33"/>
      <c r="Q99" s="26">
        <v>94</v>
      </c>
      <c r="R99" s="25">
        <f t="shared" si="18"/>
        <v>1</v>
      </c>
      <c r="S99" s="25">
        <f t="shared" si="18"/>
        <v>1</v>
      </c>
      <c r="T99" s="25">
        <f t="shared" si="18"/>
        <v>0</v>
      </c>
      <c r="U99" s="25">
        <f t="shared" si="18"/>
        <v>0</v>
      </c>
      <c r="V99" s="25">
        <f t="shared" si="18"/>
        <v>1</v>
      </c>
      <c r="W99" s="25">
        <f t="shared" si="14"/>
        <v>0</v>
      </c>
      <c r="X99" s="25">
        <f t="shared" si="14"/>
        <v>0</v>
      </c>
      <c r="Y99" s="25">
        <f t="shared" si="14"/>
        <v>0</v>
      </c>
      <c r="Z99" s="25">
        <f t="shared" si="14"/>
        <v>1</v>
      </c>
      <c r="AA99" s="25">
        <f t="shared" si="14"/>
        <v>0</v>
      </c>
      <c r="AB99" s="3">
        <f t="shared" si="15"/>
        <v>0.4</v>
      </c>
      <c r="AC99" s="3">
        <f t="shared" si="16"/>
        <v>0.6</v>
      </c>
      <c r="AD99" s="3">
        <f t="shared" si="17"/>
        <v>0.24</v>
      </c>
      <c r="AE99" s="33"/>
    </row>
    <row r="100" spans="1:33" ht="42" x14ac:dyDescent="0.3">
      <c r="A100" s="52" t="s">
        <v>306</v>
      </c>
      <c r="B100" s="25">
        <v>0</v>
      </c>
      <c r="C100" s="25">
        <v>1</v>
      </c>
      <c r="D100" s="25">
        <v>0</v>
      </c>
      <c r="E100" s="25">
        <v>0</v>
      </c>
      <c r="F100" s="25">
        <v>0</v>
      </c>
      <c r="G100" s="25">
        <v>0</v>
      </c>
      <c r="H100" s="25">
        <v>0</v>
      </c>
      <c r="I100" s="25">
        <v>1</v>
      </c>
      <c r="J100" s="25">
        <v>1</v>
      </c>
      <c r="K100" s="25">
        <v>1</v>
      </c>
      <c r="L100" s="3">
        <f t="shared" si="10"/>
        <v>0.4</v>
      </c>
      <c r="M100" s="26" t="str">
        <f t="shared" si="11"/>
        <v>sedang</v>
      </c>
      <c r="N100" s="3">
        <f t="shared" si="12"/>
        <v>0.4</v>
      </c>
      <c r="O100" s="26" t="str">
        <f t="shared" si="13"/>
        <v>soal diterima baik</v>
      </c>
      <c r="P100" s="33"/>
      <c r="Q100" s="26">
        <v>95</v>
      </c>
      <c r="R100" s="25">
        <f t="shared" si="18"/>
        <v>0</v>
      </c>
      <c r="S100" s="25">
        <f t="shared" si="18"/>
        <v>1</v>
      </c>
      <c r="T100" s="25">
        <f t="shared" si="18"/>
        <v>1</v>
      </c>
      <c r="U100" s="25">
        <f t="shared" si="18"/>
        <v>1</v>
      </c>
      <c r="V100" s="25">
        <f t="shared" si="18"/>
        <v>0</v>
      </c>
      <c r="W100" s="25">
        <f t="shared" si="14"/>
        <v>1</v>
      </c>
      <c r="X100" s="25">
        <f t="shared" si="14"/>
        <v>0</v>
      </c>
      <c r="Y100" s="25">
        <f t="shared" si="14"/>
        <v>0</v>
      </c>
      <c r="Z100" s="25">
        <f t="shared" si="14"/>
        <v>0</v>
      </c>
      <c r="AA100" s="25">
        <f t="shared" si="14"/>
        <v>0</v>
      </c>
      <c r="AB100" s="3">
        <f t="shared" si="15"/>
        <v>0.4</v>
      </c>
      <c r="AC100" s="3">
        <f t="shared" si="16"/>
        <v>0.6</v>
      </c>
      <c r="AD100" s="3">
        <f t="shared" si="17"/>
        <v>0.24</v>
      </c>
      <c r="AE100" s="33"/>
    </row>
    <row r="101" spans="1:33" ht="42" x14ac:dyDescent="0.3">
      <c r="A101" s="54" t="s">
        <v>307</v>
      </c>
      <c r="B101" s="25">
        <v>1</v>
      </c>
      <c r="C101" s="25">
        <v>1</v>
      </c>
      <c r="D101" s="25">
        <v>1</v>
      </c>
      <c r="E101" s="25">
        <v>1</v>
      </c>
      <c r="F101" s="25">
        <v>0</v>
      </c>
      <c r="G101" s="25">
        <v>0</v>
      </c>
      <c r="H101" s="25">
        <v>0</v>
      </c>
      <c r="I101" s="25">
        <v>1</v>
      </c>
      <c r="J101" s="25">
        <v>1</v>
      </c>
      <c r="K101" s="25">
        <v>0</v>
      </c>
      <c r="L101" s="3">
        <f t="shared" si="10"/>
        <v>0.6</v>
      </c>
      <c r="M101" s="26" t="str">
        <f t="shared" si="11"/>
        <v>sedang</v>
      </c>
      <c r="N101" s="3">
        <f t="shared" si="12"/>
        <v>0.4</v>
      </c>
      <c r="O101" s="26" t="str">
        <f t="shared" si="13"/>
        <v>soal diterima baik</v>
      </c>
      <c r="P101" s="33"/>
      <c r="Q101" s="26">
        <v>96</v>
      </c>
      <c r="R101" s="25">
        <f t="shared" si="18"/>
        <v>0</v>
      </c>
      <c r="S101" s="25">
        <f t="shared" si="18"/>
        <v>1</v>
      </c>
      <c r="T101" s="25">
        <f t="shared" si="18"/>
        <v>0</v>
      </c>
      <c r="U101" s="25">
        <f t="shared" si="18"/>
        <v>0</v>
      </c>
      <c r="V101" s="25">
        <f t="shared" si="18"/>
        <v>0</v>
      </c>
      <c r="W101" s="25">
        <f t="shared" si="14"/>
        <v>0</v>
      </c>
      <c r="X101" s="25">
        <f t="shared" si="14"/>
        <v>0</v>
      </c>
      <c r="Y101" s="25">
        <f t="shared" si="14"/>
        <v>1</v>
      </c>
      <c r="Z101" s="25">
        <f t="shared" si="14"/>
        <v>1</v>
      </c>
      <c r="AA101" s="25">
        <f t="shared" si="14"/>
        <v>1</v>
      </c>
      <c r="AB101" s="3">
        <f t="shared" si="15"/>
        <v>0.4</v>
      </c>
      <c r="AC101" s="3">
        <f t="shared" si="16"/>
        <v>0.6</v>
      </c>
      <c r="AD101" s="3">
        <f t="shared" si="17"/>
        <v>0.24</v>
      </c>
      <c r="AE101" s="33"/>
    </row>
    <row r="102" spans="1:33" ht="28" x14ac:dyDescent="0.3">
      <c r="A102" s="52" t="s">
        <v>308</v>
      </c>
      <c r="B102" s="25">
        <v>0</v>
      </c>
      <c r="C102" s="25">
        <v>0</v>
      </c>
      <c r="D102" s="25">
        <v>0</v>
      </c>
      <c r="E102" s="25">
        <v>0</v>
      </c>
      <c r="F102" s="25">
        <v>1</v>
      </c>
      <c r="G102" s="25">
        <v>0</v>
      </c>
      <c r="H102" s="25">
        <v>1</v>
      </c>
      <c r="I102" s="25">
        <v>1</v>
      </c>
      <c r="J102" s="25">
        <v>1</v>
      </c>
      <c r="K102" s="25">
        <v>0</v>
      </c>
      <c r="L102" s="3">
        <f t="shared" si="10"/>
        <v>0.4</v>
      </c>
      <c r="M102" s="26" t="str">
        <f t="shared" si="11"/>
        <v>sedang</v>
      </c>
      <c r="N102" s="3">
        <f t="shared" si="12"/>
        <v>0.4</v>
      </c>
      <c r="O102" s="26" t="str">
        <f t="shared" si="13"/>
        <v>soal diterima baik</v>
      </c>
      <c r="P102" s="33"/>
      <c r="Q102" s="26">
        <v>97</v>
      </c>
      <c r="R102" s="25">
        <f t="shared" si="18"/>
        <v>1</v>
      </c>
      <c r="S102" s="25">
        <f t="shared" si="18"/>
        <v>1</v>
      </c>
      <c r="T102" s="25">
        <f t="shared" si="18"/>
        <v>1</v>
      </c>
      <c r="U102" s="25">
        <f t="shared" si="18"/>
        <v>1</v>
      </c>
      <c r="V102" s="25">
        <f t="shared" si="18"/>
        <v>0</v>
      </c>
      <c r="W102" s="25">
        <f t="shared" si="14"/>
        <v>0</v>
      </c>
      <c r="X102" s="25">
        <f t="shared" si="14"/>
        <v>0</v>
      </c>
      <c r="Y102" s="25">
        <f t="shared" si="14"/>
        <v>1</v>
      </c>
      <c r="Z102" s="25">
        <f t="shared" si="14"/>
        <v>1</v>
      </c>
      <c r="AA102" s="25">
        <f t="shared" si="14"/>
        <v>0</v>
      </c>
      <c r="AB102" s="3">
        <f t="shared" si="15"/>
        <v>0.6</v>
      </c>
      <c r="AC102" s="3">
        <f t="shared" si="16"/>
        <v>0.4</v>
      </c>
      <c r="AD102" s="3">
        <f t="shared" si="17"/>
        <v>0.24</v>
      </c>
      <c r="AE102" s="33"/>
    </row>
    <row r="103" spans="1:33" ht="28" x14ac:dyDescent="0.3">
      <c r="A103" s="53" t="s">
        <v>309</v>
      </c>
      <c r="B103" s="25">
        <v>1</v>
      </c>
      <c r="C103" s="25">
        <v>0</v>
      </c>
      <c r="D103" s="25">
        <v>1</v>
      </c>
      <c r="E103" s="25">
        <v>1</v>
      </c>
      <c r="F103" s="25">
        <v>1</v>
      </c>
      <c r="G103" s="25">
        <v>1</v>
      </c>
      <c r="H103" s="25">
        <v>1</v>
      </c>
      <c r="I103" s="25">
        <v>0</v>
      </c>
      <c r="J103" s="25">
        <v>0</v>
      </c>
      <c r="K103" s="25">
        <v>0</v>
      </c>
      <c r="L103" s="3">
        <f t="shared" si="10"/>
        <v>0.6</v>
      </c>
      <c r="M103" s="26" t="str">
        <f t="shared" si="11"/>
        <v>sedang</v>
      </c>
      <c r="N103" s="3">
        <f t="shared" si="12"/>
        <v>0.4</v>
      </c>
      <c r="O103" s="26" t="str">
        <f t="shared" si="13"/>
        <v>soal diterima baik</v>
      </c>
      <c r="P103" s="33"/>
      <c r="Q103" s="26">
        <v>98</v>
      </c>
      <c r="R103" s="25">
        <f t="shared" si="18"/>
        <v>0</v>
      </c>
      <c r="S103" s="25">
        <f t="shared" si="18"/>
        <v>0</v>
      </c>
      <c r="T103" s="25">
        <f t="shared" si="18"/>
        <v>0</v>
      </c>
      <c r="U103" s="25">
        <f t="shared" si="18"/>
        <v>0</v>
      </c>
      <c r="V103" s="25">
        <f t="shared" si="18"/>
        <v>1</v>
      </c>
      <c r="W103" s="25">
        <f t="shared" si="14"/>
        <v>0</v>
      </c>
      <c r="X103" s="25">
        <f t="shared" si="14"/>
        <v>1</v>
      </c>
      <c r="Y103" s="25">
        <f t="shared" si="14"/>
        <v>1</v>
      </c>
      <c r="Z103" s="25">
        <f t="shared" si="14"/>
        <v>1</v>
      </c>
      <c r="AA103" s="25">
        <f t="shared" si="14"/>
        <v>0</v>
      </c>
      <c r="AB103" s="3">
        <f t="shared" si="15"/>
        <v>0.4</v>
      </c>
      <c r="AC103" s="3">
        <f t="shared" si="16"/>
        <v>0.6</v>
      </c>
      <c r="AD103" s="3">
        <f t="shared" si="17"/>
        <v>0.24</v>
      </c>
      <c r="AE103" s="33"/>
    </row>
    <row r="104" spans="1:33" ht="28" x14ac:dyDescent="0.3">
      <c r="A104" s="53" t="s">
        <v>725</v>
      </c>
      <c r="B104" s="25">
        <v>0</v>
      </c>
      <c r="C104" s="25">
        <v>0</v>
      </c>
      <c r="D104" s="25">
        <v>0</v>
      </c>
      <c r="E104" s="25">
        <v>1</v>
      </c>
      <c r="F104" s="25">
        <v>0</v>
      </c>
      <c r="G104" s="25">
        <v>1</v>
      </c>
      <c r="H104" s="25">
        <v>1</v>
      </c>
      <c r="I104" s="25">
        <v>1</v>
      </c>
      <c r="J104" s="25">
        <v>1</v>
      </c>
      <c r="K104" s="25">
        <v>1</v>
      </c>
      <c r="L104" s="3">
        <f t="shared" si="10"/>
        <v>0.6</v>
      </c>
      <c r="M104" s="26" t="str">
        <f t="shared" si="11"/>
        <v>sedang</v>
      </c>
      <c r="N104" s="3">
        <f t="shared" si="12"/>
        <v>0.8</v>
      </c>
      <c r="O104" s="26" t="str">
        <f t="shared" si="13"/>
        <v>soal diterima baik</v>
      </c>
      <c r="P104" s="33"/>
      <c r="Q104" s="26">
        <v>99</v>
      </c>
      <c r="R104" s="25">
        <f t="shared" si="18"/>
        <v>1</v>
      </c>
      <c r="S104" s="25">
        <f t="shared" si="18"/>
        <v>0</v>
      </c>
      <c r="T104" s="25">
        <f t="shared" si="18"/>
        <v>1</v>
      </c>
      <c r="U104" s="25">
        <f t="shared" si="18"/>
        <v>1</v>
      </c>
      <c r="V104" s="25">
        <f t="shared" si="18"/>
        <v>1</v>
      </c>
      <c r="W104" s="25">
        <f t="shared" si="14"/>
        <v>1</v>
      </c>
      <c r="X104" s="25">
        <f t="shared" si="14"/>
        <v>1</v>
      </c>
      <c r="Y104" s="25">
        <f t="shared" si="14"/>
        <v>0</v>
      </c>
      <c r="Z104" s="25">
        <f t="shared" si="14"/>
        <v>0</v>
      </c>
      <c r="AA104" s="25">
        <f t="shared" si="14"/>
        <v>0</v>
      </c>
      <c r="AB104" s="3">
        <f t="shared" si="15"/>
        <v>0.6</v>
      </c>
      <c r="AC104" s="3">
        <f t="shared" si="16"/>
        <v>0.4</v>
      </c>
      <c r="AD104" s="3">
        <f t="shared" si="17"/>
        <v>0.24</v>
      </c>
      <c r="AE104" s="33"/>
    </row>
    <row r="105" spans="1:33" x14ac:dyDescent="0.3">
      <c r="A105" s="55"/>
      <c r="B105" s="32">
        <f>SUM(B5:B104)</f>
        <v>45</v>
      </c>
      <c r="C105" s="32">
        <f t="shared" ref="C105:K105" si="19">SUM(C5:C104)</f>
        <v>47</v>
      </c>
      <c r="D105" s="32">
        <f t="shared" si="19"/>
        <v>48</v>
      </c>
      <c r="E105" s="32">
        <f t="shared" si="19"/>
        <v>50</v>
      </c>
      <c r="F105" s="32">
        <f t="shared" si="19"/>
        <v>38</v>
      </c>
      <c r="G105" s="32">
        <f t="shared" si="19"/>
        <v>58</v>
      </c>
      <c r="H105" s="32">
        <f t="shared" si="19"/>
        <v>48</v>
      </c>
      <c r="I105" s="32">
        <f t="shared" si="19"/>
        <v>48</v>
      </c>
      <c r="J105" s="32">
        <f t="shared" si="19"/>
        <v>55</v>
      </c>
      <c r="K105" s="32">
        <f t="shared" si="19"/>
        <v>55</v>
      </c>
      <c r="L105" s="33"/>
      <c r="M105" s="33"/>
      <c r="N105" s="33"/>
      <c r="O105" s="34">
        <f>COUNTIF(O5:O104,"soal dibuang")</f>
        <v>0</v>
      </c>
      <c r="P105" s="33"/>
      <c r="Q105" s="26">
        <v>100</v>
      </c>
      <c r="R105" s="25">
        <f t="shared" si="18"/>
        <v>0</v>
      </c>
      <c r="S105" s="25">
        <f t="shared" si="18"/>
        <v>0</v>
      </c>
      <c r="T105" s="25">
        <f t="shared" si="18"/>
        <v>0</v>
      </c>
      <c r="U105" s="25">
        <f t="shared" si="18"/>
        <v>1</v>
      </c>
      <c r="V105" s="25">
        <f t="shared" si="18"/>
        <v>0</v>
      </c>
      <c r="W105" s="25">
        <f t="shared" si="14"/>
        <v>1</v>
      </c>
      <c r="X105" s="25">
        <f t="shared" si="14"/>
        <v>1</v>
      </c>
      <c r="Y105" s="25">
        <f t="shared" si="14"/>
        <v>1</v>
      </c>
      <c r="Z105" s="25">
        <f t="shared" si="14"/>
        <v>1</v>
      </c>
      <c r="AA105" s="25">
        <f t="shared" si="14"/>
        <v>1</v>
      </c>
      <c r="AB105" s="3">
        <f>SUM(R105:AA105)/COUNT(R105:AA105)</f>
        <v>0.6</v>
      </c>
      <c r="AC105" s="3">
        <f t="shared" si="16"/>
        <v>0.4</v>
      </c>
      <c r="AD105" s="3">
        <f t="shared" si="17"/>
        <v>0.24</v>
      </c>
      <c r="AE105" s="33"/>
    </row>
    <row r="106" spans="1:33" ht="28" x14ac:dyDescent="0.3">
      <c r="A106" s="55"/>
      <c r="B106" s="35" t="s">
        <v>104</v>
      </c>
      <c r="C106" s="35" t="s">
        <v>104</v>
      </c>
      <c r="D106" s="35" t="s">
        <v>104</v>
      </c>
      <c r="E106" s="35" t="s">
        <v>104</v>
      </c>
      <c r="F106" s="35" t="s">
        <v>104</v>
      </c>
      <c r="G106" s="35" t="s">
        <v>105</v>
      </c>
      <c r="H106" s="35" t="s">
        <v>105</v>
      </c>
      <c r="I106" s="35" t="s">
        <v>105</v>
      </c>
      <c r="J106" s="35" t="s">
        <v>105</v>
      </c>
      <c r="K106" s="35" t="s">
        <v>105</v>
      </c>
      <c r="L106" s="33"/>
      <c r="M106" s="45">
        <f>COUNTIF(M5:M104,"mudah")</f>
        <v>15</v>
      </c>
      <c r="N106" s="33"/>
      <c r="O106" s="33"/>
      <c r="P106" s="33"/>
      <c r="Q106" s="20" t="s">
        <v>112</v>
      </c>
      <c r="R106" s="36">
        <f>SUM(R6:R105)</f>
        <v>45</v>
      </c>
      <c r="S106" s="36">
        <f t="shared" ref="S106:AA106" si="20">SUM(S6:S105)</f>
        <v>47</v>
      </c>
      <c r="T106" s="36">
        <f t="shared" si="20"/>
        <v>48</v>
      </c>
      <c r="U106" s="36">
        <f t="shared" si="20"/>
        <v>50</v>
      </c>
      <c r="V106" s="36">
        <f t="shared" si="20"/>
        <v>38</v>
      </c>
      <c r="W106" s="36">
        <f t="shared" si="20"/>
        <v>58</v>
      </c>
      <c r="X106" s="36">
        <f t="shared" si="20"/>
        <v>48</v>
      </c>
      <c r="Y106" s="36">
        <f t="shared" si="20"/>
        <v>48</v>
      </c>
      <c r="Z106" s="36">
        <f t="shared" si="20"/>
        <v>55</v>
      </c>
      <c r="AA106" s="36">
        <f t="shared" si="20"/>
        <v>55</v>
      </c>
      <c r="AB106" s="36"/>
      <c r="AC106" s="36"/>
      <c r="AD106" s="10">
        <f>SUM(AD6:AD105)</f>
        <v>21.679999999999982</v>
      </c>
      <c r="AE106" s="36" t="s">
        <v>111</v>
      </c>
      <c r="AF106" s="9"/>
      <c r="AG106" s="9"/>
    </row>
    <row r="107" spans="1:33" x14ac:dyDescent="0.3">
      <c r="A107" s="55"/>
      <c r="B107" s="31"/>
      <c r="C107" s="31"/>
      <c r="D107" s="31"/>
      <c r="E107" s="31"/>
      <c r="F107" s="31"/>
      <c r="G107" s="31"/>
      <c r="H107" s="31"/>
      <c r="I107" s="31"/>
      <c r="J107" s="31"/>
      <c r="K107" s="31"/>
      <c r="L107" s="33"/>
      <c r="M107" s="45">
        <f>COUNTIF(M5:M104,"sedang")</f>
        <v>71</v>
      </c>
      <c r="N107" s="33"/>
      <c r="O107" s="33"/>
      <c r="P107" s="33"/>
      <c r="Q107" s="20" t="s">
        <v>113</v>
      </c>
      <c r="R107" s="36">
        <f>SUM(R106:AA106)</f>
        <v>492</v>
      </c>
      <c r="S107" s="36"/>
      <c r="T107" s="36"/>
      <c r="U107" s="36"/>
      <c r="V107" s="36"/>
      <c r="W107" s="36"/>
      <c r="X107" s="36"/>
      <c r="Y107" s="36"/>
      <c r="Z107" s="36"/>
      <c r="AA107" s="36"/>
      <c r="AB107" s="36"/>
      <c r="AC107" s="36"/>
      <c r="AD107" s="36"/>
      <c r="AE107" s="36"/>
      <c r="AF107" s="9"/>
      <c r="AG107" s="9"/>
    </row>
    <row r="108" spans="1:33" ht="27" customHeight="1" x14ac:dyDescent="0.3">
      <c r="A108" s="56"/>
      <c r="B108" s="110" t="s">
        <v>630</v>
      </c>
      <c r="C108" s="110"/>
      <c r="D108" s="110"/>
      <c r="E108" s="25">
        <v>40</v>
      </c>
      <c r="F108" s="31"/>
      <c r="G108" s="31"/>
      <c r="H108" s="31"/>
      <c r="I108" s="31"/>
      <c r="J108" s="31"/>
      <c r="K108" s="31"/>
      <c r="L108" s="33"/>
      <c r="M108" s="36">
        <f>100-M106-M107</f>
        <v>14</v>
      </c>
      <c r="N108" s="33"/>
      <c r="O108" s="33"/>
      <c r="P108" s="33"/>
      <c r="Q108" s="20" t="s">
        <v>114</v>
      </c>
      <c r="R108" s="36">
        <f>$R$107/10</f>
        <v>49.2</v>
      </c>
      <c r="S108" s="36">
        <f t="shared" ref="S108:AA108" si="21">$R$107/10</f>
        <v>49.2</v>
      </c>
      <c r="T108" s="36">
        <f t="shared" si="21"/>
        <v>49.2</v>
      </c>
      <c r="U108" s="36">
        <f t="shared" si="21"/>
        <v>49.2</v>
      </c>
      <c r="V108" s="36">
        <f t="shared" si="21"/>
        <v>49.2</v>
      </c>
      <c r="W108" s="36">
        <f t="shared" si="21"/>
        <v>49.2</v>
      </c>
      <c r="X108" s="36">
        <f>$R$107/10</f>
        <v>49.2</v>
      </c>
      <c r="Y108" s="36">
        <f t="shared" si="21"/>
        <v>49.2</v>
      </c>
      <c r="Z108" s="36">
        <f t="shared" si="21"/>
        <v>49.2</v>
      </c>
      <c r="AA108" s="36">
        <f t="shared" si="21"/>
        <v>49.2</v>
      </c>
      <c r="AB108" s="36"/>
      <c r="AC108" s="36"/>
      <c r="AD108" s="36"/>
      <c r="AE108" s="36"/>
      <c r="AF108" s="9"/>
      <c r="AG108" s="9"/>
    </row>
    <row r="109" spans="1:33" ht="27" customHeight="1" x14ac:dyDescent="0.3">
      <c r="A109" s="54"/>
      <c r="B109" s="110" t="s">
        <v>631</v>
      </c>
      <c r="C109" s="110"/>
      <c r="D109" s="110"/>
      <c r="E109" s="25">
        <v>30</v>
      </c>
      <c r="F109" s="31"/>
      <c r="G109" s="31"/>
      <c r="H109" s="31"/>
      <c r="I109" s="31"/>
      <c r="J109" s="31"/>
      <c r="K109" s="31"/>
      <c r="L109" s="33"/>
      <c r="M109" s="33"/>
      <c r="N109" s="33"/>
      <c r="O109" s="33"/>
      <c r="P109" s="33"/>
      <c r="Q109" s="20" t="s">
        <v>115</v>
      </c>
      <c r="R109" s="10">
        <f>R106-R108</f>
        <v>-4.2000000000000028</v>
      </c>
      <c r="S109" s="10">
        <f t="shared" ref="S109:AA109" si="22">S106-S108</f>
        <v>-2.2000000000000028</v>
      </c>
      <c r="T109" s="10">
        <f t="shared" si="22"/>
        <v>-1.2000000000000028</v>
      </c>
      <c r="U109" s="10">
        <f t="shared" si="22"/>
        <v>0.79999999999999716</v>
      </c>
      <c r="V109" s="10">
        <f t="shared" si="22"/>
        <v>-11.200000000000003</v>
      </c>
      <c r="W109" s="10">
        <f t="shared" si="22"/>
        <v>8.7999999999999972</v>
      </c>
      <c r="X109" s="10">
        <f t="shared" si="22"/>
        <v>-1.2000000000000028</v>
      </c>
      <c r="Y109" s="10">
        <f t="shared" si="22"/>
        <v>-1.2000000000000028</v>
      </c>
      <c r="Z109" s="10">
        <f t="shared" si="22"/>
        <v>5.7999999999999972</v>
      </c>
      <c r="AA109" s="10">
        <f t="shared" si="22"/>
        <v>5.7999999999999972</v>
      </c>
      <c r="AB109" s="36"/>
      <c r="AC109" s="36"/>
      <c r="AD109" s="36"/>
      <c r="AE109" s="36"/>
      <c r="AF109" s="9"/>
      <c r="AG109" s="9"/>
    </row>
    <row r="110" spans="1:33" ht="27" customHeight="1" x14ac:dyDescent="0.3">
      <c r="A110" s="53"/>
      <c r="B110" s="110" t="s">
        <v>632</v>
      </c>
      <c r="C110" s="110"/>
      <c r="D110" s="110"/>
      <c r="E110" s="25">
        <v>30</v>
      </c>
      <c r="F110" s="31"/>
      <c r="G110" s="31"/>
      <c r="H110" s="31"/>
      <c r="I110" s="31"/>
      <c r="J110" s="31"/>
      <c r="K110" s="31"/>
      <c r="L110" s="33"/>
      <c r="M110" s="33"/>
      <c r="N110" s="33"/>
      <c r="O110" s="33"/>
      <c r="P110" s="33"/>
      <c r="Q110" s="20" t="s">
        <v>116</v>
      </c>
      <c r="R110" s="11">
        <f>R109^2</f>
        <v>17.640000000000025</v>
      </c>
      <c r="S110" s="11">
        <f t="shared" ref="S110:AA110" si="23">S109^2</f>
        <v>4.8400000000000123</v>
      </c>
      <c r="T110" s="11">
        <f t="shared" si="23"/>
        <v>1.4400000000000068</v>
      </c>
      <c r="U110" s="11">
        <f t="shared" si="23"/>
        <v>0.63999999999999546</v>
      </c>
      <c r="V110" s="11">
        <f t="shared" si="23"/>
        <v>125.44000000000007</v>
      </c>
      <c r="W110" s="11">
        <f t="shared" si="23"/>
        <v>77.439999999999955</v>
      </c>
      <c r="X110" s="11">
        <f t="shared" si="23"/>
        <v>1.4400000000000068</v>
      </c>
      <c r="Y110" s="11">
        <f t="shared" si="23"/>
        <v>1.4400000000000068</v>
      </c>
      <c r="Z110" s="11">
        <f t="shared" si="23"/>
        <v>33.639999999999965</v>
      </c>
      <c r="AA110" s="11">
        <f t="shared" si="23"/>
        <v>33.639999999999965</v>
      </c>
      <c r="AB110" s="36"/>
      <c r="AC110" s="36"/>
      <c r="AD110" s="36"/>
      <c r="AE110" s="36"/>
      <c r="AF110" s="9"/>
      <c r="AG110" s="9"/>
    </row>
    <row r="111" spans="1:33" x14ac:dyDescent="0.3">
      <c r="A111" s="55"/>
      <c r="B111" s="31"/>
      <c r="C111" s="31"/>
      <c r="D111" s="31"/>
      <c r="E111" s="31"/>
      <c r="F111" s="31"/>
      <c r="G111" s="31"/>
      <c r="H111" s="31"/>
      <c r="I111" s="31"/>
      <c r="J111" s="31"/>
      <c r="K111" s="31"/>
      <c r="L111" s="33"/>
      <c r="M111" s="33"/>
      <c r="N111" s="33"/>
      <c r="O111" s="33"/>
      <c r="P111" s="33"/>
      <c r="Q111" s="20" t="s">
        <v>117</v>
      </c>
      <c r="R111" s="36">
        <f>SUM(R110:AA110)/10</f>
        <v>29.76</v>
      </c>
      <c r="S111" s="36"/>
      <c r="T111" s="36"/>
      <c r="U111" s="36"/>
      <c r="V111" s="36"/>
      <c r="W111" s="36"/>
      <c r="X111" s="36"/>
      <c r="Y111" s="36"/>
      <c r="Z111" s="36"/>
      <c r="AA111" s="36"/>
      <c r="AB111" s="36"/>
      <c r="AC111" s="36"/>
      <c r="AD111" s="36"/>
      <c r="AE111" s="36"/>
      <c r="AF111" s="9"/>
      <c r="AG111" s="9"/>
    </row>
    <row r="112" spans="1:33" x14ac:dyDescent="0.3">
      <c r="A112" s="55"/>
      <c r="B112" s="31"/>
      <c r="C112" s="31"/>
      <c r="D112" s="31"/>
      <c r="E112" s="31"/>
      <c r="F112" s="31"/>
      <c r="G112" s="31"/>
      <c r="H112" s="31"/>
      <c r="I112" s="31"/>
      <c r="J112" s="31"/>
      <c r="K112" s="31"/>
      <c r="L112" s="33"/>
      <c r="M112" s="33"/>
      <c r="N112" s="33"/>
      <c r="O112" s="33"/>
      <c r="P112" s="33"/>
      <c r="Q112" s="20" t="s">
        <v>118</v>
      </c>
      <c r="R112" s="10">
        <f>SQRT(R111)</f>
        <v>5.4552726787943424</v>
      </c>
      <c r="S112" s="36"/>
      <c r="T112" s="36"/>
      <c r="U112" s="36"/>
      <c r="V112" s="36"/>
      <c r="W112" s="36"/>
      <c r="X112" s="36"/>
      <c r="Y112" s="36"/>
      <c r="Z112" s="36"/>
      <c r="AA112" s="36"/>
      <c r="AB112" s="36"/>
      <c r="AC112" s="36"/>
      <c r="AD112" s="36"/>
      <c r="AE112" s="36"/>
      <c r="AF112" s="9"/>
      <c r="AG112" s="9"/>
    </row>
    <row r="113" spans="1:33" x14ac:dyDescent="0.3">
      <c r="A113" s="55"/>
      <c r="B113" s="31"/>
      <c r="C113" s="31"/>
      <c r="D113" s="31"/>
      <c r="E113" s="31"/>
      <c r="F113" s="31"/>
      <c r="G113" s="31"/>
      <c r="H113" s="31"/>
      <c r="I113" s="31"/>
      <c r="J113" s="31"/>
      <c r="K113" s="31"/>
      <c r="L113" s="33"/>
      <c r="M113" s="33"/>
      <c r="N113" s="33"/>
      <c r="O113" s="33"/>
      <c r="P113" s="33"/>
      <c r="Q113" s="41" t="s">
        <v>106</v>
      </c>
      <c r="R113" s="42">
        <f>100/(100-1)*(1-AD106/R111)</f>
        <v>0.27424785489301684</v>
      </c>
      <c r="S113" s="43" t="s">
        <v>119</v>
      </c>
      <c r="T113" s="36"/>
      <c r="U113" s="36"/>
      <c r="V113" s="36"/>
      <c r="W113" s="36"/>
      <c r="X113" s="36"/>
      <c r="Y113" s="36"/>
      <c r="Z113" s="36"/>
      <c r="AA113" s="36"/>
      <c r="AB113" s="36"/>
      <c r="AC113" s="36"/>
      <c r="AD113" s="36"/>
      <c r="AE113" s="36"/>
      <c r="AF113" s="9"/>
      <c r="AG113" s="9"/>
    </row>
    <row r="114" spans="1:33" x14ac:dyDescent="0.3">
      <c r="R114" s="9"/>
      <c r="S114" s="9"/>
      <c r="T114" s="9"/>
      <c r="U114" s="9"/>
      <c r="V114" s="9"/>
      <c r="W114" s="9"/>
      <c r="X114" s="9"/>
      <c r="Y114" s="9"/>
      <c r="Z114" s="9"/>
      <c r="AA114" s="9"/>
      <c r="AB114" s="9"/>
      <c r="AC114" s="9"/>
      <c r="AD114" s="9"/>
      <c r="AE114" s="9"/>
      <c r="AF114" s="9"/>
      <c r="AG114" s="9"/>
    </row>
    <row r="115" spans="1:33" x14ac:dyDescent="0.3">
      <c r="R115" s="9"/>
      <c r="S115" s="9"/>
      <c r="T115" s="9"/>
      <c r="U115" s="9"/>
      <c r="V115" s="9"/>
      <c r="W115" s="9"/>
      <c r="X115" s="9"/>
      <c r="Y115" s="9"/>
      <c r="Z115" s="9"/>
      <c r="AA115" s="9"/>
      <c r="AB115" s="9"/>
      <c r="AC115" s="9"/>
      <c r="AD115" s="9"/>
      <c r="AE115" s="9"/>
      <c r="AF115" s="9"/>
      <c r="AG115" s="9"/>
    </row>
  </sheetData>
  <mergeCells count="15">
    <mergeCell ref="B109:D109"/>
    <mergeCell ref="B110:D110"/>
    <mergeCell ref="Q4:Q5"/>
    <mergeCell ref="R4:AA4"/>
    <mergeCell ref="AB4:AB5"/>
    <mergeCell ref="AC4:AC5"/>
    <mergeCell ref="AD4:AD5"/>
    <mergeCell ref="B108:D108"/>
    <mergeCell ref="A1:O1"/>
    <mergeCell ref="A3:A4"/>
    <mergeCell ref="B3:K3"/>
    <mergeCell ref="L3:L4"/>
    <mergeCell ref="M3:M4"/>
    <mergeCell ref="N3:N4"/>
    <mergeCell ref="O3:O4"/>
  </mergeCells>
  <conditionalFormatting sqref="M5:M104 M3:O3 Q3">
    <cfRule type="containsText" dxfId="34" priority="6" operator="containsText" text="sedang">
      <formula>NOT(ISERROR(SEARCH("sedang",M3)))</formula>
    </cfRule>
  </conditionalFormatting>
  <conditionalFormatting sqref="M5:M104">
    <cfRule type="containsText" dxfId="33" priority="5" operator="containsText" text="sukar">
      <formula>NOT(ISERROR(SEARCH("sukar",M5)))</formula>
    </cfRule>
  </conditionalFormatting>
  <conditionalFormatting sqref="M106:M107">
    <cfRule type="containsText" dxfId="32" priority="1" operator="containsText" text="sukar">
      <formula>NOT(ISERROR(SEARCH("sukar",M106)))</formula>
    </cfRule>
    <cfRule type="containsText" dxfId="31" priority="2" operator="containsText" text="sedang">
      <formula>NOT(ISERROR(SEARCH("sedang",M106)))</formula>
    </cfRule>
    <cfRule type="containsText" dxfId="30" priority="3" operator="containsText" text="mudah">
      <formula>NOT(ISERROR(SEARCH("mudah",M106)))</formula>
    </cfRule>
  </conditionalFormatting>
  <conditionalFormatting sqref="M3:O3 Q3 M5:M104">
    <cfRule type="containsText" dxfId="29" priority="7" operator="containsText" text="mudah">
      <formula>NOT(ISERROR(SEARCH("mudah",M3)))</formula>
    </cfRule>
  </conditionalFormatting>
  <conditionalFormatting sqref="O5:O106">
    <cfRule type="containsText" dxfId="28" priority="4" operator="containsText" text="soal dibuang">
      <formula>NOT(ISERROR(SEARCH("soal dibuang",O5)))</formula>
    </cfRule>
  </conditionalFormatting>
  <pageMargins left="0.26" right="0.28000000000000003" top="0.47244094488188981" bottom="0.34" header="0.31496062992125984" footer="0.23"/>
  <pageSetup paperSize="9" scale="70"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38B4F-7054-4695-A042-1C3516FF67F0}">
  <dimension ref="A1:AC112"/>
  <sheetViews>
    <sheetView view="pageBreakPreview" zoomScale="48" zoomScaleNormal="48" zoomScaleSheetLayoutView="48" workbookViewId="0">
      <selection activeCell="L21" sqref="L21"/>
    </sheetView>
  </sheetViews>
  <sheetFormatPr defaultRowHeight="14.5" x14ac:dyDescent="0.35"/>
  <cols>
    <col min="1" max="1" width="34.81640625" customWidth="1"/>
    <col min="2" max="11" width="5.7265625" style="1" customWidth="1"/>
    <col min="12" max="12" width="5.36328125" style="1" bestFit="1" customWidth="1"/>
    <col min="13" max="13" width="5.453125" bestFit="1" customWidth="1"/>
    <col min="14" max="14" width="11.26953125" customWidth="1"/>
    <col min="15" max="15" width="5.81640625" customWidth="1"/>
    <col min="16" max="16" width="8.36328125" customWidth="1"/>
    <col min="17" max="17" width="8" customWidth="1"/>
    <col min="18" max="18" width="10.36328125" customWidth="1"/>
    <col min="19" max="19" width="8.81640625" customWidth="1"/>
    <col min="20" max="20" width="7.7265625" customWidth="1"/>
    <col min="21" max="21" width="7.453125" customWidth="1"/>
    <col min="22" max="22" width="6.08984375" bestFit="1" customWidth="1"/>
    <col min="23" max="23" width="6.1796875" bestFit="1" customWidth="1"/>
    <col min="24" max="24" width="7.81640625" customWidth="1"/>
    <col min="25" max="25" width="9.08984375" customWidth="1"/>
    <col min="26" max="26" width="5.54296875" bestFit="1" customWidth="1"/>
    <col min="27" max="27" width="10.6328125" customWidth="1"/>
    <col min="28" max="28" width="12.26953125" style="1" customWidth="1"/>
    <col min="29" max="29" width="35.1796875" customWidth="1"/>
  </cols>
  <sheetData>
    <row r="1" spans="1:29" ht="15.5" x14ac:dyDescent="0.35">
      <c r="A1" s="122" t="s">
        <v>799</v>
      </c>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row>
    <row r="2" spans="1:29" x14ac:dyDescent="0.35">
      <c r="A2" s="76"/>
      <c r="B2" s="77"/>
      <c r="C2" s="77"/>
      <c r="D2" s="77"/>
      <c r="E2" s="77"/>
      <c r="F2" s="77"/>
      <c r="G2" s="77"/>
      <c r="H2" s="77"/>
      <c r="I2" s="77"/>
      <c r="J2" s="77"/>
      <c r="K2" s="77"/>
      <c r="L2" s="77"/>
      <c r="M2" s="76"/>
      <c r="N2" s="76"/>
      <c r="O2" s="76"/>
      <c r="P2" s="76"/>
      <c r="Q2" s="76"/>
      <c r="R2" s="76"/>
      <c r="S2" s="76"/>
      <c r="T2" s="76"/>
      <c r="U2" s="76"/>
      <c r="V2" s="76"/>
      <c r="W2" s="76"/>
      <c r="X2" s="76"/>
      <c r="Y2" s="76"/>
      <c r="Z2" s="76"/>
      <c r="AA2" s="76"/>
      <c r="AB2" s="77"/>
      <c r="AC2" s="76"/>
    </row>
    <row r="3" spans="1:29" ht="14.5" customHeight="1" x14ac:dyDescent="0.35">
      <c r="A3" s="79" t="s">
        <v>759</v>
      </c>
      <c r="B3" s="87">
        <v>0.5</v>
      </c>
      <c r="C3" s="86"/>
      <c r="D3" s="86"/>
      <c r="E3" s="86"/>
      <c r="F3" s="86"/>
      <c r="G3" s="86"/>
      <c r="H3" s="86"/>
      <c r="I3" s="86"/>
      <c r="J3" s="93" t="s">
        <v>763</v>
      </c>
      <c r="K3" s="93"/>
      <c r="L3" s="93"/>
      <c r="M3" s="93"/>
      <c r="N3" s="92"/>
      <c r="O3" s="91"/>
      <c r="P3" s="127" t="s">
        <v>767</v>
      </c>
      <c r="Q3" s="127"/>
      <c r="R3" s="127"/>
      <c r="S3" s="127"/>
      <c r="T3" s="91"/>
      <c r="U3" s="76"/>
      <c r="V3" s="76"/>
      <c r="W3" s="76"/>
      <c r="X3" s="76"/>
      <c r="Y3" s="76"/>
      <c r="Z3" s="76"/>
      <c r="AA3" s="76"/>
      <c r="AB3" s="77"/>
      <c r="AC3" s="76"/>
    </row>
    <row r="4" spans="1:29" ht="14.5" customHeight="1" x14ac:dyDescent="0.35">
      <c r="A4" s="79" t="s">
        <v>760</v>
      </c>
      <c r="B4" s="87">
        <v>1</v>
      </c>
      <c r="C4" s="86"/>
      <c r="D4" s="86"/>
      <c r="E4" s="86"/>
      <c r="F4" s="86"/>
      <c r="G4" s="86"/>
      <c r="H4" s="86"/>
      <c r="I4" s="86"/>
      <c r="J4" s="85"/>
      <c r="K4" s="120" t="s">
        <v>764</v>
      </c>
      <c r="L4" s="120"/>
      <c r="M4" s="120"/>
      <c r="N4" s="90">
        <f>COUNTIF($AA$11:$AA$110,"DIF Besar - review")</f>
        <v>0</v>
      </c>
      <c r="O4" s="81"/>
      <c r="P4" s="119" t="s">
        <v>768</v>
      </c>
      <c r="Q4" s="119"/>
      <c r="R4" s="119"/>
      <c r="S4" s="89"/>
      <c r="T4" s="88">
        <f>COUNTIF($AB$11:$AB$110,"Berpotensi Bias - Tinjau Konten")</f>
        <v>0</v>
      </c>
      <c r="U4" s="76"/>
      <c r="V4" s="76"/>
      <c r="W4" s="76"/>
      <c r="X4" s="76"/>
      <c r="Y4" s="76"/>
      <c r="Z4" s="76"/>
      <c r="AA4" s="76"/>
      <c r="AB4" s="77"/>
      <c r="AC4" s="76"/>
    </row>
    <row r="5" spans="1:29" ht="14.5" customHeight="1" x14ac:dyDescent="0.35">
      <c r="A5" s="79" t="s">
        <v>761</v>
      </c>
      <c r="B5" s="87">
        <v>2</v>
      </c>
      <c r="C5" s="86"/>
      <c r="D5" s="86"/>
      <c r="E5" s="86"/>
      <c r="F5" s="86"/>
      <c r="G5" s="86"/>
      <c r="H5" s="86"/>
      <c r="I5" s="86"/>
      <c r="J5" s="85"/>
      <c r="K5" s="120" t="s">
        <v>765</v>
      </c>
      <c r="L5" s="120"/>
      <c r="M5" s="120"/>
      <c r="N5" s="84">
        <f>COUNTIF($AA$11:$AA$110,"DIF Moderat - cek")</f>
        <v>0</v>
      </c>
      <c r="O5" s="81"/>
      <c r="P5" s="119" t="s">
        <v>769</v>
      </c>
      <c r="Q5" s="119"/>
      <c r="R5" s="119"/>
      <c r="S5" s="119"/>
      <c r="T5" s="84">
        <f>COUNTIF($AB$11:$AB$110,"Indikasi Ringan - Pantau")</f>
        <v>0</v>
      </c>
      <c r="U5" s="76"/>
      <c r="V5" s="76"/>
      <c r="W5" s="76"/>
      <c r="X5" s="76"/>
      <c r="Y5" s="76"/>
      <c r="Z5" s="76"/>
      <c r="AA5" s="76"/>
      <c r="AB5" s="77"/>
      <c r="AC5" s="76"/>
    </row>
    <row r="6" spans="1:29" ht="14.5" customHeight="1" x14ac:dyDescent="0.35">
      <c r="A6" s="79" t="s">
        <v>762</v>
      </c>
      <c r="B6" s="83">
        <f>_xlfn.AGGREGATE(14,6,ABS(X11:X110),1)</f>
        <v>0</v>
      </c>
      <c r="C6" s="78"/>
      <c r="D6" s="78"/>
      <c r="E6" s="78"/>
      <c r="F6" s="78"/>
      <c r="G6" s="78"/>
      <c r="H6" s="78"/>
      <c r="I6" s="78"/>
      <c r="J6" s="82"/>
      <c r="K6" s="120" t="s">
        <v>766</v>
      </c>
      <c r="L6" s="120"/>
      <c r="M6" s="120"/>
      <c r="N6" s="80">
        <f>COUNTIF($AA$11:$AA$110,"Negligible")</f>
        <v>100</v>
      </c>
      <c r="O6" s="81"/>
      <c r="P6" s="119" t="s">
        <v>770</v>
      </c>
      <c r="Q6" s="119"/>
      <c r="R6" s="119"/>
      <c r="S6" s="119"/>
      <c r="T6" s="80">
        <f>COUNTIF($AB$11:$AB$110,"Tidak Ada Indikasi Bias")</f>
        <v>100</v>
      </c>
      <c r="U6" s="76"/>
      <c r="V6" s="76"/>
      <c r="W6" s="76"/>
      <c r="X6" s="76"/>
      <c r="Y6" s="76"/>
      <c r="Z6" s="76"/>
      <c r="AA6" s="76"/>
      <c r="AB6" s="77"/>
      <c r="AC6" s="76"/>
    </row>
    <row r="7" spans="1:29" ht="35" customHeight="1" x14ac:dyDescent="0.35">
      <c r="A7" s="79"/>
      <c r="B7" s="78"/>
      <c r="C7" s="78"/>
      <c r="D7" s="78"/>
      <c r="E7" s="78"/>
      <c r="F7" s="78"/>
      <c r="G7" s="78"/>
      <c r="H7" s="78"/>
      <c r="I7" s="78"/>
      <c r="J7" s="121" t="s">
        <v>803</v>
      </c>
      <c r="K7" s="121"/>
      <c r="L7" s="121"/>
      <c r="M7" s="121"/>
      <c r="N7" s="121"/>
      <c r="O7" s="121"/>
      <c r="P7" s="121"/>
      <c r="Q7" s="121"/>
      <c r="R7" s="121"/>
      <c r="S7" s="121"/>
      <c r="T7" s="121"/>
      <c r="U7" s="121"/>
      <c r="V7" s="121"/>
      <c r="W7" s="121"/>
      <c r="X7" s="121"/>
      <c r="Y7" s="121"/>
      <c r="Z7" s="121"/>
      <c r="AA7" s="121"/>
      <c r="AB7" s="77"/>
      <c r="AC7" s="76"/>
    </row>
    <row r="8" spans="1:29" s="73" customFormat="1" ht="27.5" customHeight="1" x14ac:dyDescent="0.35">
      <c r="A8" s="100" t="s">
        <v>756</v>
      </c>
      <c r="B8" s="99" t="str">
        <f>'IMR (Soal Baru)'!B2</f>
        <v>Laki-Laki</v>
      </c>
      <c r="C8" s="99" t="str">
        <f>'IMR (Soal Baru)'!C2</f>
        <v>Laki-Laki</v>
      </c>
      <c r="D8" s="99" t="str">
        <f>'IMR (Soal Baru)'!D2</f>
        <v>Perempuan</v>
      </c>
      <c r="E8" s="99" t="str">
        <f>'IMR (Soal Baru)'!E2</f>
        <v>Perempuan</v>
      </c>
      <c r="F8" s="99" t="str">
        <f>'IMR (Soal Baru)'!F2</f>
        <v>Perempuan</v>
      </c>
      <c r="G8" s="99" t="str">
        <f>'IMR (Soal Baru)'!G2</f>
        <v>Laki-Laki</v>
      </c>
      <c r="H8" s="99" t="str">
        <f>'IMR (Soal Baru)'!H2</f>
        <v>Laki-Laki</v>
      </c>
      <c r="I8" s="99" t="str">
        <f>'IMR (Soal Baru)'!I2</f>
        <v>Laki-Laki</v>
      </c>
      <c r="J8" s="99" t="str">
        <f>'IMR (Soal Baru)'!J2</f>
        <v>Perempuan</v>
      </c>
      <c r="K8" s="99" t="str">
        <f>'IMR (Soal Baru)'!K2</f>
        <v>Perempuan</v>
      </c>
      <c r="L8" s="99"/>
      <c r="M8" s="99"/>
      <c r="N8" s="99"/>
      <c r="O8" s="99"/>
      <c r="P8" s="99"/>
      <c r="Q8" s="99"/>
      <c r="R8" s="99"/>
      <c r="S8" s="99"/>
      <c r="T8" s="99"/>
      <c r="U8" s="99"/>
      <c r="V8" s="99"/>
      <c r="W8" s="99"/>
      <c r="X8" s="99"/>
      <c r="Y8" s="99"/>
      <c r="Z8" s="99"/>
      <c r="AA8" s="99"/>
      <c r="AB8" s="99"/>
    </row>
    <row r="9" spans="1:29" s="72" customFormat="1" ht="23" customHeight="1" x14ac:dyDescent="0.35">
      <c r="A9" s="117" t="s">
        <v>0</v>
      </c>
      <c r="B9" s="124" t="s">
        <v>633</v>
      </c>
      <c r="C9" s="125"/>
      <c r="D9" s="125"/>
      <c r="E9" s="125"/>
      <c r="F9" s="125"/>
      <c r="G9" s="125"/>
      <c r="H9" s="125"/>
      <c r="I9" s="125"/>
      <c r="J9" s="125"/>
      <c r="K9" s="126"/>
      <c r="L9" s="117" t="s">
        <v>771</v>
      </c>
      <c r="M9" s="117" t="s">
        <v>772</v>
      </c>
      <c r="N9" s="117" t="s">
        <v>773</v>
      </c>
      <c r="O9" s="117" t="s">
        <v>774</v>
      </c>
      <c r="P9" s="117" t="s">
        <v>775</v>
      </c>
      <c r="Q9" s="117" t="s">
        <v>776</v>
      </c>
      <c r="R9" s="117" t="s">
        <v>777</v>
      </c>
      <c r="S9" s="117" t="s">
        <v>778</v>
      </c>
      <c r="T9" s="117" t="s">
        <v>779</v>
      </c>
      <c r="U9" s="117" t="s">
        <v>780</v>
      </c>
      <c r="V9" s="117" t="s">
        <v>781</v>
      </c>
      <c r="W9" s="117" t="s">
        <v>782</v>
      </c>
      <c r="X9" s="117" t="s">
        <v>783</v>
      </c>
      <c r="Y9" s="117" t="s">
        <v>784</v>
      </c>
      <c r="Z9" s="117" t="s">
        <v>785</v>
      </c>
      <c r="AA9" s="117" t="s">
        <v>786</v>
      </c>
      <c r="AB9" s="117" t="s">
        <v>787</v>
      </c>
    </row>
    <row r="10" spans="1:29" s="72" customFormat="1" ht="23" customHeight="1" x14ac:dyDescent="0.35">
      <c r="A10" s="118"/>
      <c r="B10" s="69">
        <v>1</v>
      </c>
      <c r="C10" s="69">
        <v>2</v>
      </c>
      <c r="D10" s="69">
        <v>3</v>
      </c>
      <c r="E10" s="69">
        <v>4</v>
      </c>
      <c r="F10" s="69">
        <v>5</v>
      </c>
      <c r="G10" s="69">
        <v>6</v>
      </c>
      <c r="H10" s="69">
        <v>7</v>
      </c>
      <c r="I10" s="69">
        <v>8</v>
      </c>
      <c r="J10" s="69">
        <v>9</v>
      </c>
      <c r="K10" s="69">
        <v>10</v>
      </c>
      <c r="L10" s="118"/>
      <c r="M10" s="118"/>
      <c r="N10" s="118"/>
      <c r="O10" s="118"/>
      <c r="P10" s="118"/>
      <c r="Q10" s="118"/>
      <c r="R10" s="118"/>
      <c r="S10" s="118"/>
      <c r="T10" s="118"/>
      <c r="U10" s="118"/>
      <c r="V10" s="118"/>
      <c r="W10" s="118"/>
      <c r="X10" s="118"/>
      <c r="Y10" s="118"/>
      <c r="Z10" s="118"/>
      <c r="AA10" s="118"/>
      <c r="AB10" s="118"/>
    </row>
    <row r="11" spans="1:29" ht="37.5" x14ac:dyDescent="0.35">
      <c r="A11" s="98" t="str">
        <f>'IMR (Soal Baru)'!A5</f>
        <v>1. Apa tujuan utama penerapan SPMI terintegrasi dengan ISO 21001:2018 di perguruan tinggi?</v>
      </c>
      <c r="B11" s="69">
        <f>'IMR (Soal Baru)'!B5</f>
        <v>0</v>
      </c>
      <c r="C11" s="69">
        <f>'IMR (Soal Baru)'!C5</f>
        <v>0</v>
      </c>
      <c r="D11" s="69">
        <f>'IMR (Soal Baru)'!D5</f>
        <v>0</v>
      </c>
      <c r="E11" s="69">
        <f>'IMR (Soal Baru)'!E5</f>
        <v>0</v>
      </c>
      <c r="F11" s="69">
        <f>'IMR (Soal Baru)'!F5</f>
        <v>1</v>
      </c>
      <c r="G11" s="69">
        <f>'IMR (Soal Baru)'!G5</f>
        <v>0</v>
      </c>
      <c r="H11" s="69">
        <f>'IMR (Soal Baru)'!H5</f>
        <v>1</v>
      </c>
      <c r="I11" s="69">
        <f>'IMR (Soal Baru)'!I5</f>
        <v>1</v>
      </c>
      <c r="J11" s="69">
        <f>'IMR (Soal Baru)'!J5</f>
        <v>1</v>
      </c>
      <c r="K11" s="69">
        <f>'IMR (Soal Baru)'!K5</f>
        <v>0</v>
      </c>
      <c r="L11" s="69">
        <f t="shared" ref="L11:L42" si="0">COUNTIF($B$8:$K$8,"Laki-Laki")</f>
        <v>5</v>
      </c>
      <c r="M11" s="69">
        <f t="shared" ref="M11:M42" si="1">COUNTIF($B$8:$K$8,"Perempuan")</f>
        <v>5</v>
      </c>
      <c r="N11" s="69">
        <f t="shared" ref="N11:N42" si="2">SUMIF($B$8:$K$8,"Laki-Laki",B11:K11)</f>
        <v>2</v>
      </c>
      <c r="O11" s="69">
        <f t="shared" ref="O11:O42" si="3">SUMIF($B$8:$K$8,"Perempuan",B11:K11)</f>
        <v>2</v>
      </c>
      <c r="P11" s="69">
        <f t="shared" ref="P11:P42" si="4">IF(N11=0,0.3,IF(N11=L11,L11-0.3,N11))</f>
        <v>2</v>
      </c>
      <c r="Q11" s="69">
        <f t="shared" ref="Q11:Q42" si="5">IF(O11=0,0.3,IF(O11=M11,M11-0.3,O11))</f>
        <v>2</v>
      </c>
      <c r="R11" s="70">
        <f t="shared" ref="R11:R42" si="6">LN((L11-P11)/P11)</f>
        <v>0.40546510810816438</v>
      </c>
      <c r="S11" s="70">
        <f t="shared" ref="S11:S42" si="7">LN((M11-Q11)/Q11)</f>
        <v>0.40546510810816438</v>
      </c>
      <c r="T11" s="70">
        <f t="shared" ref="T11:T42" si="8">R11-AVERAGE($R$11:$R$110)</f>
        <v>0.37472688982746521</v>
      </c>
      <c r="U11" s="70">
        <f t="shared" ref="U11:U42" si="9">S11-AVERAGE($S$11:$S$110)</f>
        <v>0.37472688982746521</v>
      </c>
      <c r="V11" s="70">
        <f t="shared" ref="V11:V42" si="10">SQRT(1/P11+1/(L11-P11))</f>
        <v>0.91287092917527679</v>
      </c>
      <c r="W11" s="70">
        <f t="shared" ref="W11:W42" si="11">SQRT(1/Q11+1/(M11-Q11))</f>
        <v>0.91287092917527679</v>
      </c>
      <c r="X11" s="70">
        <f t="shared" ref="X11:X42" si="12">T11-U11</f>
        <v>0</v>
      </c>
      <c r="Y11" s="70">
        <f t="shared" ref="Y11:Y42" si="13">SQRT(V11^2+W11^2)</f>
        <v>1.2909944487358056</v>
      </c>
      <c r="Z11" s="70">
        <f t="shared" ref="Z11:Z42" si="14">X11/Y11</f>
        <v>0</v>
      </c>
      <c r="AA11" s="69" t="str">
        <f t="shared" ref="AA11:AA42" si="15">IF(AND(ABS(X11)&gt;=$B$4,ABS(Z11)&gt;=$B$5),"DIF Besar - review",IF(AND(ABS(X11)&gt;=$B$3,ABS(Z11)&gt;=$B$5),"DIF Moderat - cek","Negligible"))</f>
        <v>Negligible</v>
      </c>
      <c r="AB11" s="69" t="str">
        <f t="shared" ref="AB11:AB42" si="16">IF(ABS(X11)&gt;=$B$4,"Berpotensi Bias - Tinjau Konten",IF(ABS(X11)&gt;=$B$3,"Indikasi Ringan - Pantau","Tidak Ada Indikasi Bias"))</f>
        <v>Tidak Ada Indikasi Bias</v>
      </c>
    </row>
    <row r="12" spans="1:29" ht="37.5" x14ac:dyDescent="0.35">
      <c r="A12" s="98" t="str">
        <f>'IMR (Soal Baru)'!A6</f>
        <v>2. Dokumen utama yang menunjukkan keterkaitan antar standar dalam siklus PPEPP adalah:</v>
      </c>
      <c r="B12" s="69">
        <f>'IMR (Soal Baru)'!B6</f>
        <v>1</v>
      </c>
      <c r="C12" s="69">
        <f>'IMR (Soal Baru)'!C6</f>
        <v>1</v>
      </c>
      <c r="D12" s="69">
        <f>'IMR (Soal Baru)'!D6</f>
        <v>1</v>
      </c>
      <c r="E12" s="69">
        <f>'IMR (Soal Baru)'!E6</f>
        <v>1</v>
      </c>
      <c r="F12" s="69">
        <f>'IMR (Soal Baru)'!F6</f>
        <v>1</v>
      </c>
      <c r="G12" s="69">
        <f>'IMR (Soal Baru)'!G6</f>
        <v>0</v>
      </c>
      <c r="H12" s="69">
        <f>'IMR (Soal Baru)'!H6</f>
        <v>1</v>
      </c>
      <c r="I12" s="69">
        <f>'IMR (Soal Baru)'!I6</f>
        <v>1</v>
      </c>
      <c r="J12" s="69">
        <f>'IMR (Soal Baru)'!J6</f>
        <v>0</v>
      </c>
      <c r="K12" s="69">
        <f>'IMR (Soal Baru)'!K6</f>
        <v>1</v>
      </c>
      <c r="L12" s="69">
        <f t="shared" si="0"/>
        <v>5</v>
      </c>
      <c r="M12" s="69">
        <f t="shared" si="1"/>
        <v>5</v>
      </c>
      <c r="N12" s="69">
        <f t="shared" si="2"/>
        <v>4</v>
      </c>
      <c r="O12" s="69">
        <f t="shared" si="3"/>
        <v>4</v>
      </c>
      <c r="P12" s="69">
        <f t="shared" si="4"/>
        <v>4</v>
      </c>
      <c r="Q12" s="69">
        <f t="shared" si="5"/>
        <v>4</v>
      </c>
      <c r="R12" s="70">
        <f t="shared" si="6"/>
        <v>-1.3862943611198906</v>
      </c>
      <c r="S12" s="70">
        <f t="shared" si="7"/>
        <v>-1.3862943611198906</v>
      </c>
      <c r="T12" s="70">
        <f t="shared" si="8"/>
        <v>-1.4170325794005898</v>
      </c>
      <c r="U12" s="70">
        <f t="shared" si="9"/>
        <v>-1.4170325794005898</v>
      </c>
      <c r="V12" s="70">
        <f t="shared" si="10"/>
        <v>1.1180339887498949</v>
      </c>
      <c r="W12" s="70">
        <f t="shared" si="11"/>
        <v>1.1180339887498949</v>
      </c>
      <c r="X12" s="70">
        <f t="shared" si="12"/>
        <v>0</v>
      </c>
      <c r="Y12" s="70">
        <f t="shared" si="13"/>
        <v>1.5811388300841898</v>
      </c>
      <c r="Z12" s="70">
        <f t="shared" si="14"/>
        <v>0</v>
      </c>
      <c r="AA12" s="69" t="str">
        <f t="shared" si="15"/>
        <v>Negligible</v>
      </c>
      <c r="AB12" s="69" t="str">
        <f t="shared" si="16"/>
        <v>Tidak Ada Indikasi Bias</v>
      </c>
    </row>
    <row r="13" spans="1:29" ht="37.5" x14ac:dyDescent="0.35">
      <c r="A13" s="98" t="str">
        <f>'IMR (Soal Baru)'!A7</f>
        <v>3. Prinsip utama ISO 21001:2018 yang menekankan keterlibatan aktif pimpinan dan pemangku kepentingan adalah:</v>
      </c>
      <c r="B13" s="69">
        <f>'IMR (Soal Baru)'!B7</f>
        <v>1</v>
      </c>
      <c r="C13" s="69">
        <f>'IMR (Soal Baru)'!C7</f>
        <v>0</v>
      </c>
      <c r="D13" s="69">
        <f>'IMR (Soal Baru)'!D7</f>
        <v>0</v>
      </c>
      <c r="E13" s="69">
        <f>'IMR (Soal Baru)'!E7</f>
        <v>0</v>
      </c>
      <c r="F13" s="69">
        <f>'IMR (Soal Baru)'!F7</f>
        <v>0</v>
      </c>
      <c r="G13" s="69">
        <f>'IMR (Soal Baru)'!G7</f>
        <v>1</v>
      </c>
      <c r="H13" s="69">
        <f>'IMR (Soal Baru)'!H7</f>
        <v>0</v>
      </c>
      <c r="I13" s="69">
        <f>'IMR (Soal Baru)'!I7</f>
        <v>0</v>
      </c>
      <c r="J13" s="69">
        <f>'IMR (Soal Baru)'!J7</f>
        <v>1</v>
      </c>
      <c r="K13" s="69">
        <f>'IMR (Soal Baru)'!K7</f>
        <v>1</v>
      </c>
      <c r="L13" s="69">
        <f t="shared" si="0"/>
        <v>5</v>
      </c>
      <c r="M13" s="69">
        <f t="shared" si="1"/>
        <v>5</v>
      </c>
      <c r="N13" s="69">
        <f t="shared" si="2"/>
        <v>2</v>
      </c>
      <c r="O13" s="69">
        <f t="shared" si="3"/>
        <v>2</v>
      </c>
      <c r="P13" s="69">
        <f t="shared" si="4"/>
        <v>2</v>
      </c>
      <c r="Q13" s="69">
        <f t="shared" si="5"/>
        <v>2</v>
      </c>
      <c r="R13" s="70">
        <f t="shared" si="6"/>
        <v>0.40546510810816438</v>
      </c>
      <c r="S13" s="70">
        <f t="shared" si="7"/>
        <v>0.40546510810816438</v>
      </c>
      <c r="T13" s="70">
        <f t="shared" si="8"/>
        <v>0.37472688982746521</v>
      </c>
      <c r="U13" s="70">
        <f t="shared" si="9"/>
        <v>0.37472688982746521</v>
      </c>
      <c r="V13" s="70">
        <f t="shared" si="10"/>
        <v>0.91287092917527679</v>
      </c>
      <c r="W13" s="70">
        <f t="shared" si="11"/>
        <v>0.91287092917527679</v>
      </c>
      <c r="X13" s="70">
        <f t="shared" si="12"/>
        <v>0</v>
      </c>
      <c r="Y13" s="70">
        <f t="shared" si="13"/>
        <v>1.2909944487358056</v>
      </c>
      <c r="Z13" s="70">
        <f t="shared" si="14"/>
        <v>0</v>
      </c>
      <c r="AA13" s="69" t="str">
        <f t="shared" si="15"/>
        <v>Negligible</v>
      </c>
      <c r="AB13" s="69" t="str">
        <f t="shared" si="16"/>
        <v>Tidak Ada Indikasi Bias</v>
      </c>
    </row>
    <row r="14" spans="1:29" ht="25" x14ac:dyDescent="0.35">
      <c r="A14" s="98" t="str">
        <f>'IMR (Soal Baru)'!A8</f>
        <v>4. Pendekatan berbasis risiko dalam SPMI bertujuan untuk:</v>
      </c>
      <c r="B14" s="69">
        <f>'IMR (Soal Baru)'!B8</f>
        <v>1</v>
      </c>
      <c r="C14" s="69">
        <f>'IMR (Soal Baru)'!C8</f>
        <v>0</v>
      </c>
      <c r="D14" s="69">
        <f>'IMR (Soal Baru)'!D8</f>
        <v>0</v>
      </c>
      <c r="E14" s="69">
        <f>'IMR (Soal Baru)'!E8</f>
        <v>0</v>
      </c>
      <c r="F14" s="69">
        <f>'IMR (Soal Baru)'!F8</f>
        <v>0</v>
      </c>
      <c r="G14" s="69">
        <f>'IMR (Soal Baru)'!G8</f>
        <v>1</v>
      </c>
      <c r="H14" s="69">
        <f>'IMR (Soal Baru)'!H8</f>
        <v>0</v>
      </c>
      <c r="I14" s="69">
        <f>'IMR (Soal Baru)'!I8</f>
        <v>0</v>
      </c>
      <c r="J14" s="69">
        <f>'IMR (Soal Baru)'!J8</f>
        <v>1</v>
      </c>
      <c r="K14" s="69">
        <f>'IMR (Soal Baru)'!K8</f>
        <v>1</v>
      </c>
      <c r="L14" s="69">
        <f t="shared" si="0"/>
        <v>5</v>
      </c>
      <c r="M14" s="69">
        <f t="shared" si="1"/>
        <v>5</v>
      </c>
      <c r="N14" s="69">
        <f t="shared" si="2"/>
        <v>2</v>
      </c>
      <c r="O14" s="69">
        <f t="shared" si="3"/>
        <v>2</v>
      </c>
      <c r="P14" s="69">
        <f t="shared" si="4"/>
        <v>2</v>
      </c>
      <c r="Q14" s="69">
        <f t="shared" si="5"/>
        <v>2</v>
      </c>
      <c r="R14" s="70">
        <f t="shared" si="6"/>
        <v>0.40546510810816438</v>
      </c>
      <c r="S14" s="70">
        <f t="shared" si="7"/>
        <v>0.40546510810816438</v>
      </c>
      <c r="T14" s="70">
        <f t="shared" si="8"/>
        <v>0.37472688982746521</v>
      </c>
      <c r="U14" s="70">
        <f t="shared" si="9"/>
        <v>0.37472688982746521</v>
      </c>
      <c r="V14" s="70">
        <f t="shared" si="10"/>
        <v>0.91287092917527679</v>
      </c>
      <c r="W14" s="70">
        <f t="shared" si="11"/>
        <v>0.91287092917527679</v>
      </c>
      <c r="X14" s="70">
        <f t="shared" si="12"/>
        <v>0</v>
      </c>
      <c r="Y14" s="70">
        <f t="shared" si="13"/>
        <v>1.2909944487358056</v>
      </c>
      <c r="Z14" s="70">
        <f t="shared" si="14"/>
        <v>0</v>
      </c>
      <c r="AA14" s="69" t="str">
        <f t="shared" si="15"/>
        <v>Negligible</v>
      </c>
      <c r="AB14" s="69" t="str">
        <f t="shared" si="16"/>
        <v>Tidak Ada Indikasi Bias</v>
      </c>
    </row>
    <row r="15" spans="1:29" ht="25" x14ac:dyDescent="0.35">
      <c r="A15" s="98" t="str">
        <f>'IMR (Soal Baru)'!A9</f>
        <v>5. Langkah pertama dalam merancang peta risiko untuk standar SPMI adalah:</v>
      </c>
      <c r="B15" s="69">
        <f>'IMR (Soal Baru)'!B9</f>
        <v>0</v>
      </c>
      <c r="C15" s="69">
        <f>'IMR (Soal Baru)'!C9</f>
        <v>1</v>
      </c>
      <c r="D15" s="69">
        <f>'IMR (Soal Baru)'!D9</f>
        <v>1</v>
      </c>
      <c r="E15" s="69">
        <f>'IMR (Soal Baru)'!E9</f>
        <v>1</v>
      </c>
      <c r="F15" s="69">
        <f>'IMR (Soal Baru)'!F9</f>
        <v>1</v>
      </c>
      <c r="G15" s="69">
        <f>'IMR (Soal Baru)'!G9</f>
        <v>1</v>
      </c>
      <c r="H15" s="69">
        <f>'IMR (Soal Baru)'!H9</f>
        <v>1</v>
      </c>
      <c r="I15" s="69">
        <f>'IMR (Soal Baru)'!I9</f>
        <v>0</v>
      </c>
      <c r="J15" s="69">
        <f>'IMR (Soal Baru)'!J9</f>
        <v>0</v>
      </c>
      <c r="K15" s="69">
        <f>'IMR (Soal Baru)'!K9</f>
        <v>0</v>
      </c>
      <c r="L15" s="69">
        <f t="shared" si="0"/>
        <v>5</v>
      </c>
      <c r="M15" s="69">
        <f t="shared" si="1"/>
        <v>5</v>
      </c>
      <c r="N15" s="69">
        <f t="shared" si="2"/>
        <v>3</v>
      </c>
      <c r="O15" s="69">
        <f t="shared" si="3"/>
        <v>3</v>
      </c>
      <c r="P15" s="69">
        <f t="shared" si="4"/>
        <v>3</v>
      </c>
      <c r="Q15" s="69">
        <f t="shared" si="5"/>
        <v>3</v>
      </c>
      <c r="R15" s="70">
        <f t="shared" si="6"/>
        <v>-0.40546510810816444</v>
      </c>
      <c r="S15" s="70">
        <f t="shared" si="7"/>
        <v>-0.40546510810816444</v>
      </c>
      <c r="T15" s="70">
        <f t="shared" si="8"/>
        <v>-0.43620332638886361</v>
      </c>
      <c r="U15" s="70">
        <f t="shared" si="9"/>
        <v>-0.43620332638886361</v>
      </c>
      <c r="V15" s="70">
        <f t="shared" si="10"/>
        <v>0.91287092917527679</v>
      </c>
      <c r="W15" s="70">
        <f t="shared" si="11"/>
        <v>0.91287092917527679</v>
      </c>
      <c r="X15" s="70">
        <f t="shared" si="12"/>
        <v>0</v>
      </c>
      <c r="Y15" s="70">
        <f t="shared" si="13"/>
        <v>1.2909944487358056</v>
      </c>
      <c r="Z15" s="70">
        <f t="shared" si="14"/>
        <v>0</v>
      </c>
      <c r="AA15" s="69" t="str">
        <f t="shared" si="15"/>
        <v>Negligible</v>
      </c>
      <c r="AB15" s="69" t="str">
        <f t="shared" si="16"/>
        <v>Tidak Ada Indikasi Bias</v>
      </c>
    </row>
    <row r="16" spans="1:29" ht="37.5" customHeight="1" x14ac:dyDescent="0.35">
      <c r="A16" s="98" t="str">
        <f>'IMR (Soal Baru)'!A10</f>
        <v>6. Manakah yang termasuk output dari proses penetapan standar mutu internal?</v>
      </c>
      <c r="B16" s="69">
        <f>'IMR (Soal Baru)'!B10</f>
        <v>1</v>
      </c>
      <c r="C16" s="69">
        <f>'IMR (Soal Baru)'!C10</f>
        <v>0</v>
      </c>
      <c r="D16" s="69">
        <f>'IMR (Soal Baru)'!D10</f>
        <v>1</v>
      </c>
      <c r="E16" s="69">
        <f>'IMR (Soal Baru)'!E10</f>
        <v>1</v>
      </c>
      <c r="F16" s="69">
        <f>'IMR (Soal Baru)'!F10</f>
        <v>0</v>
      </c>
      <c r="G16" s="69">
        <f>'IMR (Soal Baru)'!G10</f>
        <v>0</v>
      </c>
      <c r="H16" s="69">
        <f>'IMR (Soal Baru)'!H10</f>
        <v>1</v>
      </c>
      <c r="I16" s="69">
        <f>'IMR (Soal Baru)'!I10</f>
        <v>0</v>
      </c>
      <c r="J16" s="69">
        <f>'IMR (Soal Baru)'!J10</f>
        <v>0</v>
      </c>
      <c r="K16" s="69">
        <f>'IMR (Soal Baru)'!K10</f>
        <v>0</v>
      </c>
      <c r="L16" s="69">
        <f t="shared" si="0"/>
        <v>5</v>
      </c>
      <c r="M16" s="69">
        <f t="shared" si="1"/>
        <v>5</v>
      </c>
      <c r="N16" s="69">
        <f t="shared" si="2"/>
        <v>2</v>
      </c>
      <c r="O16" s="69">
        <f t="shared" si="3"/>
        <v>2</v>
      </c>
      <c r="P16" s="69">
        <f t="shared" si="4"/>
        <v>2</v>
      </c>
      <c r="Q16" s="69">
        <f t="shared" si="5"/>
        <v>2</v>
      </c>
      <c r="R16" s="70">
        <f t="shared" si="6"/>
        <v>0.40546510810816438</v>
      </c>
      <c r="S16" s="70">
        <f t="shared" si="7"/>
        <v>0.40546510810816438</v>
      </c>
      <c r="T16" s="70">
        <f t="shared" si="8"/>
        <v>0.37472688982746521</v>
      </c>
      <c r="U16" s="70">
        <f t="shared" si="9"/>
        <v>0.37472688982746521</v>
      </c>
      <c r="V16" s="70">
        <f t="shared" si="10"/>
        <v>0.91287092917527679</v>
      </c>
      <c r="W16" s="70">
        <f t="shared" si="11"/>
        <v>0.91287092917527679</v>
      </c>
      <c r="X16" s="70">
        <f t="shared" si="12"/>
        <v>0</v>
      </c>
      <c r="Y16" s="70">
        <f t="shared" si="13"/>
        <v>1.2909944487358056</v>
      </c>
      <c r="Z16" s="70">
        <f t="shared" si="14"/>
        <v>0</v>
      </c>
      <c r="AA16" s="69" t="str">
        <f t="shared" si="15"/>
        <v>Negligible</v>
      </c>
      <c r="AB16" s="69" t="str">
        <f t="shared" si="16"/>
        <v>Tidak Ada Indikasi Bias</v>
      </c>
    </row>
    <row r="17" spans="1:28" ht="37.5" customHeight="1" x14ac:dyDescent="0.35">
      <c r="A17" s="98" t="str">
        <f>'IMR (Soal Baru)'!A11</f>
        <v>7. Dalam konteks ISO 21001:2018, siapa yang dimaksud dengan 'relevant interested parties'?</v>
      </c>
      <c r="B17" s="69">
        <f>'IMR (Soal Baru)'!B11</f>
        <v>0</v>
      </c>
      <c r="C17" s="69">
        <f>'IMR (Soal Baru)'!C11</f>
        <v>1</v>
      </c>
      <c r="D17" s="69">
        <f>'IMR (Soal Baru)'!D11</f>
        <v>0</v>
      </c>
      <c r="E17" s="69">
        <f>'IMR (Soal Baru)'!E11</f>
        <v>1</v>
      </c>
      <c r="F17" s="69">
        <f>'IMR (Soal Baru)'!F11</f>
        <v>0</v>
      </c>
      <c r="G17" s="69">
        <f>'IMR (Soal Baru)'!G11</f>
        <v>0</v>
      </c>
      <c r="H17" s="69">
        <f>'IMR (Soal Baru)'!H11</f>
        <v>1</v>
      </c>
      <c r="I17" s="69">
        <f>'IMR (Soal Baru)'!I11</f>
        <v>1</v>
      </c>
      <c r="J17" s="69">
        <f>'IMR (Soal Baru)'!J11</f>
        <v>1</v>
      </c>
      <c r="K17" s="69">
        <f>'IMR (Soal Baru)'!K11</f>
        <v>1</v>
      </c>
      <c r="L17" s="69">
        <f t="shared" si="0"/>
        <v>5</v>
      </c>
      <c r="M17" s="69">
        <f t="shared" si="1"/>
        <v>5</v>
      </c>
      <c r="N17" s="69">
        <f t="shared" si="2"/>
        <v>3</v>
      </c>
      <c r="O17" s="69">
        <f t="shared" si="3"/>
        <v>3</v>
      </c>
      <c r="P17" s="69">
        <f t="shared" si="4"/>
        <v>3</v>
      </c>
      <c r="Q17" s="69">
        <f t="shared" si="5"/>
        <v>3</v>
      </c>
      <c r="R17" s="70">
        <f t="shared" si="6"/>
        <v>-0.40546510810816444</v>
      </c>
      <c r="S17" s="70">
        <f t="shared" si="7"/>
        <v>-0.40546510810816444</v>
      </c>
      <c r="T17" s="70">
        <f t="shared" si="8"/>
        <v>-0.43620332638886361</v>
      </c>
      <c r="U17" s="70">
        <f t="shared" si="9"/>
        <v>-0.43620332638886361</v>
      </c>
      <c r="V17" s="70">
        <f t="shared" si="10"/>
        <v>0.91287092917527679</v>
      </c>
      <c r="W17" s="70">
        <f t="shared" si="11"/>
        <v>0.91287092917527679</v>
      </c>
      <c r="X17" s="70">
        <f t="shared" si="12"/>
        <v>0</v>
      </c>
      <c r="Y17" s="70">
        <f t="shared" si="13"/>
        <v>1.2909944487358056</v>
      </c>
      <c r="Z17" s="70">
        <f t="shared" si="14"/>
        <v>0</v>
      </c>
      <c r="AA17" s="69" t="str">
        <f t="shared" si="15"/>
        <v>Negligible</v>
      </c>
      <c r="AB17" s="69" t="str">
        <f t="shared" si="16"/>
        <v>Tidak Ada Indikasi Bias</v>
      </c>
    </row>
    <row r="18" spans="1:28" ht="25" x14ac:dyDescent="0.35">
      <c r="A18" s="98" t="str">
        <f>'IMR (Soal Baru)'!A12</f>
        <v>8. Audit Mutu Internal dalam siklus PPEPP digunakan pada tahap:</v>
      </c>
      <c r="B18" s="69">
        <f>'IMR (Soal Baru)'!B12</f>
        <v>0</v>
      </c>
      <c r="C18" s="69">
        <f>'IMR (Soal Baru)'!C12</f>
        <v>1</v>
      </c>
      <c r="D18" s="69">
        <f>'IMR (Soal Baru)'!D12</f>
        <v>1</v>
      </c>
      <c r="E18" s="69">
        <f>'IMR (Soal Baru)'!E12</f>
        <v>1</v>
      </c>
      <c r="F18" s="69">
        <f>'IMR (Soal Baru)'!F12</f>
        <v>0</v>
      </c>
      <c r="G18" s="69">
        <f>'IMR (Soal Baru)'!G12</f>
        <v>1</v>
      </c>
      <c r="H18" s="69">
        <f>'IMR (Soal Baru)'!H12</f>
        <v>1</v>
      </c>
      <c r="I18" s="69">
        <f>'IMR (Soal Baru)'!I12</f>
        <v>1</v>
      </c>
      <c r="J18" s="69">
        <f>'IMR (Soal Baru)'!J12</f>
        <v>1</v>
      </c>
      <c r="K18" s="69">
        <f>'IMR (Soal Baru)'!K12</f>
        <v>1</v>
      </c>
      <c r="L18" s="69">
        <f t="shared" si="0"/>
        <v>5</v>
      </c>
      <c r="M18" s="69">
        <f t="shared" si="1"/>
        <v>5</v>
      </c>
      <c r="N18" s="69">
        <f t="shared" si="2"/>
        <v>4</v>
      </c>
      <c r="O18" s="69">
        <f t="shared" si="3"/>
        <v>4</v>
      </c>
      <c r="P18" s="69">
        <f t="shared" si="4"/>
        <v>4</v>
      </c>
      <c r="Q18" s="69">
        <f t="shared" si="5"/>
        <v>4</v>
      </c>
      <c r="R18" s="70">
        <f t="shared" si="6"/>
        <v>-1.3862943611198906</v>
      </c>
      <c r="S18" s="70">
        <f t="shared" si="7"/>
        <v>-1.3862943611198906</v>
      </c>
      <c r="T18" s="70">
        <f t="shared" si="8"/>
        <v>-1.4170325794005898</v>
      </c>
      <c r="U18" s="70">
        <f t="shared" si="9"/>
        <v>-1.4170325794005898</v>
      </c>
      <c r="V18" s="70">
        <f t="shared" si="10"/>
        <v>1.1180339887498949</v>
      </c>
      <c r="W18" s="70">
        <f t="shared" si="11"/>
        <v>1.1180339887498949</v>
      </c>
      <c r="X18" s="70">
        <f t="shared" si="12"/>
        <v>0</v>
      </c>
      <c r="Y18" s="70">
        <f t="shared" si="13"/>
        <v>1.5811388300841898</v>
      </c>
      <c r="Z18" s="70">
        <f t="shared" si="14"/>
        <v>0</v>
      </c>
      <c r="AA18" s="69" t="str">
        <f t="shared" si="15"/>
        <v>Negligible</v>
      </c>
      <c r="AB18" s="69" t="str">
        <f t="shared" si="16"/>
        <v>Tidak Ada Indikasi Bias</v>
      </c>
    </row>
    <row r="19" spans="1:28" ht="37.5" x14ac:dyDescent="0.35">
      <c r="A19" s="98" t="str">
        <f>'IMR (Soal Baru)'!A13</f>
        <v>9. Metode analisis risiko yang sering digunakan dalam SPMI berbasis risiko adalah:</v>
      </c>
      <c r="B19" s="69">
        <f>'IMR (Soal Baru)'!B13</f>
        <v>1</v>
      </c>
      <c r="C19" s="69">
        <f>'IMR (Soal Baru)'!C13</f>
        <v>1</v>
      </c>
      <c r="D19" s="69">
        <f>'IMR (Soal Baru)'!D13</f>
        <v>0</v>
      </c>
      <c r="E19" s="69">
        <f>'IMR (Soal Baru)'!E13</f>
        <v>0</v>
      </c>
      <c r="F19" s="69">
        <f>'IMR (Soal Baru)'!F13</f>
        <v>1</v>
      </c>
      <c r="G19" s="69">
        <f>'IMR (Soal Baru)'!G13</f>
        <v>0</v>
      </c>
      <c r="H19" s="69">
        <f>'IMR (Soal Baru)'!H13</f>
        <v>0</v>
      </c>
      <c r="I19" s="69">
        <f>'IMR (Soal Baru)'!I13</f>
        <v>0</v>
      </c>
      <c r="J19" s="69">
        <f>'IMR (Soal Baru)'!J13</f>
        <v>0</v>
      </c>
      <c r="K19" s="69">
        <f>'IMR (Soal Baru)'!K13</f>
        <v>1</v>
      </c>
      <c r="L19" s="69">
        <f t="shared" si="0"/>
        <v>5</v>
      </c>
      <c r="M19" s="69">
        <f t="shared" si="1"/>
        <v>5</v>
      </c>
      <c r="N19" s="69">
        <f t="shared" si="2"/>
        <v>2</v>
      </c>
      <c r="O19" s="69">
        <f t="shared" si="3"/>
        <v>2</v>
      </c>
      <c r="P19" s="69">
        <f t="shared" si="4"/>
        <v>2</v>
      </c>
      <c r="Q19" s="69">
        <f t="shared" si="5"/>
        <v>2</v>
      </c>
      <c r="R19" s="70">
        <f t="shared" si="6"/>
        <v>0.40546510810816438</v>
      </c>
      <c r="S19" s="70">
        <f t="shared" si="7"/>
        <v>0.40546510810816438</v>
      </c>
      <c r="T19" s="70">
        <f t="shared" si="8"/>
        <v>0.37472688982746521</v>
      </c>
      <c r="U19" s="70">
        <f t="shared" si="9"/>
        <v>0.37472688982746521</v>
      </c>
      <c r="V19" s="70">
        <f t="shared" si="10"/>
        <v>0.91287092917527679</v>
      </c>
      <c r="W19" s="70">
        <f t="shared" si="11"/>
        <v>0.91287092917527679</v>
      </c>
      <c r="X19" s="70">
        <f t="shared" si="12"/>
        <v>0</v>
      </c>
      <c r="Y19" s="70">
        <f t="shared" si="13"/>
        <v>1.2909944487358056</v>
      </c>
      <c r="Z19" s="70">
        <f t="shared" si="14"/>
        <v>0</v>
      </c>
      <c r="AA19" s="69" t="str">
        <f t="shared" si="15"/>
        <v>Negligible</v>
      </c>
      <c r="AB19" s="69" t="str">
        <f t="shared" si="16"/>
        <v>Tidak Ada Indikasi Bias</v>
      </c>
    </row>
    <row r="20" spans="1:28" ht="25" x14ac:dyDescent="0.35">
      <c r="A20" s="98" t="str">
        <f>'IMR (Soal Baru)'!A14</f>
        <v>10. Kriteria risiko dalam penilaian risiko SPMI umumnya terdiri atas:</v>
      </c>
      <c r="B20" s="69">
        <f>'IMR (Soal Baru)'!B14</f>
        <v>1</v>
      </c>
      <c r="C20" s="69">
        <f>'IMR (Soal Baru)'!C14</f>
        <v>0</v>
      </c>
      <c r="D20" s="69">
        <f>'IMR (Soal Baru)'!D14</f>
        <v>1</v>
      </c>
      <c r="E20" s="69">
        <f>'IMR (Soal Baru)'!E14</f>
        <v>0</v>
      </c>
      <c r="F20" s="69">
        <f>'IMR (Soal Baru)'!F14</f>
        <v>0</v>
      </c>
      <c r="G20" s="69">
        <f>'IMR (Soal Baru)'!G14</f>
        <v>0</v>
      </c>
      <c r="H20" s="69">
        <f>'IMR (Soal Baru)'!H14</f>
        <v>0</v>
      </c>
      <c r="I20" s="69">
        <f>'IMR (Soal Baru)'!I14</f>
        <v>0</v>
      </c>
      <c r="J20" s="69">
        <f>'IMR (Soal Baru)'!J14</f>
        <v>0</v>
      </c>
      <c r="K20" s="69">
        <f>'IMR (Soal Baru)'!K14</f>
        <v>0</v>
      </c>
      <c r="L20" s="69">
        <f t="shared" si="0"/>
        <v>5</v>
      </c>
      <c r="M20" s="69">
        <f t="shared" si="1"/>
        <v>5</v>
      </c>
      <c r="N20" s="69">
        <f t="shared" si="2"/>
        <v>1</v>
      </c>
      <c r="O20" s="69">
        <f t="shared" si="3"/>
        <v>1</v>
      </c>
      <c r="P20" s="69">
        <f t="shared" si="4"/>
        <v>1</v>
      </c>
      <c r="Q20" s="69">
        <f t="shared" si="5"/>
        <v>1</v>
      </c>
      <c r="R20" s="70">
        <f t="shared" si="6"/>
        <v>1.3862943611198906</v>
      </c>
      <c r="S20" s="70">
        <f t="shared" si="7"/>
        <v>1.3862943611198906</v>
      </c>
      <c r="T20" s="70">
        <f t="shared" si="8"/>
        <v>1.3555561428391913</v>
      </c>
      <c r="U20" s="70">
        <f t="shared" si="9"/>
        <v>1.3555561428391913</v>
      </c>
      <c r="V20" s="70">
        <f t="shared" si="10"/>
        <v>1.1180339887498949</v>
      </c>
      <c r="W20" s="70">
        <f t="shared" si="11"/>
        <v>1.1180339887498949</v>
      </c>
      <c r="X20" s="70">
        <f t="shared" si="12"/>
        <v>0</v>
      </c>
      <c r="Y20" s="70">
        <f t="shared" si="13"/>
        <v>1.5811388300841898</v>
      </c>
      <c r="Z20" s="70">
        <f t="shared" si="14"/>
        <v>0</v>
      </c>
      <c r="AA20" s="69" t="str">
        <f t="shared" si="15"/>
        <v>Negligible</v>
      </c>
      <c r="AB20" s="69" t="str">
        <f t="shared" si="16"/>
        <v>Tidak Ada Indikasi Bias</v>
      </c>
    </row>
    <row r="21" spans="1:28" ht="37.5" x14ac:dyDescent="0.35">
      <c r="A21" s="98" t="str">
        <f>'IMR (Soal Baru)'!A15</f>
        <v>11. Dokumen yang menunjukkan komitmen tertinggi terhadap mutu dari pimpinan perguruan tinggi adalah:</v>
      </c>
      <c r="B21" s="69">
        <f>'IMR (Soal Baru)'!B15</f>
        <v>0</v>
      </c>
      <c r="C21" s="69">
        <f>'IMR (Soal Baru)'!C15</f>
        <v>0</v>
      </c>
      <c r="D21" s="69">
        <f>'IMR (Soal Baru)'!D15</f>
        <v>0</v>
      </c>
      <c r="E21" s="69">
        <f>'IMR (Soal Baru)'!E15</f>
        <v>0</v>
      </c>
      <c r="F21" s="69">
        <f>'IMR (Soal Baru)'!F15</f>
        <v>0</v>
      </c>
      <c r="G21" s="69">
        <f>'IMR (Soal Baru)'!G15</f>
        <v>1</v>
      </c>
      <c r="H21" s="69">
        <f>'IMR (Soal Baru)'!H15</f>
        <v>0</v>
      </c>
      <c r="I21" s="69">
        <f>'IMR (Soal Baru)'!I15</f>
        <v>1</v>
      </c>
      <c r="J21" s="69">
        <f>'IMR (Soal Baru)'!J15</f>
        <v>1</v>
      </c>
      <c r="K21" s="69">
        <f>'IMR (Soal Baru)'!K15</f>
        <v>1</v>
      </c>
      <c r="L21" s="69">
        <f t="shared" si="0"/>
        <v>5</v>
      </c>
      <c r="M21" s="69">
        <f t="shared" si="1"/>
        <v>5</v>
      </c>
      <c r="N21" s="69">
        <f t="shared" si="2"/>
        <v>2</v>
      </c>
      <c r="O21" s="69">
        <f t="shared" si="3"/>
        <v>2</v>
      </c>
      <c r="P21" s="69">
        <f t="shared" si="4"/>
        <v>2</v>
      </c>
      <c r="Q21" s="69">
        <f t="shared" si="5"/>
        <v>2</v>
      </c>
      <c r="R21" s="70">
        <f t="shared" si="6"/>
        <v>0.40546510810816438</v>
      </c>
      <c r="S21" s="70">
        <f t="shared" si="7"/>
        <v>0.40546510810816438</v>
      </c>
      <c r="T21" s="70">
        <f t="shared" si="8"/>
        <v>0.37472688982746521</v>
      </c>
      <c r="U21" s="70">
        <f t="shared" si="9"/>
        <v>0.37472688982746521</v>
      </c>
      <c r="V21" s="70">
        <f t="shared" si="10"/>
        <v>0.91287092917527679</v>
      </c>
      <c r="W21" s="70">
        <f t="shared" si="11"/>
        <v>0.91287092917527679</v>
      </c>
      <c r="X21" s="70">
        <f t="shared" si="12"/>
        <v>0</v>
      </c>
      <c r="Y21" s="70">
        <f t="shared" si="13"/>
        <v>1.2909944487358056</v>
      </c>
      <c r="Z21" s="70">
        <f t="shared" si="14"/>
        <v>0</v>
      </c>
      <c r="AA21" s="69" t="str">
        <f t="shared" si="15"/>
        <v>Negligible</v>
      </c>
      <c r="AB21" s="69" t="str">
        <f t="shared" si="16"/>
        <v>Tidak Ada Indikasi Bias</v>
      </c>
    </row>
    <row r="22" spans="1:28" ht="37.5" x14ac:dyDescent="0.35">
      <c r="A22" s="98" t="str">
        <f>'IMR (Soal Baru)'!A16</f>
        <v>12. Apa yang dimaksud dengan “continual improvement” dalam konteks ISO 21001 dan SPMI?</v>
      </c>
      <c r="B22" s="69">
        <f>'IMR (Soal Baru)'!B16</f>
        <v>1</v>
      </c>
      <c r="C22" s="69">
        <f>'IMR (Soal Baru)'!C16</f>
        <v>1</v>
      </c>
      <c r="D22" s="69">
        <f>'IMR (Soal Baru)'!D16</f>
        <v>1</v>
      </c>
      <c r="E22" s="69">
        <f>'IMR (Soal Baru)'!E16</f>
        <v>0</v>
      </c>
      <c r="F22" s="69">
        <f>'IMR (Soal Baru)'!F16</f>
        <v>0</v>
      </c>
      <c r="G22" s="69">
        <f>'IMR (Soal Baru)'!G16</f>
        <v>0</v>
      </c>
      <c r="H22" s="69">
        <f>'IMR (Soal Baru)'!H16</f>
        <v>0</v>
      </c>
      <c r="I22" s="69">
        <f>'IMR (Soal Baru)'!I16</f>
        <v>0</v>
      </c>
      <c r="J22" s="69">
        <f>'IMR (Soal Baru)'!J16</f>
        <v>1</v>
      </c>
      <c r="K22" s="69">
        <f>'IMR (Soal Baru)'!K16</f>
        <v>0</v>
      </c>
      <c r="L22" s="69">
        <f t="shared" si="0"/>
        <v>5</v>
      </c>
      <c r="M22" s="69">
        <f t="shared" si="1"/>
        <v>5</v>
      </c>
      <c r="N22" s="69">
        <f t="shared" si="2"/>
        <v>2</v>
      </c>
      <c r="O22" s="69">
        <f t="shared" si="3"/>
        <v>2</v>
      </c>
      <c r="P22" s="69">
        <f t="shared" si="4"/>
        <v>2</v>
      </c>
      <c r="Q22" s="69">
        <f t="shared" si="5"/>
        <v>2</v>
      </c>
      <c r="R22" s="70">
        <f t="shared" si="6"/>
        <v>0.40546510810816438</v>
      </c>
      <c r="S22" s="70">
        <f t="shared" si="7"/>
        <v>0.40546510810816438</v>
      </c>
      <c r="T22" s="70">
        <f t="shared" si="8"/>
        <v>0.37472688982746521</v>
      </c>
      <c r="U22" s="70">
        <f t="shared" si="9"/>
        <v>0.37472688982746521</v>
      </c>
      <c r="V22" s="70">
        <f t="shared" si="10"/>
        <v>0.91287092917527679</v>
      </c>
      <c r="W22" s="70">
        <f t="shared" si="11"/>
        <v>0.91287092917527679</v>
      </c>
      <c r="X22" s="70">
        <f t="shared" si="12"/>
        <v>0</v>
      </c>
      <c r="Y22" s="70">
        <f t="shared" si="13"/>
        <v>1.2909944487358056</v>
      </c>
      <c r="Z22" s="70">
        <f t="shared" si="14"/>
        <v>0</v>
      </c>
      <c r="AA22" s="69" t="str">
        <f t="shared" si="15"/>
        <v>Negligible</v>
      </c>
      <c r="AB22" s="69" t="str">
        <f t="shared" si="16"/>
        <v>Tidak Ada Indikasi Bias</v>
      </c>
    </row>
    <row r="23" spans="1:28" ht="25" x14ac:dyDescent="0.35">
      <c r="A23" s="98" t="str">
        <f>'IMR (Soal Baru)'!A17</f>
        <v>13. Salah satu indikator efektivitas pelaksanaan standar dalam PPEPP adalah:</v>
      </c>
      <c r="B23" s="69">
        <f>'IMR (Soal Baru)'!B17</f>
        <v>0</v>
      </c>
      <c r="C23" s="69">
        <f>'IMR (Soal Baru)'!C17</f>
        <v>0</v>
      </c>
      <c r="D23" s="69">
        <f>'IMR (Soal Baru)'!D17</f>
        <v>0</v>
      </c>
      <c r="E23" s="69">
        <f>'IMR (Soal Baru)'!E17</f>
        <v>0</v>
      </c>
      <c r="F23" s="69">
        <f>'IMR (Soal Baru)'!F17</f>
        <v>1</v>
      </c>
      <c r="G23" s="69">
        <f>'IMR (Soal Baru)'!G17</f>
        <v>0</v>
      </c>
      <c r="H23" s="69">
        <f>'IMR (Soal Baru)'!H17</f>
        <v>1</v>
      </c>
      <c r="I23" s="69">
        <f>'IMR (Soal Baru)'!I17</f>
        <v>1</v>
      </c>
      <c r="J23" s="69">
        <f>'IMR (Soal Baru)'!J17</f>
        <v>0</v>
      </c>
      <c r="K23" s="69">
        <f>'IMR (Soal Baru)'!K17</f>
        <v>1</v>
      </c>
      <c r="L23" s="69">
        <f t="shared" si="0"/>
        <v>5</v>
      </c>
      <c r="M23" s="69">
        <f t="shared" si="1"/>
        <v>5</v>
      </c>
      <c r="N23" s="69">
        <f t="shared" si="2"/>
        <v>2</v>
      </c>
      <c r="O23" s="69">
        <f t="shared" si="3"/>
        <v>2</v>
      </c>
      <c r="P23" s="69">
        <f t="shared" si="4"/>
        <v>2</v>
      </c>
      <c r="Q23" s="69">
        <f t="shared" si="5"/>
        <v>2</v>
      </c>
      <c r="R23" s="70">
        <f t="shared" si="6"/>
        <v>0.40546510810816438</v>
      </c>
      <c r="S23" s="70">
        <f t="shared" si="7"/>
        <v>0.40546510810816438</v>
      </c>
      <c r="T23" s="70">
        <f t="shared" si="8"/>
        <v>0.37472688982746521</v>
      </c>
      <c r="U23" s="70">
        <f t="shared" si="9"/>
        <v>0.37472688982746521</v>
      </c>
      <c r="V23" s="70">
        <f t="shared" si="10"/>
        <v>0.91287092917527679</v>
      </c>
      <c r="W23" s="70">
        <f t="shared" si="11"/>
        <v>0.91287092917527679</v>
      </c>
      <c r="X23" s="70">
        <f t="shared" si="12"/>
        <v>0</v>
      </c>
      <c r="Y23" s="70">
        <f t="shared" si="13"/>
        <v>1.2909944487358056</v>
      </c>
      <c r="Z23" s="70">
        <f t="shared" si="14"/>
        <v>0</v>
      </c>
      <c r="AA23" s="69" t="str">
        <f t="shared" si="15"/>
        <v>Negligible</v>
      </c>
      <c r="AB23" s="69" t="str">
        <f t="shared" si="16"/>
        <v>Tidak Ada Indikasi Bias</v>
      </c>
    </row>
    <row r="24" spans="1:28" ht="37.5" x14ac:dyDescent="0.35">
      <c r="A24" s="98" t="str">
        <f>'IMR (Soal Baru)'!A18</f>
        <v>14. Integrasi ISO 21001 dalam SPMI harus memperhatikan prinsip PDCA, yang dalam konteks SPMI setara dengan:</v>
      </c>
      <c r="B24" s="69">
        <f>'IMR (Soal Baru)'!B18</f>
        <v>0</v>
      </c>
      <c r="C24" s="69">
        <f>'IMR (Soal Baru)'!C18</f>
        <v>1</v>
      </c>
      <c r="D24" s="69">
        <f>'IMR (Soal Baru)'!D18</f>
        <v>1</v>
      </c>
      <c r="E24" s="69">
        <f>'IMR (Soal Baru)'!E18</f>
        <v>0</v>
      </c>
      <c r="F24" s="69">
        <f>'IMR (Soal Baru)'!F18</f>
        <v>1</v>
      </c>
      <c r="G24" s="69">
        <f>'IMR (Soal Baru)'!G18</f>
        <v>1</v>
      </c>
      <c r="H24" s="69">
        <f>'IMR (Soal Baru)'!H18</f>
        <v>1</v>
      </c>
      <c r="I24" s="69">
        <f>'IMR (Soal Baru)'!I18</f>
        <v>1</v>
      </c>
      <c r="J24" s="69">
        <f>'IMR (Soal Baru)'!J18</f>
        <v>1</v>
      </c>
      <c r="K24" s="69">
        <f>'IMR (Soal Baru)'!K18</f>
        <v>1</v>
      </c>
      <c r="L24" s="69">
        <f t="shared" si="0"/>
        <v>5</v>
      </c>
      <c r="M24" s="69">
        <f t="shared" si="1"/>
        <v>5</v>
      </c>
      <c r="N24" s="69">
        <f t="shared" si="2"/>
        <v>4</v>
      </c>
      <c r="O24" s="69">
        <f t="shared" si="3"/>
        <v>4</v>
      </c>
      <c r="P24" s="69">
        <f t="shared" si="4"/>
        <v>4</v>
      </c>
      <c r="Q24" s="69">
        <f t="shared" si="5"/>
        <v>4</v>
      </c>
      <c r="R24" s="70">
        <f t="shared" si="6"/>
        <v>-1.3862943611198906</v>
      </c>
      <c r="S24" s="70">
        <f t="shared" si="7"/>
        <v>-1.3862943611198906</v>
      </c>
      <c r="T24" s="70">
        <f t="shared" si="8"/>
        <v>-1.4170325794005898</v>
      </c>
      <c r="U24" s="70">
        <f t="shared" si="9"/>
        <v>-1.4170325794005898</v>
      </c>
      <c r="V24" s="70">
        <f t="shared" si="10"/>
        <v>1.1180339887498949</v>
      </c>
      <c r="W24" s="70">
        <f t="shared" si="11"/>
        <v>1.1180339887498949</v>
      </c>
      <c r="X24" s="70">
        <f t="shared" si="12"/>
        <v>0</v>
      </c>
      <c r="Y24" s="70">
        <f t="shared" si="13"/>
        <v>1.5811388300841898</v>
      </c>
      <c r="Z24" s="70">
        <f t="shared" si="14"/>
        <v>0</v>
      </c>
      <c r="AA24" s="69" t="str">
        <f t="shared" si="15"/>
        <v>Negligible</v>
      </c>
      <c r="AB24" s="69" t="str">
        <f t="shared" si="16"/>
        <v>Tidak Ada Indikasi Bias</v>
      </c>
    </row>
    <row r="25" spans="1:28" ht="75" customHeight="1" x14ac:dyDescent="0.35">
      <c r="A25" s="98" t="str">
        <f>'IMR (Soal Baru)'!A19</f>
        <v>15. Apa fungsi utama dari Evaluasi Diri Program Studi (EDPS) dalam sistem mutu?</v>
      </c>
      <c r="B25" s="69">
        <f>'IMR (Soal Baru)'!B19</f>
        <v>0</v>
      </c>
      <c r="C25" s="69">
        <f>'IMR (Soal Baru)'!C19</f>
        <v>0</v>
      </c>
      <c r="D25" s="69">
        <f>'IMR (Soal Baru)'!D19</f>
        <v>0</v>
      </c>
      <c r="E25" s="69">
        <f>'IMR (Soal Baru)'!E19</f>
        <v>0</v>
      </c>
      <c r="F25" s="69">
        <f>'IMR (Soal Baru)'!F19</f>
        <v>0</v>
      </c>
      <c r="G25" s="69">
        <f>'IMR (Soal Baru)'!G19</f>
        <v>0</v>
      </c>
      <c r="H25" s="69">
        <f>'IMR (Soal Baru)'!H19</f>
        <v>1</v>
      </c>
      <c r="I25" s="69">
        <f>'IMR (Soal Baru)'!I19</f>
        <v>1</v>
      </c>
      <c r="J25" s="69">
        <f>'IMR (Soal Baru)'!J19</f>
        <v>1</v>
      </c>
      <c r="K25" s="69">
        <f>'IMR (Soal Baru)'!K19</f>
        <v>1</v>
      </c>
      <c r="L25" s="69">
        <f t="shared" si="0"/>
        <v>5</v>
      </c>
      <c r="M25" s="69">
        <f t="shared" si="1"/>
        <v>5</v>
      </c>
      <c r="N25" s="69">
        <f t="shared" si="2"/>
        <v>2</v>
      </c>
      <c r="O25" s="69">
        <f t="shared" si="3"/>
        <v>2</v>
      </c>
      <c r="P25" s="69">
        <f t="shared" si="4"/>
        <v>2</v>
      </c>
      <c r="Q25" s="69">
        <f t="shared" si="5"/>
        <v>2</v>
      </c>
      <c r="R25" s="70">
        <f t="shared" si="6"/>
        <v>0.40546510810816438</v>
      </c>
      <c r="S25" s="70">
        <f t="shared" si="7"/>
        <v>0.40546510810816438</v>
      </c>
      <c r="T25" s="70">
        <f t="shared" si="8"/>
        <v>0.37472688982746521</v>
      </c>
      <c r="U25" s="70">
        <f t="shared" si="9"/>
        <v>0.37472688982746521</v>
      </c>
      <c r="V25" s="70">
        <f t="shared" si="10"/>
        <v>0.91287092917527679</v>
      </c>
      <c r="W25" s="70">
        <f t="shared" si="11"/>
        <v>0.91287092917527679</v>
      </c>
      <c r="X25" s="70">
        <f t="shared" si="12"/>
        <v>0</v>
      </c>
      <c r="Y25" s="70">
        <f t="shared" si="13"/>
        <v>1.2909944487358056</v>
      </c>
      <c r="Z25" s="70">
        <f t="shared" si="14"/>
        <v>0</v>
      </c>
      <c r="AA25" s="69" t="str">
        <f t="shared" si="15"/>
        <v>Negligible</v>
      </c>
      <c r="AB25" s="69" t="str">
        <f t="shared" si="16"/>
        <v>Tidak Ada Indikasi Bias</v>
      </c>
    </row>
    <row r="26" spans="1:28" ht="25" x14ac:dyDescent="0.35">
      <c r="A26" s="98" t="str">
        <f>'IMR (Soal Baru)'!A20</f>
        <v>16. Dalam ISO 21001:2018, pendekatan berbasis risiko ditempatkan pada bagian:</v>
      </c>
      <c r="B26" s="69">
        <f>'IMR (Soal Baru)'!B20</f>
        <v>0</v>
      </c>
      <c r="C26" s="69">
        <f>'IMR (Soal Baru)'!C20</f>
        <v>0</v>
      </c>
      <c r="D26" s="69">
        <f>'IMR (Soal Baru)'!D20</f>
        <v>0</v>
      </c>
      <c r="E26" s="69">
        <f>'IMR (Soal Baru)'!E20</f>
        <v>0</v>
      </c>
      <c r="F26" s="69">
        <f>'IMR (Soal Baru)'!F20</f>
        <v>0</v>
      </c>
      <c r="G26" s="69">
        <f>'IMR (Soal Baru)'!G20</f>
        <v>0</v>
      </c>
      <c r="H26" s="69">
        <f>'IMR (Soal Baru)'!H20</f>
        <v>0</v>
      </c>
      <c r="I26" s="69">
        <f>'IMR (Soal Baru)'!I20</f>
        <v>1</v>
      </c>
      <c r="J26" s="69">
        <f>'IMR (Soal Baru)'!J20</f>
        <v>0</v>
      </c>
      <c r="K26" s="69">
        <f>'IMR (Soal Baru)'!K20</f>
        <v>1</v>
      </c>
      <c r="L26" s="69">
        <f t="shared" si="0"/>
        <v>5</v>
      </c>
      <c r="M26" s="69">
        <f t="shared" si="1"/>
        <v>5</v>
      </c>
      <c r="N26" s="69">
        <f t="shared" si="2"/>
        <v>1</v>
      </c>
      <c r="O26" s="69">
        <f t="shared" si="3"/>
        <v>1</v>
      </c>
      <c r="P26" s="69">
        <f t="shared" si="4"/>
        <v>1</v>
      </c>
      <c r="Q26" s="69">
        <f t="shared" si="5"/>
        <v>1</v>
      </c>
      <c r="R26" s="70">
        <f t="shared" si="6"/>
        <v>1.3862943611198906</v>
      </c>
      <c r="S26" s="70">
        <f t="shared" si="7"/>
        <v>1.3862943611198906</v>
      </c>
      <c r="T26" s="70">
        <f t="shared" si="8"/>
        <v>1.3555561428391913</v>
      </c>
      <c r="U26" s="70">
        <f t="shared" si="9"/>
        <v>1.3555561428391913</v>
      </c>
      <c r="V26" s="70">
        <f t="shared" si="10"/>
        <v>1.1180339887498949</v>
      </c>
      <c r="W26" s="70">
        <f t="shared" si="11"/>
        <v>1.1180339887498949</v>
      </c>
      <c r="X26" s="70">
        <f t="shared" si="12"/>
        <v>0</v>
      </c>
      <c r="Y26" s="70">
        <f t="shared" si="13"/>
        <v>1.5811388300841898</v>
      </c>
      <c r="Z26" s="70">
        <f t="shared" si="14"/>
        <v>0</v>
      </c>
      <c r="AA26" s="69" t="str">
        <f t="shared" si="15"/>
        <v>Negligible</v>
      </c>
      <c r="AB26" s="69" t="str">
        <f t="shared" si="16"/>
        <v>Tidak Ada Indikasi Bias</v>
      </c>
    </row>
    <row r="27" spans="1:28" ht="75" customHeight="1" x14ac:dyDescent="0.35">
      <c r="A27" s="98" t="str">
        <f>'IMR (Soal Baru)'!A21</f>
        <v>17. Penerapan pendekatan risiko di level standar SPMI dilakukan dengan cara:</v>
      </c>
      <c r="B27" s="69">
        <f>'IMR (Soal Baru)'!B21</f>
        <v>1</v>
      </c>
      <c r="C27" s="69">
        <f>'IMR (Soal Baru)'!C21</f>
        <v>1</v>
      </c>
      <c r="D27" s="69">
        <f>'IMR (Soal Baru)'!D21</f>
        <v>1</v>
      </c>
      <c r="E27" s="69">
        <f>'IMR (Soal Baru)'!E21</f>
        <v>0</v>
      </c>
      <c r="F27" s="69">
        <f>'IMR (Soal Baru)'!F21</f>
        <v>1</v>
      </c>
      <c r="G27" s="69">
        <f>'IMR (Soal Baru)'!G21</f>
        <v>0</v>
      </c>
      <c r="H27" s="69">
        <f>'IMR (Soal Baru)'!H21</f>
        <v>0</v>
      </c>
      <c r="I27" s="69">
        <f>'IMR (Soal Baru)'!I21</f>
        <v>0</v>
      </c>
      <c r="J27" s="69">
        <f>'IMR (Soal Baru)'!J21</f>
        <v>0</v>
      </c>
      <c r="K27" s="69">
        <f>'IMR (Soal Baru)'!K21</f>
        <v>0</v>
      </c>
      <c r="L27" s="69">
        <f t="shared" si="0"/>
        <v>5</v>
      </c>
      <c r="M27" s="69">
        <f t="shared" si="1"/>
        <v>5</v>
      </c>
      <c r="N27" s="69">
        <f t="shared" si="2"/>
        <v>2</v>
      </c>
      <c r="O27" s="69">
        <f t="shared" si="3"/>
        <v>2</v>
      </c>
      <c r="P27" s="69">
        <f t="shared" si="4"/>
        <v>2</v>
      </c>
      <c r="Q27" s="69">
        <f t="shared" si="5"/>
        <v>2</v>
      </c>
      <c r="R27" s="70">
        <f t="shared" si="6"/>
        <v>0.40546510810816438</v>
      </c>
      <c r="S27" s="70">
        <f t="shared" si="7"/>
        <v>0.40546510810816438</v>
      </c>
      <c r="T27" s="70">
        <f t="shared" si="8"/>
        <v>0.37472688982746521</v>
      </c>
      <c r="U27" s="70">
        <f t="shared" si="9"/>
        <v>0.37472688982746521</v>
      </c>
      <c r="V27" s="70">
        <f t="shared" si="10"/>
        <v>0.91287092917527679</v>
      </c>
      <c r="W27" s="70">
        <f t="shared" si="11"/>
        <v>0.91287092917527679</v>
      </c>
      <c r="X27" s="70">
        <f t="shared" si="12"/>
        <v>0</v>
      </c>
      <c r="Y27" s="70">
        <f t="shared" si="13"/>
        <v>1.2909944487358056</v>
      </c>
      <c r="Z27" s="70">
        <f t="shared" si="14"/>
        <v>0</v>
      </c>
      <c r="AA27" s="69" t="str">
        <f t="shared" si="15"/>
        <v>Negligible</v>
      </c>
      <c r="AB27" s="69" t="str">
        <f t="shared" si="16"/>
        <v>Tidak Ada Indikasi Bias</v>
      </c>
    </row>
    <row r="28" spans="1:28" ht="37.5" x14ac:dyDescent="0.35">
      <c r="A28" s="98" t="str">
        <f>'IMR (Soal Baru)'!A22</f>
        <v>18. Perbedaan antara tindakan korektif dan tindakan preventif dalam PPEPP adalah:</v>
      </c>
      <c r="B28" s="69">
        <f>'IMR (Soal Baru)'!B22</f>
        <v>1</v>
      </c>
      <c r="C28" s="69">
        <f>'IMR (Soal Baru)'!C22</f>
        <v>1</v>
      </c>
      <c r="D28" s="69">
        <f>'IMR (Soal Baru)'!D22</f>
        <v>1</v>
      </c>
      <c r="E28" s="69">
        <f>'IMR (Soal Baru)'!E22</f>
        <v>1</v>
      </c>
      <c r="F28" s="69">
        <f>'IMR (Soal Baru)'!F22</f>
        <v>1</v>
      </c>
      <c r="G28" s="69">
        <f>'IMR (Soal Baru)'!G22</f>
        <v>1</v>
      </c>
      <c r="H28" s="69">
        <f>'IMR (Soal Baru)'!H22</f>
        <v>0</v>
      </c>
      <c r="I28" s="69">
        <f>'IMR (Soal Baru)'!I22</f>
        <v>1</v>
      </c>
      <c r="J28" s="69">
        <f>'IMR (Soal Baru)'!J22</f>
        <v>0</v>
      </c>
      <c r="K28" s="69">
        <f>'IMR (Soal Baru)'!K22</f>
        <v>1</v>
      </c>
      <c r="L28" s="69">
        <f t="shared" si="0"/>
        <v>5</v>
      </c>
      <c r="M28" s="69">
        <f t="shared" si="1"/>
        <v>5</v>
      </c>
      <c r="N28" s="69">
        <f t="shared" si="2"/>
        <v>4</v>
      </c>
      <c r="O28" s="69">
        <f t="shared" si="3"/>
        <v>4</v>
      </c>
      <c r="P28" s="69">
        <f t="shared" si="4"/>
        <v>4</v>
      </c>
      <c r="Q28" s="69">
        <f t="shared" si="5"/>
        <v>4</v>
      </c>
      <c r="R28" s="70">
        <f t="shared" si="6"/>
        <v>-1.3862943611198906</v>
      </c>
      <c r="S28" s="70">
        <f t="shared" si="7"/>
        <v>-1.3862943611198906</v>
      </c>
      <c r="T28" s="70">
        <f t="shared" si="8"/>
        <v>-1.4170325794005898</v>
      </c>
      <c r="U28" s="70">
        <f t="shared" si="9"/>
        <v>-1.4170325794005898</v>
      </c>
      <c r="V28" s="70">
        <f t="shared" si="10"/>
        <v>1.1180339887498949</v>
      </c>
      <c r="W28" s="70">
        <f t="shared" si="11"/>
        <v>1.1180339887498949</v>
      </c>
      <c r="X28" s="70">
        <f t="shared" si="12"/>
        <v>0</v>
      </c>
      <c r="Y28" s="70">
        <f t="shared" si="13"/>
        <v>1.5811388300841898</v>
      </c>
      <c r="Z28" s="70">
        <f t="shared" si="14"/>
        <v>0</v>
      </c>
      <c r="AA28" s="69" t="str">
        <f t="shared" si="15"/>
        <v>Negligible</v>
      </c>
      <c r="AB28" s="69" t="str">
        <f t="shared" si="16"/>
        <v>Tidak Ada Indikasi Bias</v>
      </c>
    </row>
    <row r="29" spans="1:28" ht="25" x14ac:dyDescent="0.35">
      <c r="A29" s="98" t="str">
        <f>'IMR (Soal Baru)'!A23</f>
        <v>19. Apa yang termasuk bagian dari bukti objektif dalam proses audit mutu internal?</v>
      </c>
      <c r="B29" s="69">
        <f>'IMR (Soal Baru)'!B23</f>
        <v>1</v>
      </c>
      <c r="C29" s="69">
        <f>'IMR (Soal Baru)'!C23</f>
        <v>1</v>
      </c>
      <c r="D29" s="69">
        <f>'IMR (Soal Baru)'!D23</f>
        <v>1</v>
      </c>
      <c r="E29" s="69">
        <f>'IMR (Soal Baru)'!E23</f>
        <v>0</v>
      </c>
      <c r="F29" s="69">
        <f>'IMR (Soal Baru)'!F23</f>
        <v>0</v>
      </c>
      <c r="G29" s="69">
        <f>'IMR (Soal Baru)'!G23</f>
        <v>0</v>
      </c>
      <c r="H29" s="69">
        <f>'IMR (Soal Baru)'!H23</f>
        <v>0</v>
      </c>
      <c r="I29" s="69">
        <f>'IMR (Soal Baru)'!I23</f>
        <v>0</v>
      </c>
      <c r="J29" s="69">
        <f>'IMR (Soal Baru)'!J23</f>
        <v>1</v>
      </c>
      <c r="K29" s="69">
        <f>'IMR (Soal Baru)'!K23</f>
        <v>0</v>
      </c>
      <c r="L29" s="69">
        <f t="shared" si="0"/>
        <v>5</v>
      </c>
      <c r="M29" s="69">
        <f t="shared" si="1"/>
        <v>5</v>
      </c>
      <c r="N29" s="69">
        <f t="shared" si="2"/>
        <v>2</v>
      </c>
      <c r="O29" s="69">
        <f t="shared" si="3"/>
        <v>2</v>
      </c>
      <c r="P29" s="69">
        <f t="shared" si="4"/>
        <v>2</v>
      </c>
      <c r="Q29" s="69">
        <f t="shared" si="5"/>
        <v>2</v>
      </c>
      <c r="R29" s="70">
        <f t="shared" si="6"/>
        <v>0.40546510810816438</v>
      </c>
      <c r="S29" s="70">
        <f t="shared" si="7"/>
        <v>0.40546510810816438</v>
      </c>
      <c r="T29" s="70">
        <f t="shared" si="8"/>
        <v>0.37472688982746521</v>
      </c>
      <c r="U29" s="70">
        <f t="shared" si="9"/>
        <v>0.37472688982746521</v>
      </c>
      <c r="V29" s="70">
        <f t="shared" si="10"/>
        <v>0.91287092917527679</v>
      </c>
      <c r="W29" s="70">
        <f t="shared" si="11"/>
        <v>0.91287092917527679</v>
      </c>
      <c r="X29" s="70">
        <f t="shared" si="12"/>
        <v>0</v>
      </c>
      <c r="Y29" s="70">
        <f t="shared" si="13"/>
        <v>1.2909944487358056</v>
      </c>
      <c r="Z29" s="70">
        <f t="shared" si="14"/>
        <v>0</v>
      </c>
      <c r="AA29" s="69" t="str">
        <f t="shared" si="15"/>
        <v>Negligible</v>
      </c>
      <c r="AB29" s="69" t="str">
        <f t="shared" si="16"/>
        <v>Tidak Ada Indikasi Bias</v>
      </c>
    </row>
    <row r="30" spans="1:28" ht="37.5" x14ac:dyDescent="0.35">
      <c r="A30" s="98" t="str">
        <f>'IMR (Soal Baru)'!A24</f>
        <v>20. Kriteria keberhasilan implementasi SPMI dalam ISO 21001 salah satunya adalah:</v>
      </c>
      <c r="B30" s="69">
        <f>'IMR (Soal Baru)'!B24</f>
        <v>1</v>
      </c>
      <c r="C30" s="69">
        <f>'IMR (Soal Baru)'!C24</f>
        <v>1</v>
      </c>
      <c r="D30" s="69">
        <f>'IMR (Soal Baru)'!D24</f>
        <v>1</v>
      </c>
      <c r="E30" s="69">
        <f>'IMR (Soal Baru)'!E24</f>
        <v>1</v>
      </c>
      <c r="F30" s="69">
        <f>'IMR (Soal Baru)'!F24</f>
        <v>1</v>
      </c>
      <c r="G30" s="69">
        <f>'IMR (Soal Baru)'!G24</f>
        <v>0</v>
      </c>
      <c r="H30" s="69">
        <f>'IMR (Soal Baru)'!H24</f>
        <v>1</v>
      </c>
      <c r="I30" s="69">
        <f>'IMR (Soal Baru)'!I24</f>
        <v>1</v>
      </c>
      <c r="J30" s="69">
        <f>'IMR (Soal Baru)'!J24</f>
        <v>0</v>
      </c>
      <c r="K30" s="69">
        <f>'IMR (Soal Baru)'!K24</f>
        <v>1</v>
      </c>
      <c r="L30" s="69">
        <f t="shared" si="0"/>
        <v>5</v>
      </c>
      <c r="M30" s="69">
        <f t="shared" si="1"/>
        <v>5</v>
      </c>
      <c r="N30" s="69">
        <f t="shared" si="2"/>
        <v>4</v>
      </c>
      <c r="O30" s="69">
        <f t="shared" si="3"/>
        <v>4</v>
      </c>
      <c r="P30" s="69">
        <f t="shared" si="4"/>
        <v>4</v>
      </c>
      <c r="Q30" s="69">
        <f t="shared" si="5"/>
        <v>4</v>
      </c>
      <c r="R30" s="70">
        <f t="shared" si="6"/>
        <v>-1.3862943611198906</v>
      </c>
      <c r="S30" s="70">
        <f t="shared" si="7"/>
        <v>-1.3862943611198906</v>
      </c>
      <c r="T30" s="70">
        <f t="shared" si="8"/>
        <v>-1.4170325794005898</v>
      </c>
      <c r="U30" s="70">
        <f t="shared" si="9"/>
        <v>-1.4170325794005898</v>
      </c>
      <c r="V30" s="70">
        <f t="shared" si="10"/>
        <v>1.1180339887498949</v>
      </c>
      <c r="W30" s="70">
        <f t="shared" si="11"/>
        <v>1.1180339887498949</v>
      </c>
      <c r="X30" s="70">
        <f t="shared" si="12"/>
        <v>0</v>
      </c>
      <c r="Y30" s="70">
        <f t="shared" si="13"/>
        <v>1.5811388300841898</v>
      </c>
      <c r="Z30" s="70">
        <f t="shared" si="14"/>
        <v>0</v>
      </c>
      <c r="AA30" s="69" t="str">
        <f t="shared" si="15"/>
        <v>Negligible</v>
      </c>
      <c r="AB30" s="69" t="str">
        <f t="shared" si="16"/>
        <v>Tidak Ada Indikasi Bias</v>
      </c>
    </row>
    <row r="31" spans="1:28" ht="25" x14ac:dyDescent="0.35">
      <c r="A31" s="98" t="str">
        <f>'IMR (Soal Baru)'!A25</f>
        <v>21. Fungsi utama dari kebijakan mutu adalah:</v>
      </c>
      <c r="B31" s="69">
        <f>'IMR (Soal Baru)'!B25</f>
        <v>0</v>
      </c>
      <c r="C31" s="69">
        <f>'IMR (Soal Baru)'!C25</f>
        <v>1</v>
      </c>
      <c r="D31" s="69">
        <f>'IMR (Soal Baru)'!D25</f>
        <v>1</v>
      </c>
      <c r="E31" s="69">
        <f>'IMR (Soal Baru)'!E25</f>
        <v>0</v>
      </c>
      <c r="F31" s="69">
        <f>'IMR (Soal Baru)'!F25</f>
        <v>1</v>
      </c>
      <c r="G31" s="69">
        <f>'IMR (Soal Baru)'!G25</f>
        <v>1</v>
      </c>
      <c r="H31" s="69">
        <f>'IMR (Soal Baru)'!H25</f>
        <v>1</v>
      </c>
      <c r="I31" s="69">
        <f>'IMR (Soal Baru)'!I25</f>
        <v>1</v>
      </c>
      <c r="J31" s="69">
        <f>'IMR (Soal Baru)'!J25</f>
        <v>1</v>
      </c>
      <c r="K31" s="69">
        <f>'IMR (Soal Baru)'!K25</f>
        <v>1</v>
      </c>
      <c r="L31" s="69">
        <f t="shared" si="0"/>
        <v>5</v>
      </c>
      <c r="M31" s="69">
        <f t="shared" si="1"/>
        <v>5</v>
      </c>
      <c r="N31" s="69">
        <f t="shared" si="2"/>
        <v>4</v>
      </c>
      <c r="O31" s="69">
        <f t="shared" si="3"/>
        <v>4</v>
      </c>
      <c r="P31" s="69">
        <f t="shared" si="4"/>
        <v>4</v>
      </c>
      <c r="Q31" s="69">
        <f t="shared" si="5"/>
        <v>4</v>
      </c>
      <c r="R31" s="70">
        <f t="shared" si="6"/>
        <v>-1.3862943611198906</v>
      </c>
      <c r="S31" s="70">
        <f t="shared" si="7"/>
        <v>-1.3862943611198906</v>
      </c>
      <c r="T31" s="70">
        <f t="shared" si="8"/>
        <v>-1.4170325794005898</v>
      </c>
      <c r="U31" s="70">
        <f t="shared" si="9"/>
        <v>-1.4170325794005898</v>
      </c>
      <c r="V31" s="70">
        <f t="shared" si="10"/>
        <v>1.1180339887498949</v>
      </c>
      <c r="W31" s="70">
        <f t="shared" si="11"/>
        <v>1.1180339887498949</v>
      </c>
      <c r="X31" s="70">
        <f t="shared" si="12"/>
        <v>0</v>
      </c>
      <c r="Y31" s="70">
        <f t="shared" si="13"/>
        <v>1.5811388300841898</v>
      </c>
      <c r="Z31" s="70">
        <f t="shared" si="14"/>
        <v>0</v>
      </c>
      <c r="AA31" s="69" t="str">
        <f t="shared" si="15"/>
        <v>Negligible</v>
      </c>
      <c r="AB31" s="69" t="str">
        <f t="shared" si="16"/>
        <v>Tidak Ada Indikasi Bias</v>
      </c>
    </row>
    <row r="32" spans="1:28" ht="37.5" customHeight="1" x14ac:dyDescent="0.35">
      <c r="A32" s="98" t="str">
        <f>'IMR (Soal Baru)'!A26</f>
        <v>22. Salah satu hambatan umum dalam implementasi SPMI terintegrasi adalah:</v>
      </c>
      <c r="B32" s="69">
        <f>'IMR (Soal Baru)'!B26</f>
        <v>0</v>
      </c>
      <c r="C32" s="69">
        <f>'IMR (Soal Baru)'!C26</f>
        <v>0</v>
      </c>
      <c r="D32" s="69">
        <f>'IMR (Soal Baru)'!D26</f>
        <v>0</v>
      </c>
      <c r="E32" s="69">
        <f>'IMR (Soal Baru)'!E26</f>
        <v>0</v>
      </c>
      <c r="F32" s="69">
        <f>'IMR (Soal Baru)'!F26</f>
        <v>0</v>
      </c>
      <c r="G32" s="69">
        <f>'IMR (Soal Baru)'!G26</f>
        <v>0</v>
      </c>
      <c r="H32" s="69">
        <f>'IMR (Soal Baru)'!H26</f>
        <v>1</v>
      </c>
      <c r="I32" s="69">
        <f>'IMR (Soal Baru)'!I26</f>
        <v>1</v>
      </c>
      <c r="J32" s="69">
        <f>'IMR (Soal Baru)'!J26</f>
        <v>1</v>
      </c>
      <c r="K32" s="69">
        <f>'IMR (Soal Baru)'!K26</f>
        <v>1</v>
      </c>
      <c r="L32" s="69">
        <f t="shared" si="0"/>
        <v>5</v>
      </c>
      <c r="M32" s="69">
        <f t="shared" si="1"/>
        <v>5</v>
      </c>
      <c r="N32" s="69">
        <f t="shared" si="2"/>
        <v>2</v>
      </c>
      <c r="O32" s="69">
        <f t="shared" si="3"/>
        <v>2</v>
      </c>
      <c r="P32" s="69">
        <f t="shared" si="4"/>
        <v>2</v>
      </c>
      <c r="Q32" s="69">
        <f t="shared" si="5"/>
        <v>2</v>
      </c>
      <c r="R32" s="70">
        <f t="shared" si="6"/>
        <v>0.40546510810816438</v>
      </c>
      <c r="S32" s="70">
        <f t="shared" si="7"/>
        <v>0.40546510810816438</v>
      </c>
      <c r="T32" s="70">
        <f t="shared" si="8"/>
        <v>0.37472688982746521</v>
      </c>
      <c r="U32" s="70">
        <f t="shared" si="9"/>
        <v>0.37472688982746521</v>
      </c>
      <c r="V32" s="70">
        <f t="shared" si="10"/>
        <v>0.91287092917527679</v>
      </c>
      <c r="W32" s="70">
        <f t="shared" si="11"/>
        <v>0.91287092917527679</v>
      </c>
      <c r="X32" s="70">
        <f t="shared" si="12"/>
        <v>0</v>
      </c>
      <c r="Y32" s="70">
        <f t="shared" si="13"/>
        <v>1.2909944487358056</v>
      </c>
      <c r="Z32" s="70">
        <f t="shared" si="14"/>
        <v>0</v>
      </c>
      <c r="AA32" s="69" t="str">
        <f t="shared" si="15"/>
        <v>Negligible</v>
      </c>
      <c r="AB32" s="69" t="str">
        <f t="shared" si="16"/>
        <v>Tidak Ada Indikasi Bias</v>
      </c>
    </row>
    <row r="33" spans="1:28" ht="37.5" customHeight="1" x14ac:dyDescent="0.35">
      <c r="A33" s="98" t="str">
        <f>'IMR (Soal Baru)'!A27</f>
        <v>23. Manakah kegiatan yang paling tepat dilakukan dalam tahapan pengendalian PPEPP?</v>
      </c>
      <c r="B33" s="69">
        <f>'IMR (Soal Baru)'!B27</f>
        <v>1</v>
      </c>
      <c r="C33" s="69">
        <f>'IMR (Soal Baru)'!C27</f>
        <v>0</v>
      </c>
      <c r="D33" s="69">
        <f>'IMR (Soal Baru)'!D27</f>
        <v>1</v>
      </c>
      <c r="E33" s="69">
        <f>'IMR (Soal Baru)'!E27</f>
        <v>1</v>
      </c>
      <c r="F33" s="69">
        <f>'IMR (Soal Baru)'!F27</f>
        <v>0</v>
      </c>
      <c r="G33" s="69">
        <f>'IMR (Soal Baru)'!G27</f>
        <v>1</v>
      </c>
      <c r="H33" s="69">
        <f>'IMR (Soal Baru)'!H27</f>
        <v>0</v>
      </c>
      <c r="I33" s="69">
        <f>'IMR (Soal Baru)'!I27</f>
        <v>0</v>
      </c>
      <c r="J33" s="69">
        <f>'IMR (Soal Baru)'!J27</f>
        <v>0</v>
      </c>
      <c r="K33" s="69">
        <f>'IMR (Soal Baru)'!K27</f>
        <v>0</v>
      </c>
      <c r="L33" s="69">
        <f t="shared" si="0"/>
        <v>5</v>
      </c>
      <c r="M33" s="69">
        <f t="shared" si="1"/>
        <v>5</v>
      </c>
      <c r="N33" s="69">
        <f t="shared" si="2"/>
        <v>2</v>
      </c>
      <c r="O33" s="69">
        <f t="shared" si="3"/>
        <v>2</v>
      </c>
      <c r="P33" s="69">
        <f t="shared" si="4"/>
        <v>2</v>
      </c>
      <c r="Q33" s="69">
        <f t="shared" si="5"/>
        <v>2</v>
      </c>
      <c r="R33" s="70">
        <f t="shared" si="6"/>
        <v>0.40546510810816438</v>
      </c>
      <c r="S33" s="70">
        <f t="shared" si="7"/>
        <v>0.40546510810816438</v>
      </c>
      <c r="T33" s="70">
        <f t="shared" si="8"/>
        <v>0.37472688982746521</v>
      </c>
      <c r="U33" s="70">
        <f t="shared" si="9"/>
        <v>0.37472688982746521</v>
      </c>
      <c r="V33" s="70">
        <f t="shared" si="10"/>
        <v>0.91287092917527679</v>
      </c>
      <c r="W33" s="70">
        <f t="shared" si="11"/>
        <v>0.91287092917527679</v>
      </c>
      <c r="X33" s="70">
        <f t="shared" si="12"/>
        <v>0</v>
      </c>
      <c r="Y33" s="70">
        <f t="shared" si="13"/>
        <v>1.2909944487358056</v>
      </c>
      <c r="Z33" s="70">
        <f t="shared" si="14"/>
        <v>0</v>
      </c>
      <c r="AA33" s="69" t="str">
        <f t="shared" si="15"/>
        <v>Negligible</v>
      </c>
      <c r="AB33" s="69" t="str">
        <f t="shared" si="16"/>
        <v>Tidak Ada Indikasi Bias</v>
      </c>
    </row>
    <row r="34" spans="1:28" ht="25" x14ac:dyDescent="0.35">
      <c r="A34" s="98" t="str">
        <f>'IMR (Soal Baru)'!A28</f>
        <v>24. Apa arti dari istilah 'context of the organization' dalam ISO 21001?</v>
      </c>
      <c r="B34" s="69">
        <f>'IMR (Soal Baru)'!B28</f>
        <v>0</v>
      </c>
      <c r="C34" s="69">
        <f>'IMR (Soal Baru)'!C28</f>
        <v>1</v>
      </c>
      <c r="D34" s="69">
        <f>'IMR (Soal Baru)'!D28</f>
        <v>0</v>
      </c>
      <c r="E34" s="69">
        <f>'IMR (Soal Baru)'!E28</f>
        <v>0</v>
      </c>
      <c r="F34" s="69">
        <f>'IMR (Soal Baru)'!F28</f>
        <v>0</v>
      </c>
      <c r="G34" s="69">
        <f>'IMR (Soal Baru)'!G28</f>
        <v>1</v>
      </c>
      <c r="H34" s="69">
        <f>'IMR (Soal Baru)'!H28</f>
        <v>0</v>
      </c>
      <c r="I34" s="69">
        <f>'IMR (Soal Baru)'!I28</f>
        <v>0</v>
      </c>
      <c r="J34" s="69">
        <f>'IMR (Soal Baru)'!J28</f>
        <v>1</v>
      </c>
      <c r="K34" s="69">
        <f>'IMR (Soal Baru)'!K28</f>
        <v>1</v>
      </c>
      <c r="L34" s="69">
        <f t="shared" si="0"/>
        <v>5</v>
      </c>
      <c r="M34" s="69">
        <f t="shared" si="1"/>
        <v>5</v>
      </c>
      <c r="N34" s="69">
        <f t="shared" si="2"/>
        <v>2</v>
      </c>
      <c r="O34" s="69">
        <f t="shared" si="3"/>
        <v>2</v>
      </c>
      <c r="P34" s="69">
        <f t="shared" si="4"/>
        <v>2</v>
      </c>
      <c r="Q34" s="69">
        <f t="shared" si="5"/>
        <v>2</v>
      </c>
      <c r="R34" s="70">
        <f t="shared" si="6"/>
        <v>0.40546510810816438</v>
      </c>
      <c r="S34" s="70">
        <f t="shared" si="7"/>
        <v>0.40546510810816438</v>
      </c>
      <c r="T34" s="70">
        <f t="shared" si="8"/>
        <v>0.37472688982746521</v>
      </c>
      <c r="U34" s="70">
        <f t="shared" si="9"/>
        <v>0.37472688982746521</v>
      </c>
      <c r="V34" s="70">
        <f t="shared" si="10"/>
        <v>0.91287092917527679</v>
      </c>
      <c r="W34" s="70">
        <f t="shared" si="11"/>
        <v>0.91287092917527679</v>
      </c>
      <c r="X34" s="70">
        <f t="shared" si="12"/>
        <v>0</v>
      </c>
      <c r="Y34" s="70">
        <f t="shared" si="13"/>
        <v>1.2909944487358056</v>
      </c>
      <c r="Z34" s="70">
        <f t="shared" si="14"/>
        <v>0</v>
      </c>
      <c r="AA34" s="69" t="str">
        <f t="shared" si="15"/>
        <v>Negligible</v>
      </c>
      <c r="AB34" s="69" t="str">
        <f t="shared" si="16"/>
        <v>Tidak Ada Indikasi Bias</v>
      </c>
    </row>
    <row r="35" spans="1:28" ht="37.5" x14ac:dyDescent="0.35">
      <c r="A35" s="98" t="str">
        <f>'IMR (Soal Baru)'!A29</f>
        <v>25. Manakah dari berikut ini yang termasuk bukti penerapan prinsip risk-based thinking dalam SPMI?</v>
      </c>
      <c r="B35" s="69">
        <f>'IMR (Soal Baru)'!B29</f>
        <v>1</v>
      </c>
      <c r="C35" s="69">
        <f>'IMR (Soal Baru)'!C29</f>
        <v>1</v>
      </c>
      <c r="D35" s="69">
        <f>'IMR (Soal Baru)'!D29</f>
        <v>1</v>
      </c>
      <c r="E35" s="69">
        <f>'IMR (Soal Baru)'!E29</f>
        <v>0</v>
      </c>
      <c r="F35" s="69">
        <f>'IMR (Soal Baru)'!F29</f>
        <v>0</v>
      </c>
      <c r="G35" s="69">
        <f>'IMR (Soal Baru)'!G29</f>
        <v>0</v>
      </c>
      <c r="H35" s="69">
        <f>'IMR (Soal Baru)'!H29</f>
        <v>0</v>
      </c>
      <c r="I35" s="69">
        <f>'IMR (Soal Baru)'!I29</f>
        <v>0</v>
      </c>
      <c r="J35" s="69">
        <f>'IMR (Soal Baru)'!J29</f>
        <v>1</v>
      </c>
      <c r="K35" s="69">
        <f>'IMR (Soal Baru)'!K29</f>
        <v>0</v>
      </c>
      <c r="L35" s="69">
        <f t="shared" si="0"/>
        <v>5</v>
      </c>
      <c r="M35" s="69">
        <f t="shared" si="1"/>
        <v>5</v>
      </c>
      <c r="N35" s="69">
        <f t="shared" si="2"/>
        <v>2</v>
      </c>
      <c r="O35" s="69">
        <f t="shared" si="3"/>
        <v>2</v>
      </c>
      <c r="P35" s="69">
        <f t="shared" si="4"/>
        <v>2</v>
      </c>
      <c r="Q35" s="69">
        <f t="shared" si="5"/>
        <v>2</v>
      </c>
      <c r="R35" s="70">
        <f t="shared" si="6"/>
        <v>0.40546510810816438</v>
      </c>
      <c r="S35" s="70">
        <f t="shared" si="7"/>
        <v>0.40546510810816438</v>
      </c>
      <c r="T35" s="70">
        <f t="shared" si="8"/>
        <v>0.37472688982746521</v>
      </c>
      <c r="U35" s="70">
        <f t="shared" si="9"/>
        <v>0.37472688982746521</v>
      </c>
      <c r="V35" s="70">
        <f t="shared" si="10"/>
        <v>0.91287092917527679</v>
      </c>
      <c r="W35" s="70">
        <f t="shared" si="11"/>
        <v>0.91287092917527679</v>
      </c>
      <c r="X35" s="70">
        <f t="shared" si="12"/>
        <v>0</v>
      </c>
      <c r="Y35" s="70">
        <f t="shared" si="13"/>
        <v>1.2909944487358056</v>
      </c>
      <c r="Z35" s="70">
        <f t="shared" si="14"/>
        <v>0</v>
      </c>
      <c r="AA35" s="69" t="str">
        <f t="shared" si="15"/>
        <v>Negligible</v>
      </c>
      <c r="AB35" s="69" t="str">
        <f t="shared" si="16"/>
        <v>Tidak Ada Indikasi Bias</v>
      </c>
    </row>
    <row r="36" spans="1:28" ht="37.5" customHeight="1" x14ac:dyDescent="0.35">
      <c r="A36" s="98" t="str">
        <f>'IMR (Soal Baru)'!A30</f>
        <v>26. Apa komponen utama dalam proses perencanaan mutu berbasis risiko di ISO 21001?</v>
      </c>
      <c r="B36" s="69">
        <f>'IMR (Soal Baru)'!B30</f>
        <v>1</v>
      </c>
      <c r="C36" s="69">
        <f>'IMR (Soal Baru)'!C30</f>
        <v>1</v>
      </c>
      <c r="D36" s="69">
        <f>'IMR (Soal Baru)'!D30</f>
        <v>1</v>
      </c>
      <c r="E36" s="69">
        <f>'IMR (Soal Baru)'!E30</f>
        <v>1</v>
      </c>
      <c r="F36" s="69">
        <f>'IMR (Soal Baru)'!F30</f>
        <v>1</v>
      </c>
      <c r="G36" s="69">
        <f>'IMR (Soal Baru)'!G30</f>
        <v>1</v>
      </c>
      <c r="H36" s="69">
        <f>'IMR (Soal Baru)'!H30</f>
        <v>1</v>
      </c>
      <c r="I36" s="69">
        <f>'IMR (Soal Baru)'!I30</f>
        <v>0</v>
      </c>
      <c r="J36" s="69">
        <f>'IMR (Soal Baru)'!J30</f>
        <v>0</v>
      </c>
      <c r="K36" s="69">
        <f>'IMR (Soal Baru)'!K30</f>
        <v>1</v>
      </c>
      <c r="L36" s="69">
        <f t="shared" si="0"/>
        <v>5</v>
      </c>
      <c r="M36" s="69">
        <f t="shared" si="1"/>
        <v>5</v>
      </c>
      <c r="N36" s="69">
        <f t="shared" si="2"/>
        <v>4</v>
      </c>
      <c r="O36" s="69">
        <f t="shared" si="3"/>
        <v>4</v>
      </c>
      <c r="P36" s="69">
        <f t="shared" si="4"/>
        <v>4</v>
      </c>
      <c r="Q36" s="69">
        <f t="shared" si="5"/>
        <v>4</v>
      </c>
      <c r="R36" s="70">
        <f t="shared" si="6"/>
        <v>-1.3862943611198906</v>
      </c>
      <c r="S36" s="70">
        <f t="shared" si="7"/>
        <v>-1.3862943611198906</v>
      </c>
      <c r="T36" s="70">
        <f t="shared" si="8"/>
        <v>-1.4170325794005898</v>
      </c>
      <c r="U36" s="70">
        <f t="shared" si="9"/>
        <v>-1.4170325794005898</v>
      </c>
      <c r="V36" s="70">
        <f t="shared" si="10"/>
        <v>1.1180339887498949</v>
      </c>
      <c r="W36" s="70">
        <f t="shared" si="11"/>
        <v>1.1180339887498949</v>
      </c>
      <c r="X36" s="70">
        <f t="shared" si="12"/>
        <v>0</v>
      </c>
      <c r="Y36" s="70">
        <f t="shared" si="13"/>
        <v>1.5811388300841898</v>
      </c>
      <c r="Z36" s="70">
        <f t="shared" si="14"/>
        <v>0</v>
      </c>
      <c r="AA36" s="69" t="str">
        <f t="shared" si="15"/>
        <v>Negligible</v>
      </c>
      <c r="AB36" s="69" t="str">
        <f t="shared" si="16"/>
        <v>Tidak Ada Indikasi Bias</v>
      </c>
    </row>
    <row r="37" spans="1:28" ht="37.5" customHeight="1" x14ac:dyDescent="0.35">
      <c r="A37" s="98" t="str">
        <f>'IMR (Soal Baru)'!A31</f>
        <v>27. Dalam pendekatan PDCA yang diadopsi ISO 21001, 'Check' merujuk pada aktivitas:</v>
      </c>
      <c r="B37" s="69">
        <f>'IMR (Soal Baru)'!B31</f>
        <v>0</v>
      </c>
      <c r="C37" s="69">
        <f>'IMR (Soal Baru)'!C31</f>
        <v>0</v>
      </c>
      <c r="D37" s="69">
        <f>'IMR (Soal Baru)'!D31</f>
        <v>0</v>
      </c>
      <c r="E37" s="69">
        <f>'IMR (Soal Baru)'!E31</f>
        <v>1</v>
      </c>
      <c r="F37" s="69">
        <f>'IMR (Soal Baru)'!F31</f>
        <v>0</v>
      </c>
      <c r="G37" s="69">
        <f>'IMR (Soal Baru)'!G31</f>
        <v>1</v>
      </c>
      <c r="H37" s="69">
        <f>'IMR (Soal Baru)'!H31</f>
        <v>0</v>
      </c>
      <c r="I37" s="69">
        <f>'IMR (Soal Baru)'!I31</f>
        <v>1</v>
      </c>
      <c r="J37" s="69">
        <f>'IMR (Soal Baru)'!J31</f>
        <v>1</v>
      </c>
      <c r="K37" s="69">
        <f>'IMR (Soal Baru)'!K31</f>
        <v>0</v>
      </c>
      <c r="L37" s="69">
        <f t="shared" si="0"/>
        <v>5</v>
      </c>
      <c r="M37" s="69">
        <f t="shared" si="1"/>
        <v>5</v>
      </c>
      <c r="N37" s="69">
        <f t="shared" si="2"/>
        <v>2</v>
      </c>
      <c r="O37" s="69">
        <f t="shared" si="3"/>
        <v>2</v>
      </c>
      <c r="P37" s="69">
        <f t="shared" si="4"/>
        <v>2</v>
      </c>
      <c r="Q37" s="69">
        <f t="shared" si="5"/>
        <v>2</v>
      </c>
      <c r="R37" s="70">
        <f t="shared" si="6"/>
        <v>0.40546510810816438</v>
      </c>
      <c r="S37" s="70">
        <f t="shared" si="7"/>
        <v>0.40546510810816438</v>
      </c>
      <c r="T37" s="70">
        <f t="shared" si="8"/>
        <v>0.37472688982746521</v>
      </c>
      <c r="U37" s="70">
        <f t="shared" si="9"/>
        <v>0.37472688982746521</v>
      </c>
      <c r="V37" s="70">
        <f t="shared" si="10"/>
        <v>0.91287092917527679</v>
      </c>
      <c r="W37" s="70">
        <f t="shared" si="11"/>
        <v>0.91287092917527679</v>
      </c>
      <c r="X37" s="70">
        <f t="shared" si="12"/>
        <v>0</v>
      </c>
      <c r="Y37" s="70">
        <f t="shared" si="13"/>
        <v>1.2909944487358056</v>
      </c>
      <c r="Z37" s="70">
        <f t="shared" si="14"/>
        <v>0</v>
      </c>
      <c r="AA37" s="69" t="str">
        <f t="shared" si="15"/>
        <v>Negligible</v>
      </c>
      <c r="AB37" s="69" t="str">
        <f t="shared" si="16"/>
        <v>Tidak Ada Indikasi Bias</v>
      </c>
    </row>
    <row r="38" spans="1:28" ht="25" x14ac:dyDescent="0.35">
      <c r="A38" s="98" t="str">
        <f>'IMR (Soal Baru)'!A32</f>
        <v>28. Salah satu manfaat mengintegrasikan ISO 21001 dengan SPMI adalah:</v>
      </c>
      <c r="B38" s="69">
        <f>'IMR (Soal Baru)'!B32</f>
        <v>0</v>
      </c>
      <c r="C38" s="69">
        <f>'IMR (Soal Baru)'!C32</f>
        <v>1</v>
      </c>
      <c r="D38" s="69">
        <f>'IMR (Soal Baru)'!D32</f>
        <v>0</v>
      </c>
      <c r="E38" s="69">
        <f>'IMR (Soal Baru)'!E32</f>
        <v>0</v>
      </c>
      <c r="F38" s="69">
        <f>'IMR (Soal Baru)'!F32</f>
        <v>0</v>
      </c>
      <c r="G38" s="69">
        <f>'IMR (Soal Baru)'!G32</f>
        <v>0</v>
      </c>
      <c r="H38" s="69">
        <f>'IMR (Soal Baru)'!H32</f>
        <v>0</v>
      </c>
      <c r="I38" s="69">
        <f>'IMR (Soal Baru)'!I32</f>
        <v>1</v>
      </c>
      <c r="J38" s="69">
        <f>'IMR (Soal Baru)'!J32</f>
        <v>1</v>
      </c>
      <c r="K38" s="69">
        <f>'IMR (Soal Baru)'!K32</f>
        <v>1</v>
      </c>
      <c r="L38" s="69">
        <f t="shared" si="0"/>
        <v>5</v>
      </c>
      <c r="M38" s="69">
        <f t="shared" si="1"/>
        <v>5</v>
      </c>
      <c r="N38" s="69">
        <f t="shared" si="2"/>
        <v>2</v>
      </c>
      <c r="O38" s="69">
        <f t="shared" si="3"/>
        <v>2</v>
      </c>
      <c r="P38" s="69">
        <f t="shared" si="4"/>
        <v>2</v>
      </c>
      <c r="Q38" s="69">
        <f t="shared" si="5"/>
        <v>2</v>
      </c>
      <c r="R38" s="70">
        <f t="shared" si="6"/>
        <v>0.40546510810816438</v>
      </c>
      <c r="S38" s="70">
        <f t="shared" si="7"/>
        <v>0.40546510810816438</v>
      </c>
      <c r="T38" s="70">
        <f t="shared" si="8"/>
        <v>0.37472688982746521</v>
      </c>
      <c r="U38" s="70">
        <f t="shared" si="9"/>
        <v>0.37472688982746521</v>
      </c>
      <c r="V38" s="70">
        <f t="shared" si="10"/>
        <v>0.91287092917527679</v>
      </c>
      <c r="W38" s="70">
        <f t="shared" si="11"/>
        <v>0.91287092917527679</v>
      </c>
      <c r="X38" s="70">
        <f t="shared" si="12"/>
        <v>0</v>
      </c>
      <c r="Y38" s="70">
        <f t="shared" si="13"/>
        <v>1.2909944487358056</v>
      </c>
      <c r="Z38" s="70">
        <f t="shared" si="14"/>
        <v>0</v>
      </c>
      <c r="AA38" s="69" t="str">
        <f t="shared" si="15"/>
        <v>Negligible</v>
      </c>
      <c r="AB38" s="69" t="str">
        <f t="shared" si="16"/>
        <v>Tidak Ada Indikasi Bias</v>
      </c>
    </row>
    <row r="39" spans="1:28" ht="25" x14ac:dyDescent="0.35">
      <c r="A39" s="98" t="str">
        <f>'IMR (Soal Baru)'!A33</f>
        <v>29. Apa tujuan utama dari tahapan Penetapan dalam PPEPP?</v>
      </c>
      <c r="B39" s="69">
        <f>'IMR (Soal Baru)'!B33</f>
        <v>1</v>
      </c>
      <c r="C39" s="69">
        <f>'IMR (Soal Baru)'!C33</f>
        <v>0</v>
      </c>
      <c r="D39" s="69">
        <f>'IMR (Soal Baru)'!D33</f>
        <v>1</v>
      </c>
      <c r="E39" s="69">
        <f>'IMR (Soal Baru)'!E33</f>
        <v>1</v>
      </c>
      <c r="F39" s="69">
        <f>'IMR (Soal Baru)'!F33</f>
        <v>0</v>
      </c>
      <c r="G39" s="69">
        <f>'IMR (Soal Baru)'!G33</f>
        <v>1</v>
      </c>
      <c r="H39" s="69">
        <f>'IMR (Soal Baru)'!H33</f>
        <v>1</v>
      </c>
      <c r="I39" s="69">
        <f>'IMR (Soal Baru)'!I33</f>
        <v>1</v>
      </c>
      <c r="J39" s="69">
        <f>'IMR (Soal Baru)'!J33</f>
        <v>1</v>
      </c>
      <c r="K39" s="69">
        <f>'IMR (Soal Baru)'!K33</f>
        <v>1</v>
      </c>
      <c r="L39" s="69">
        <f t="shared" si="0"/>
        <v>5</v>
      </c>
      <c r="M39" s="69">
        <f t="shared" si="1"/>
        <v>5</v>
      </c>
      <c r="N39" s="69">
        <f t="shared" si="2"/>
        <v>4</v>
      </c>
      <c r="O39" s="69">
        <f t="shared" si="3"/>
        <v>4</v>
      </c>
      <c r="P39" s="69">
        <f t="shared" si="4"/>
        <v>4</v>
      </c>
      <c r="Q39" s="69">
        <f t="shared" si="5"/>
        <v>4</v>
      </c>
      <c r="R39" s="70">
        <f t="shared" si="6"/>
        <v>-1.3862943611198906</v>
      </c>
      <c r="S39" s="70">
        <f t="shared" si="7"/>
        <v>-1.3862943611198906</v>
      </c>
      <c r="T39" s="70">
        <f t="shared" si="8"/>
        <v>-1.4170325794005898</v>
      </c>
      <c r="U39" s="70">
        <f t="shared" si="9"/>
        <v>-1.4170325794005898</v>
      </c>
      <c r="V39" s="70">
        <f t="shared" si="10"/>
        <v>1.1180339887498949</v>
      </c>
      <c r="W39" s="70">
        <f t="shared" si="11"/>
        <v>1.1180339887498949</v>
      </c>
      <c r="X39" s="70">
        <f t="shared" si="12"/>
        <v>0</v>
      </c>
      <c r="Y39" s="70">
        <f t="shared" si="13"/>
        <v>1.5811388300841898</v>
      </c>
      <c r="Z39" s="70">
        <f t="shared" si="14"/>
        <v>0</v>
      </c>
      <c r="AA39" s="69" t="str">
        <f t="shared" si="15"/>
        <v>Negligible</v>
      </c>
      <c r="AB39" s="69" t="str">
        <f t="shared" si="16"/>
        <v>Tidak Ada Indikasi Bias</v>
      </c>
    </row>
    <row r="40" spans="1:28" ht="25" x14ac:dyDescent="0.35">
      <c r="A40" s="98" t="str">
        <f>'IMR (Soal Baru)'!A34</f>
        <v>30. Apa peran penting seorang Lead Implementer dalam sistem SPMI?</v>
      </c>
      <c r="B40" s="69">
        <f>'IMR (Soal Baru)'!B34</f>
        <v>0</v>
      </c>
      <c r="C40" s="69">
        <f>'IMR (Soal Baru)'!C34</f>
        <v>0</v>
      </c>
      <c r="D40" s="69">
        <f>'IMR (Soal Baru)'!D34</f>
        <v>1</v>
      </c>
      <c r="E40" s="69">
        <f>'IMR (Soal Baru)'!E34</f>
        <v>1</v>
      </c>
      <c r="F40" s="69">
        <f>'IMR (Soal Baru)'!F34</f>
        <v>0</v>
      </c>
      <c r="G40" s="69">
        <f>'IMR (Soal Baru)'!G34</f>
        <v>1</v>
      </c>
      <c r="H40" s="69">
        <f>'IMR (Soal Baru)'!H34</f>
        <v>1</v>
      </c>
      <c r="I40" s="69">
        <f>'IMR (Soal Baru)'!I34</f>
        <v>1</v>
      </c>
      <c r="J40" s="69">
        <f>'IMR (Soal Baru)'!J34</f>
        <v>1</v>
      </c>
      <c r="K40" s="69">
        <f>'IMR (Soal Baru)'!K34</f>
        <v>0</v>
      </c>
      <c r="L40" s="69">
        <f t="shared" si="0"/>
        <v>5</v>
      </c>
      <c r="M40" s="69">
        <f t="shared" si="1"/>
        <v>5</v>
      </c>
      <c r="N40" s="69">
        <f t="shared" si="2"/>
        <v>3</v>
      </c>
      <c r="O40" s="69">
        <f t="shared" si="3"/>
        <v>3</v>
      </c>
      <c r="P40" s="69">
        <f t="shared" si="4"/>
        <v>3</v>
      </c>
      <c r="Q40" s="69">
        <f t="shared" si="5"/>
        <v>3</v>
      </c>
      <c r="R40" s="70">
        <f t="shared" si="6"/>
        <v>-0.40546510810816444</v>
      </c>
      <c r="S40" s="70">
        <f t="shared" si="7"/>
        <v>-0.40546510810816444</v>
      </c>
      <c r="T40" s="70">
        <f t="shared" si="8"/>
        <v>-0.43620332638886361</v>
      </c>
      <c r="U40" s="70">
        <f t="shared" si="9"/>
        <v>-0.43620332638886361</v>
      </c>
      <c r="V40" s="70">
        <f t="shared" si="10"/>
        <v>0.91287092917527679</v>
      </c>
      <c r="W40" s="70">
        <f t="shared" si="11"/>
        <v>0.91287092917527679</v>
      </c>
      <c r="X40" s="70">
        <f t="shared" si="12"/>
        <v>0</v>
      </c>
      <c r="Y40" s="70">
        <f t="shared" si="13"/>
        <v>1.2909944487358056</v>
      </c>
      <c r="Z40" s="70">
        <f t="shared" si="14"/>
        <v>0</v>
      </c>
      <c r="AA40" s="69" t="str">
        <f t="shared" si="15"/>
        <v>Negligible</v>
      </c>
      <c r="AB40" s="69" t="str">
        <f t="shared" si="16"/>
        <v>Tidak Ada Indikasi Bias</v>
      </c>
    </row>
    <row r="41" spans="1:28" ht="25" x14ac:dyDescent="0.35">
      <c r="A41" s="98" t="str">
        <f>'IMR (Soal Baru)'!A35</f>
        <v>31. Metode 'SWOT Analysis' paling sesuai digunakan dalam tahapan apa dalam SPMI?</v>
      </c>
      <c r="B41" s="69">
        <f>'IMR (Soal Baru)'!B35</f>
        <v>0</v>
      </c>
      <c r="C41" s="69">
        <f>'IMR (Soal Baru)'!C35</f>
        <v>1</v>
      </c>
      <c r="D41" s="69">
        <f>'IMR (Soal Baru)'!D35</f>
        <v>0</v>
      </c>
      <c r="E41" s="69">
        <f>'IMR (Soal Baru)'!E35</f>
        <v>1</v>
      </c>
      <c r="F41" s="69">
        <f>'IMR (Soal Baru)'!F35</f>
        <v>1</v>
      </c>
      <c r="G41" s="69">
        <f>'IMR (Soal Baru)'!G35</f>
        <v>1</v>
      </c>
      <c r="H41" s="69">
        <f>'IMR (Soal Baru)'!H35</f>
        <v>1</v>
      </c>
      <c r="I41" s="69">
        <f>'IMR (Soal Baru)'!I35</f>
        <v>1</v>
      </c>
      <c r="J41" s="69">
        <f>'IMR (Soal Baru)'!J35</f>
        <v>1</v>
      </c>
      <c r="K41" s="69">
        <f>'IMR (Soal Baru)'!K35</f>
        <v>1</v>
      </c>
      <c r="L41" s="69">
        <f t="shared" si="0"/>
        <v>5</v>
      </c>
      <c r="M41" s="69">
        <f t="shared" si="1"/>
        <v>5</v>
      </c>
      <c r="N41" s="69">
        <f t="shared" si="2"/>
        <v>4</v>
      </c>
      <c r="O41" s="69">
        <f t="shared" si="3"/>
        <v>4</v>
      </c>
      <c r="P41" s="69">
        <f t="shared" si="4"/>
        <v>4</v>
      </c>
      <c r="Q41" s="69">
        <f t="shared" si="5"/>
        <v>4</v>
      </c>
      <c r="R41" s="70">
        <f t="shared" si="6"/>
        <v>-1.3862943611198906</v>
      </c>
      <c r="S41" s="70">
        <f t="shared" si="7"/>
        <v>-1.3862943611198906</v>
      </c>
      <c r="T41" s="70">
        <f t="shared" si="8"/>
        <v>-1.4170325794005898</v>
      </c>
      <c r="U41" s="70">
        <f t="shared" si="9"/>
        <v>-1.4170325794005898</v>
      </c>
      <c r="V41" s="70">
        <f t="shared" si="10"/>
        <v>1.1180339887498949</v>
      </c>
      <c r="W41" s="70">
        <f t="shared" si="11"/>
        <v>1.1180339887498949</v>
      </c>
      <c r="X41" s="70">
        <f t="shared" si="12"/>
        <v>0</v>
      </c>
      <c r="Y41" s="70">
        <f t="shared" si="13"/>
        <v>1.5811388300841898</v>
      </c>
      <c r="Z41" s="70">
        <f t="shared" si="14"/>
        <v>0</v>
      </c>
      <c r="AA41" s="69" t="str">
        <f t="shared" si="15"/>
        <v>Negligible</v>
      </c>
      <c r="AB41" s="69" t="str">
        <f t="shared" si="16"/>
        <v>Tidak Ada Indikasi Bias</v>
      </c>
    </row>
    <row r="42" spans="1:28" ht="37.5" x14ac:dyDescent="0.35">
      <c r="A42" s="98" t="str">
        <f>'IMR (Soal Baru)'!A36</f>
        <v>32. Manakah pernyataan berikut yang mencerminkan 'engagement of people' dalam prinsip manajemen mutu?</v>
      </c>
      <c r="B42" s="69">
        <f>'IMR (Soal Baru)'!B36</f>
        <v>0</v>
      </c>
      <c r="C42" s="69">
        <f>'IMR (Soal Baru)'!C36</f>
        <v>1</v>
      </c>
      <c r="D42" s="69">
        <f>'IMR (Soal Baru)'!D36</f>
        <v>0</v>
      </c>
      <c r="E42" s="69">
        <f>'IMR (Soal Baru)'!E36</f>
        <v>1</v>
      </c>
      <c r="F42" s="69">
        <f>'IMR (Soal Baru)'!F36</f>
        <v>0</v>
      </c>
      <c r="G42" s="69">
        <f>'IMR (Soal Baru)'!G36</f>
        <v>1</v>
      </c>
      <c r="H42" s="69">
        <f>'IMR (Soal Baru)'!H36</f>
        <v>0</v>
      </c>
      <c r="I42" s="69">
        <f>'IMR (Soal Baru)'!I36</f>
        <v>1</v>
      </c>
      <c r="J42" s="69">
        <f>'IMR (Soal Baru)'!J36</f>
        <v>1</v>
      </c>
      <c r="K42" s="69">
        <f>'IMR (Soal Baru)'!K36</f>
        <v>1</v>
      </c>
      <c r="L42" s="69">
        <f t="shared" si="0"/>
        <v>5</v>
      </c>
      <c r="M42" s="69">
        <f t="shared" si="1"/>
        <v>5</v>
      </c>
      <c r="N42" s="69">
        <f t="shared" si="2"/>
        <v>3</v>
      </c>
      <c r="O42" s="69">
        <f t="shared" si="3"/>
        <v>3</v>
      </c>
      <c r="P42" s="69">
        <f t="shared" si="4"/>
        <v>3</v>
      </c>
      <c r="Q42" s="69">
        <f t="shared" si="5"/>
        <v>3</v>
      </c>
      <c r="R42" s="70">
        <f t="shared" si="6"/>
        <v>-0.40546510810816444</v>
      </c>
      <c r="S42" s="70">
        <f t="shared" si="7"/>
        <v>-0.40546510810816444</v>
      </c>
      <c r="T42" s="70">
        <f t="shared" si="8"/>
        <v>-0.43620332638886361</v>
      </c>
      <c r="U42" s="70">
        <f t="shared" si="9"/>
        <v>-0.43620332638886361</v>
      </c>
      <c r="V42" s="70">
        <f t="shared" si="10"/>
        <v>0.91287092917527679</v>
      </c>
      <c r="W42" s="70">
        <f t="shared" si="11"/>
        <v>0.91287092917527679</v>
      </c>
      <c r="X42" s="70">
        <f t="shared" si="12"/>
        <v>0</v>
      </c>
      <c r="Y42" s="70">
        <f t="shared" si="13"/>
        <v>1.2909944487358056</v>
      </c>
      <c r="Z42" s="70">
        <f t="shared" si="14"/>
        <v>0</v>
      </c>
      <c r="AA42" s="69" t="str">
        <f t="shared" si="15"/>
        <v>Negligible</v>
      </c>
      <c r="AB42" s="69" t="str">
        <f t="shared" si="16"/>
        <v>Tidak Ada Indikasi Bias</v>
      </c>
    </row>
    <row r="43" spans="1:28" ht="25" x14ac:dyDescent="0.35">
      <c r="A43" s="98" t="str">
        <f>'IMR (Soal Baru)'!A37</f>
        <v>33. Apa yang menjadi dasar legal formal perguruan tinggi dalam menerapkan SPMI?</v>
      </c>
      <c r="B43" s="69">
        <f>'IMR (Soal Baru)'!B37</f>
        <v>1</v>
      </c>
      <c r="C43" s="69">
        <f>'IMR (Soal Baru)'!C37</f>
        <v>1</v>
      </c>
      <c r="D43" s="69">
        <f>'IMR (Soal Baru)'!D37</f>
        <v>1</v>
      </c>
      <c r="E43" s="69">
        <f>'IMR (Soal Baru)'!E37</f>
        <v>1</v>
      </c>
      <c r="F43" s="69">
        <f>'IMR (Soal Baru)'!F37</f>
        <v>1</v>
      </c>
      <c r="G43" s="69">
        <f>'IMR (Soal Baru)'!G37</f>
        <v>0</v>
      </c>
      <c r="H43" s="69">
        <f>'IMR (Soal Baru)'!H37</f>
        <v>0</v>
      </c>
      <c r="I43" s="69">
        <f>'IMR (Soal Baru)'!I37</f>
        <v>1</v>
      </c>
      <c r="J43" s="69">
        <f>'IMR (Soal Baru)'!J37</f>
        <v>0</v>
      </c>
      <c r="K43" s="69">
        <f>'IMR (Soal Baru)'!K37</f>
        <v>0</v>
      </c>
      <c r="L43" s="69">
        <f t="shared" ref="L43:L74" si="17">COUNTIF($B$8:$K$8,"Laki-Laki")</f>
        <v>5</v>
      </c>
      <c r="M43" s="69">
        <f t="shared" ref="M43:M74" si="18">COUNTIF($B$8:$K$8,"Perempuan")</f>
        <v>5</v>
      </c>
      <c r="N43" s="69">
        <f t="shared" ref="N43:N74" si="19">SUMIF($B$8:$K$8,"Laki-Laki",B43:K43)</f>
        <v>3</v>
      </c>
      <c r="O43" s="69">
        <f t="shared" ref="O43:O74" si="20">SUMIF($B$8:$K$8,"Perempuan",B43:K43)</f>
        <v>3</v>
      </c>
      <c r="P43" s="69">
        <f t="shared" ref="P43:P74" si="21">IF(N43=0,0.3,IF(N43=L43,L43-0.3,N43))</f>
        <v>3</v>
      </c>
      <c r="Q43" s="69">
        <f t="shared" ref="Q43:Q74" si="22">IF(O43=0,0.3,IF(O43=M43,M43-0.3,O43))</f>
        <v>3</v>
      </c>
      <c r="R43" s="70">
        <f t="shared" ref="R43:R74" si="23">LN((L43-P43)/P43)</f>
        <v>-0.40546510810816444</v>
      </c>
      <c r="S43" s="70">
        <f t="shared" ref="S43:S74" si="24">LN((M43-Q43)/Q43)</f>
        <v>-0.40546510810816444</v>
      </c>
      <c r="T43" s="70">
        <f t="shared" ref="T43:T74" si="25">R43-AVERAGE($R$11:$R$110)</f>
        <v>-0.43620332638886361</v>
      </c>
      <c r="U43" s="70">
        <f t="shared" ref="U43:U74" si="26">S43-AVERAGE($S$11:$S$110)</f>
        <v>-0.43620332638886361</v>
      </c>
      <c r="V43" s="70">
        <f t="shared" ref="V43:V74" si="27">SQRT(1/P43+1/(L43-P43))</f>
        <v>0.91287092917527679</v>
      </c>
      <c r="W43" s="70">
        <f t="shared" ref="W43:W74" si="28">SQRT(1/Q43+1/(M43-Q43))</f>
        <v>0.91287092917527679</v>
      </c>
      <c r="X43" s="70">
        <f t="shared" ref="X43:X74" si="29">T43-U43</f>
        <v>0</v>
      </c>
      <c r="Y43" s="70">
        <f t="shared" ref="Y43:Y74" si="30">SQRT(V43^2+W43^2)</f>
        <v>1.2909944487358056</v>
      </c>
      <c r="Z43" s="70">
        <f t="shared" ref="Z43:Z74" si="31">X43/Y43</f>
        <v>0</v>
      </c>
      <c r="AA43" s="69" t="str">
        <f t="shared" ref="AA43:AA74" si="32">IF(AND(ABS(X43)&gt;=$B$4,ABS(Z43)&gt;=$B$5),"DIF Besar - review",IF(AND(ABS(X43)&gt;=$B$3,ABS(Z43)&gt;=$B$5),"DIF Moderat - cek","Negligible"))</f>
        <v>Negligible</v>
      </c>
      <c r="AB43" s="69" t="str">
        <f t="shared" ref="AB43:AB74" si="33">IF(ABS(X43)&gt;=$B$4,"Berpotensi Bias - Tinjau Konten",IF(ABS(X43)&gt;=$B$3,"Indikasi Ringan - Pantau","Tidak Ada Indikasi Bias"))</f>
        <v>Tidak Ada Indikasi Bias</v>
      </c>
    </row>
    <row r="44" spans="1:28" ht="25" x14ac:dyDescent="0.35">
      <c r="A44" s="98" t="str">
        <f>'IMR (Soal Baru)'!A38</f>
        <v>34. Apa bentuk konkret kegiatan peningkatan mutu dalam PPEPP?</v>
      </c>
      <c r="B44" s="69">
        <f>'IMR (Soal Baru)'!B38</f>
        <v>1</v>
      </c>
      <c r="C44" s="69">
        <f>'IMR (Soal Baru)'!C38</f>
        <v>0</v>
      </c>
      <c r="D44" s="69">
        <f>'IMR (Soal Baru)'!D38</f>
        <v>0</v>
      </c>
      <c r="E44" s="69">
        <f>'IMR (Soal Baru)'!E38</f>
        <v>1</v>
      </c>
      <c r="F44" s="69">
        <f>'IMR (Soal Baru)'!F38</f>
        <v>1</v>
      </c>
      <c r="G44" s="69">
        <f>'IMR (Soal Baru)'!G38</f>
        <v>1</v>
      </c>
      <c r="H44" s="69">
        <f>'IMR (Soal Baru)'!H38</f>
        <v>0</v>
      </c>
      <c r="I44" s="69">
        <f>'IMR (Soal Baru)'!I38</f>
        <v>0</v>
      </c>
      <c r="J44" s="69">
        <f>'IMR (Soal Baru)'!J38</f>
        <v>0</v>
      </c>
      <c r="K44" s="69">
        <f>'IMR (Soal Baru)'!K38</f>
        <v>0</v>
      </c>
      <c r="L44" s="69">
        <f t="shared" si="17"/>
        <v>5</v>
      </c>
      <c r="M44" s="69">
        <f t="shared" si="18"/>
        <v>5</v>
      </c>
      <c r="N44" s="69">
        <f t="shared" si="19"/>
        <v>2</v>
      </c>
      <c r="O44" s="69">
        <f t="shared" si="20"/>
        <v>2</v>
      </c>
      <c r="P44" s="69">
        <f t="shared" si="21"/>
        <v>2</v>
      </c>
      <c r="Q44" s="69">
        <f t="shared" si="22"/>
        <v>2</v>
      </c>
      <c r="R44" s="70">
        <f t="shared" si="23"/>
        <v>0.40546510810816438</v>
      </c>
      <c r="S44" s="70">
        <f t="shared" si="24"/>
        <v>0.40546510810816438</v>
      </c>
      <c r="T44" s="70">
        <f t="shared" si="25"/>
        <v>0.37472688982746521</v>
      </c>
      <c r="U44" s="70">
        <f t="shared" si="26"/>
        <v>0.37472688982746521</v>
      </c>
      <c r="V44" s="70">
        <f t="shared" si="27"/>
        <v>0.91287092917527679</v>
      </c>
      <c r="W44" s="70">
        <f t="shared" si="28"/>
        <v>0.91287092917527679</v>
      </c>
      <c r="X44" s="70">
        <f t="shared" si="29"/>
        <v>0</v>
      </c>
      <c r="Y44" s="70">
        <f t="shared" si="30"/>
        <v>1.2909944487358056</v>
      </c>
      <c r="Z44" s="70">
        <f t="shared" si="31"/>
        <v>0</v>
      </c>
      <c r="AA44" s="69" t="str">
        <f t="shared" si="32"/>
        <v>Negligible</v>
      </c>
      <c r="AB44" s="69" t="str">
        <f t="shared" si="33"/>
        <v>Tidak Ada Indikasi Bias</v>
      </c>
    </row>
    <row r="45" spans="1:28" ht="25" x14ac:dyDescent="0.35">
      <c r="A45" s="98" t="str">
        <f>'IMR (Soal Baru)'!A39</f>
        <v>35. Jika sebuah standar belum tercapai, maka tindakan yang tepat adalah:</v>
      </c>
      <c r="B45" s="69">
        <f>'IMR (Soal Baru)'!B39</f>
        <v>0</v>
      </c>
      <c r="C45" s="69">
        <f>'IMR (Soal Baru)'!C39</f>
        <v>1</v>
      </c>
      <c r="D45" s="69">
        <f>'IMR (Soal Baru)'!D39</f>
        <v>1</v>
      </c>
      <c r="E45" s="69">
        <f>'IMR (Soal Baru)'!E39</f>
        <v>0</v>
      </c>
      <c r="F45" s="69">
        <f>'IMR (Soal Baru)'!F39</f>
        <v>0</v>
      </c>
      <c r="G45" s="69">
        <f>'IMR (Soal Baru)'!G39</f>
        <v>1</v>
      </c>
      <c r="H45" s="69">
        <f>'IMR (Soal Baru)'!H39</f>
        <v>0</v>
      </c>
      <c r="I45" s="69">
        <f>'IMR (Soal Baru)'!I39</f>
        <v>1</v>
      </c>
      <c r="J45" s="69">
        <f>'IMR (Soal Baru)'!J39</f>
        <v>1</v>
      </c>
      <c r="K45" s="69">
        <f>'IMR (Soal Baru)'!K39</f>
        <v>1</v>
      </c>
      <c r="L45" s="69">
        <f t="shared" si="17"/>
        <v>5</v>
      </c>
      <c r="M45" s="69">
        <f t="shared" si="18"/>
        <v>5</v>
      </c>
      <c r="N45" s="69">
        <f t="shared" si="19"/>
        <v>3</v>
      </c>
      <c r="O45" s="69">
        <f t="shared" si="20"/>
        <v>3</v>
      </c>
      <c r="P45" s="69">
        <f t="shared" si="21"/>
        <v>3</v>
      </c>
      <c r="Q45" s="69">
        <f t="shared" si="22"/>
        <v>3</v>
      </c>
      <c r="R45" s="70">
        <f t="shared" si="23"/>
        <v>-0.40546510810816444</v>
      </c>
      <c r="S45" s="70">
        <f t="shared" si="24"/>
        <v>-0.40546510810816444</v>
      </c>
      <c r="T45" s="70">
        <f t="shared" si="25"/>
        <v>-0.43620332638886361</v>
      </c>
      <c r="U45" s="70">
        <f t="shared" si="26"/>
        <v>-0.43620332638886361</v>
      </c>
      <c r="V45" s="70">
        <f t="shared" si="27"/>
        <v>0.91287092917527679</v>
      </c>
      <c r="W45" s="70">
        <f t="shared" si="28"/>
        <v>0.91287092917527679</v>
      </c>
      <c r="X45" s="70">
        <f t="shared" si="29"/>
        <v>0</v>
      </c>
      <c r="Y45" s="70">
        <f t="shared" si="30"/>
        <v>1.2909944487358056</v>
      </c>
      <c r="Z45" s="70">
        <f t="shared" si="31"/>
        <v>0</v>
      </c>
      <c r="AA45" s="69" t="str">
        <f t="shared" si="32"/>
        <v>Negligible</v>
      </c>
      <c r="AB45" s="69" t="str">
        <f t="shared" si="33"/>
        <v>Tidak Ada Indikasi Bias</v>
      </c>
    </row>
    <row r="46" spans="1:28" ht="25" x14ac:dyDescent="0.35">
      <c r="A46" s="98" t="str">
        <f>'IMR (Soal Baru)'!A40</f>
        <v>36. Salah satu indikator ketercapaian indikator mutu layanan akademik adalah:</v>
      </c>
      <c r="B46" s="69">
        <f>'IMR (Soal Baru)'!B40</f>
        <v>1</v>
      </c>
      <c r="C46" s="69">
        <f>'IMR (Soal Baru)'!C40</f>
        <v>1</v>
      </c>
      <c r="D46" s="69">
        <f>'IMR (Soal Baru)'!D40</f>
        <v>1</v>
      </c>
      <c r="E46" s="69">
        <f>'IMR (Soal Baru)'!E40</f>
        <v>1</v>
      </c>
      <c r="F46" s="69">
        <f>'IMR (Soal Baru)'!F40</f>
        <v>1</v>
      </c>
      <c r="G46" s="69">
        <f>'IMR (Soal Baru)'!G40</f>
        <v>1</v>
      </c>
      <c r="H46" s="69">
        <f>'IMR (Soal Baru)'!H40</f>
        <v>1</v>
      </c>
      <c r="I46" s="69">
        <f>'IMR (Soal Baru)'!I40</f>
        <v>0</v>
      </c>
      <c r="J46" s="69">
        <f>'IMR (Soal Baru)'!J40</f>
        <v>1</v>
      </c>
      <c r="K46" s="69">
        <f>'IMR (Soal Baru)'!K40</f>
        <v>0</v>
      </c>
      <c r="L46" s="69">
        <f t="shared" si="17"/>
        <v>5</v>
      </c>
      <c r="M46" s="69">
        <f t="shared" si="18"/>
        <v>5</v>
      </c>
      <c r="N46" s="69">
        <f t="shared" si="19"/>
        <v>4</v>
      </c>
      <c r="O46" s="69">
        <f t="shared" si="20"/>
        <v>4</v>
      </c>
      <c r="P46" s="69">
        <f t="shared" si="21"/>
        <v>4</v>
      </c>
      <c r="Q46" s="69">
        <f t="shared" si="22"/>
        <v>4</v>
      </c>
      <c r="R46" s="70">
        <f t="shared" si="23"/>
        <v>-1.3862943611198906</v>
      </c>
      <c r="S46" s="70">
        <f t="shared" si="24"/>
        <v>-1.3862943611198906</v>
      </c>
      <c r="T46" s="70">
        <f t="shared" si="25"/>
        <v>-1.4170325794005898</v>
      </c>
      <c r="U46" s="70">
        <f t="shared" si="26"/>
        <v>-1.4170325794005898</v>
      </c>
      <c r="V46" s="70">
        <f t="shared" si="27"/>
        <v>1.1180339887498949</v>
      </c>
      <c r="W46" s="70">
        <f t="shared" si="28"/>
        <v>1.1180339887498949</v>
      </c>
      <c r="X46" s="70">
        <f t="shared" si="29"/>
        <v>0</v>
      </c>
      <c r="Y46" s="70">
        <f t="shared" si="30"/>
        <v>1.5811388300841898</v>
      </c>
      <c r="Z46" s="70">
        <f t="shared" si="31"/>
        <v>0</v>
      </c>
      <c r="AA46" s="69" t="str">
        <f t="shared" si="32"/>
        <v>Negligible</v>
      </c>
      <c r="AB46" s="69" t="str">
        <f t="shared" si="33"/>
        <v>Tidak Ada Indikasi Bias</v>
      </c>
    </row>
    <row r="47" spans="1:28" ht="25" x14ac:dyDescent="0.35">
      <c r="A47" s="98" t="str">
        <f>'IMR (Soal Baru)'!A41</f>
        <v>37. Salah satu syarat ISO 21001 yang spesifik terhadap pendidikan adalah:</v>
      </c>
      <c r="B47" s="69">
        <f>'IMR (Soal Baru)'!B41</f>
        <v>1</v>
      </c>
      <c r="C47" s="69">
        <f>'IMR (Soal Baru)'!C41</f>
        <v>1</v>
      </c>
      <c r="D47" s="69">
        <f>'IMR (Soal Baru)'!D41</f>
        <v>0</v>
      </c>
      <c r="E47" s="69">
        <f>'IMR (Soal Baru)'!E41</f>
        <v>1</v>
      </c>
      <c r="F47" s="69">
        <f>'IMR (Soal Baru)'!F41</f>
        <v>1</v>
      </c>
      <c r="G47" s="69">
        <f>'IMR (Soal Baru)'!G41</f>
        <v>0</v>
      </c>
      <c r="H47" s="69">
        <f>'IMR (Soal Baru)'!H41</f>
        <v>0</v>
      </c>
      <c r="I47" s="69">
        <f>'IMR (Soal Baru)'!I41</f>
        <v>0</v>
      </c>
      <c r="J47" s="69">
        <f>'IMR (Soal Baru)'!J41</f>
        <v>0</v>
      </c>
      <c r="K47" s="69">
        <f>'IMR (Soal Baru)'!K41</f>
        <v>0</v>
      </c>
      <c r="L47" s="69">
        <f t="shared" si="17"/>
        <v>5</v>
      </c>
      <c r="M47" s="69">
        <f t="shared" si="18"/>
        <v>5</v>
      </c>
      <c r="N47" s="69">
        <f t="shared" si="19"/>
        <v>2</v>
      </c>
      <c r="O47" s="69">
        <f t="shared" si="20"/>
        <v>2</v>
      </c>
      <c r="P47" s="69">
        <f t="shared" si="21"/>
        <v>2</v>
      </c>
      <c r="Q47" s="69">
        <f t="shared" si="22"/>
        <v>2</v>
      </c>
      <c r="R47" s="70">
        <f t="shared" si="23"/>
        <v>0.40546510810816438</v>
      </c>
      <c r="S47" s="70">
        <f t="shared" si="24"/>
        <v>0.40546510810816438</v>
      </c>
      <c r="T47" s="70">
        <f t="shared" si="25"/>
        <v>0.37472688982746521</v>
      </c>
      <c r="U47" s="70">
        <f t="shared" si="26"/>
        <v>0.37472688982746521</v>
      </c>
      <c r="V47" s="70">
        <f t="shared" si="27"/>
        <v>0.91287092917527679</v>
      </c>
      <c r="W47" s="70">
        <f t="shared" si="28"/>
        <v>0.91287092917527679</v>
      </c>
      <c r="X47" s="70">
        <f t="shared" si="29"/>
        <v>0</v>
      </c>
      <c r="Y47" s="70">
        <f t="shared" si="30"/>
        <v>1.2909944487358056</v>
      </c>
      <c r="Z47" s="70">
        <f t="shared" si="31"/>
        <v>0</v>
      </c>
      <c r="AA47" s="69" t="str">
        <f t="shared" si="32"/>
        <v>Negligible</v>
      </c>
      <c r="AB47" s="69" t="str">
        <f t="shared" si="33"/>
        <v>Tidak Ada Indikasi Bias</v>
      </c>
    </row>
    <row r="48" spans="1:28" ht="37.5" x14ac:dyDescent="0.35">
      <c r="A48" s="98" t="str">
        <f>'IMR (Soal Baru)'!A42</f>
        <v>38. Mengapa penting bagi perguruan tinggi untuk memiliki dokumentasi yang sistematis dalam SPMI?</v>
      </c>
      <c r="B48" s="69">
        <f>'IMR (Soal Baru)'!B42</f>
        <v>1</v>
      </c>
      <c r="C48" s="69">
        <f>'IMR (Soal Baru)'!C42</f>
        <v>1</v>
      </c>
      <c r="D48" s="69">
        <f>'IMR (Soal Baru)'!D42</f>
        <v>1</v>
      </c>
      <c r="E48" s="69">
        <f>'IMR (Soal Baru)'!E42</f>
        <v>1</v>
      </c>
      <c r="F48" s="69">
        <f>'IMR (Soal Baru)'!F42</f>
        <v>0</v>
      </c>
      <c r="G48" s="69">
        <f>'IMR (Soal Baru)'!G42</f>
        <v>0</v>
      </c>
      <c r="H48" s="69">
        <f>'IMR (Soal Baru)'!H42</f>
        <v>1</v>
      </c>
      <c r="I48" s="69">
        <f>'IMR (Soal Baru)'!I42</f>
        <v>0</v>
      </c>
      <c r="J48" s="69">
        <f>'IMR (Soal Baru)'!J42</f>
        <v>1</v>
      </c>
      <c r="K48" s="69">
        <f>'IMR (Soal Baru)'!K42</f>
        <v>0</v>
      </c>
      <c r="L48" s="69">
        <f t="shared" si="17"/>
        <v>5</v>
      </c>
      <c r="M48" s="69">
        <f t="shared" si="18"/>
        <v>5</v>
      </c>
      <c r="N48" s="69">
        <f t="shared" si="19"/>
        <v>3</v>
      </c>
      <c r="O48" s="69">
        <f t="shared" si="20"/>
        <v>3</v>
      </c>
      <c r="P48" s="69">
        <f t="shared" si="21"/>
        <v>3</v>
      </c>
      <c r="Q48" s="69">
        <f t="shared" si="22"/>
        <v>3</v>
      </c>
      <c r="R48" s="70">
        <f t="shared" si="23"/>
        <v>-0.40546510810816444</v>
      </c>
      <c r="S48" s="70">
        <f t="shared" si="24"/>
        <v>-0.40546510810816444</v>
      </c>
      <c r="T48" s="70">
        <f t="shared" si="25"/>
        <v>-0.43620332638886361</v>
      </c>
      <c r="U48" s="70">
        <f t="shared" si="26"/>
        <v>-0.43620332638886361</v>
      </c>
      <c r="V48" s="70">
        <f t="shared" si="27"/>
        <v>0.91287092917527679</v>
      </c>
      <c r="W48" s="70">
        <f t="shared" si="28"/>
        <v>0.91287092917527679</v>
      </c>
      <c r="X48" s="70">
        <f t="shared" si="29"/>
        <v>0</v>
      </c>
      <c r="Y48" s="70">
        <f t="shared" si="30"/>
        <v>1.2909944487358056</v>
      </c>
      <c r="Z48" s="70">
        <f t="shared" si="31"/>
        <v>0</v>
      </c>
      <c r="AA48" s="69" t="str">
        <f t="shared" si="32"/>
        <v>Negligible</v>
      </c>
      <c r="AB48" s="69" t="str">
        <f t="shared" si="33"/>
        <v>Tidak Ada Indikasi Bias</v>
      </c>
    </row>
    <row r="49" spans="1:28" ht="37.5" x14ac:dyDescent="0.35">
      <c r="A49" s="98" t="str">
        <f>'IMR (Soal Baru)'!A43</f>
        <v>39. Salah satu hal yang membedakan SPMI ISO 21001 dengan pendekatan tradisional adalah:</v>
      </c>
      <c r="B49" s="69">
        <f>'IMR (Soal Baru)'!B43</f>
        <v>0</v>
      </c>
      <c r="C49" s="69">
        <f>'IMR (Soal Baru)'!C43</f>
        <v>0</v>
      </c>
      <c r="D49" s="69">
        <f>'IMR (Soal Baru)'!D43</f>
        <v>1</v>
      </c>
      <c r="E49" s="69">
        <f>'IMR (Soal Baru)'!E43</f>
        <v>0</v>
      </c>
      <c r="F49" s="69">
        <f>'IMR (Soal Baru)'!F43</f>
        <v>1</v>
      </c>
      <c r="G49" s="69">
        <f>'IMR (Soal Baru)'!G43</f>
        <v>1</v>
      </c>
      <c r="H49" s="69">
        <f>'IMR (Soal Baru)'!H43</f>
        <v>1</v>
      </c>
      <c r="I49" s="69">
        <f>'IMR (Soal Baru)'!I43</f>
        <v>1</v>
      </c>
      <c r="J49" s="69">
        <f>'IMR (Soal Baru)'!J43</f>
        <v>0</v>
      </c>
      <c r="K49" s="69">
        <f>'IMR (Soal Baru)'!K43</f>
        <v>1</v>
      </c>
      <c r="L49" s="69">
        <f t="shared" si="17"/>
        <v>5</v>
      </c>
      <c r="M49" s="69">
        <f t="shared" si="18"/>
        <v>5</v>
      </c>
      <c r="N49" s="69">
        <f t="shared" si="19"/>
        <v>3</v>
      </c>
      <c r="O49" s="69">
        <f t="shared" si="20"/>
        <v>3</v>
      </c>
      <c r="P49" s="69">
        <f t="shared" si="21"/>
        <v>3</v>
      </c>
      <c r="Q49" s="69">
        <f t="shared" si="22"/>
        <v>3</v>
      </c>
      <c r="R49" s="70">
        <f t="shared" si="23"/>
        <v>-0.40546510810816444</v>
      </c>
      <c r="S49" s="70">
        <f t="shared" si="24"/>
        <v>-0.40546510810816444</v>
      </c>
      <c r="T49" s="70">
        <f t="shared" si="25"/>
        <v>-0.43620332638886361</v>
      </c>
      <c r="U49" s="70">
        <f t="shared" si="26"/>
        <v>-0.43620332638886361</v>
      </c>
      <c r="V49" s="70">
        <f t="shared" si="27"/>
        <v>0.91287092917527679</v>
      </c>
      <c r="W49" s="70">
        <f t="shared" si="28"/>
        <v>0.91287092917527679</v>
      </c>
      <c r="X49" s="70">
        <f t="shared" si="29"/>
        <v>0</v>
      </c>
      <c r="Y49" s="70">
        <f t="shared" si="30"/>
        <v>1.2909944487358056</v>
      </c>
      <c r="Z49" s="70">
        <f t="shared" si="31"/>
        <v>0</v>
      </c>
      <c r="AA49" s="69" t="str">
        <f t="shared" si="32"/>
        <v>Negligible</v>
      </c>
      <c r="AB49" s="69" t="str">
        <f t="shared" si="33"/>
        <v>Tidak Ada Indikasi Bias</v>
      </c>
    </row>
    <row r="50" spans="1:28" ht="37.5" x14ac:dyDescent="0.35">
      <c r="A50" s="98" t="str">
        <f>'IMR (Soal Baru)'!A44</f>
        <v>40. Dalam ISO 21001, review manajemen (Management Review) dilakukan dengan tujuan:</v>
      </c>
      <c r="B50" s="69">
        <f>'IMR (Soal Baru)'!B44</f>
        <v>1</v>
      </c>
      <c r="C50" s="69">
        <f>'IMR (Soal Baru)'!C44</f>
        <v>1</v>
      </c>
      <c r="D50" s="69">
        <f>'IMR (Soal Baru)'!D44</f>
        <v>1</v>
      </c>
      <c r="E50" s="69">
        <f>'IMR (Soal Baru)'!E44</f>
        <v>1</v>
      </c>
      <c r="F50" s="69">
        <f>'IMR (Soal Baru)'!F44</f>
        <v>1</v>
      </c>
      <c r="G50" s="69">
        <f>'IMR (Soal Baru)'!G44</f>
        <v>1</v>
      </c>
      <c r="H50" s="69">
        <f>'IMR (Soal Baru)'!H44</f>
        <v>0</v>
      </c>
      <c r="I50" s="69">
        <f>'IMR (Soal Baru)'!I44</f>
        <v>1</v>
      </c>
      <c r="J50" s="69">
        <f>'IMR (Soal Baru)'!J44</f>
        <v>1</v>
      </c>
      <c r="K50" s="69">
        <f>'IMR (Soal Baru)'!K44</f>
        <v>0</v>
      </c>
      <c r="L50" s="69">
        <f t="shared" si="17"/>
        <v>5</v>
      </c>
      <c r="M50" s="69">
        <f t="shared" si="18"/>
        <v>5</v>
      </c>
      <c r="N50" s="69">
        <f t="shared" si="19"/>
        <v>4</v>
      </c>
      <c r="O50" s="69">
        <f t="shared" si="20"/>
        <v>4</v>
      </c>
      <c r="P50" s="69">
        <f t="shared" si="21"/>
        <v>4</v>
      </c>
      <c r="Q50" s="69">
        <f t="shared" si="22"/>
        <v>4</v>
      </c>
      <c r="R50" s="70">
        <f t="shared" si="23"/>
        <v>-1.3862943611198906</v>
      </c>
      <c r="S50" s="70">
        <f t="shared" si="24"/>
        <v>-1.3862943611198906</v>
      </c>
      <c r="T50" s="70">
        <f t="shared" si="25"/>
        <v>-1.4170325794005898</v>
      </c>
      <c r="U50" s="70">
        <f t="shared" si="26"/>
        <v>-1.4170325794005898</v>
      </c>
      <c r="V50" s="70">
        <f t="shared" si="27"/>
        <v>1.1180339887498949</v>
      </c>
      <c r="W50" s="70">
        <f t="shared" si="28"/>
        <v>1.1180339887498949</v>
      </c>
      <c r="X50" s="70">
        <f t="shared" si="29"/>
        <v>0</v>
      </c>
      <c r="Y50" s="70">
        <f t="shared" si="30"/>
        <v>1.5811388300841898</v>
      </c>
      <c r="Z50" s="70">
        <f t="shared" si="31"/>
        <v>0</v>
      </c>
      <c r="AA50" s="69" t="str">
        <f t="shared" si="32"/>
        <v>Negligible</v>
      </c>
      <c r="AB50" s="69" t="str">
        <f t="shared" si="33"/>
        <v>Tidak Ada Indikasi Bias</v>
      </c>
    </row>
    <row r="51" spans="1:28" ht="37.5" x14ac:dyDescent="0.35">
      <c r="A51" s="98" t="str">
        <f>'IMR (Soal Baru)'!A45</f>
        <v>41. Apa pendekatan terbaik untuk meningkatkan budaya mutu di institusi pendidikan tinggi?</v>
      </c>
      <c r="B51" s="69">
        <f>'IMR (Soal Baru)'!B45</f>
        <v>0</v>
      </c>
      <c r="C51" s="69">
        <f>'IMR (Soal Baru)'!C45</f>
        <v>0</v>
      </c>
      <c r="D51" s="69">
        <f>'IMR (Soal Baru)'!D45</f>
        <v>0</v>
      </c>
      <c r="E51" s="69">
        <f>'IMR (Soal Baru)'!E45</f>
        <v>0</v>
      </c>
      <c r="F51" s="69">
        <f>'IMR (Soal Baru)'!F45</f>
        <v>0</v>
      </c>
      <c r="G51" s="69">
        <f>'IMR (Soal Baru)'!G45</f>
        <v>1</v>
      </c>
      <c r="H51" s="69">
        <f>'IMR (Soal Baru)'!H45</f>
        <v>1</v>
      </c>
      <c r="I51" s="69">
        <f>'IMR (Soal Baru)'!I45</f>
        <v>0</v>
      </c>
      <c r="J51" s="69">
        <f>'IMR (Soal Baru)'!J45</f>
        <v>1</v>
      </c>
      <c r="K51" s="69">
        <f>'IMR (Soal Baru)'!K45</f>
        <v>1</v>
      </c>
      <c r="L51" s="69">
        <f t="shared" si="17"/>
        <v>5</v>
      </c>
      <c r="M51" s="69">
        <f t="shared" si="18"/>
        <v>5</v>
      </c>
      <c r="N51" s="69">
        <f t="shared" si="19"/>
        <v>2</v>
      </c>
      <c r="O51" s="69">
        <f t="shared" si="20"/>
        <v>2</v>
      </c>
      <c r="P51" s="69">
        <f t="shared" si="21"/>
        <v>2</v>
      </c>
      <c r="Q51" s="69">
        <f t="shared" si="22"/>
        <v>2</v>
      </c>
      <c r="R51" s="70">
        <f t="shared" si="23"/>
        <v>0.40546510810816438</v>
      </c>
      <c r="S51" s="70">
        <f t="shared" si="24"/>
        <v>0.40546510810816438</v>
      </c>
      <c r="T51" s="70">
        <f t="shared" si="25"/>
        <v>0.37472688982746521</v>
      </c>
      <c r="U51" s="70">
        <f t="shared" si="26"/>
        <v>0.37472688982746521</v>
      </c>
      <c r="V51" s="70">
        <f t="shared" si="27"/>
        <v>0.91287092917527679</v>
      </c>
      <c r="W51" s="70">
        <f t="shared" si="28"/>
        <v>0.91287092917527679</v>
      </c>
      <c r="X51" s="70">
        <f t="shared" si="29"/>
        <v>0</v>
      </c>
      <c r="Y51" s="70">
        <f t="shared" si="30"/>
        <v>1.2909944487358056</v>
      </c>
      <c r="Z51" s="70">
        <f t="shared" si="31"/>
        <v>0</v>
      </c>
      <c r="AA51" s="69" t="str">
        <f t="shared" si="32"/>
        <v>Negligible</v>
      </c>
      <c r="AB51" s="69" t="str">
        <f t="shared" si="33"/>
        <v>Tidak Ada Indikasi Bias</v>
      </c>
    </row>
    <row r="52" spans="1:28" ht="37.5" x14ac:dyDescent="0.35">
      <c r="A52" s="98" t="str">
        <f>'IMR (Soal Baru)'!A46</f>
        <v>42. Apa yang dimaksud dengan 'risk register' dalam konteks manajemen risiko mutu?</v>
      </c>
      <c r="B52" s="69">
        <f>'IMR (Soal Baru)'!B46</f>
        <v>1</v>
      </c>
      <c r="C52" s="69">
        <f>'IMR (Soal Baru)'!C46</f>
        <v>0</v>
      </c>
      <c r="D52" s="69">
        <f>'IMR (Soal Baru)'!D46</f>
        <v>0</v>
      </c>
      <c r="E52" s="69">
        <f>'IMR (Soal Baru)'!E46</f>
        <v>1</v>
      </c>
      <c r="F52" s="69">
        <f>'IMR (Soal Baru)'!F46</f>
        <v>1</v>
      </c>
      <c r="G52" s="69">
        <f>'IMR (Soal Baru)'!G46</f>
        <v>1</v>
      </c>
      <c r="H52" s="69">
        <f>'IMR (Soal Baru)'!H46</f>
        <v>0</v>
      </c>
      <c r="I52" s="69">
        <f>'IMR (Soal Baru)'!I46</f>
        <v>0</v>
      </c>
      <c r="J52" s="69">
        <f>'IMR (Soal Baru)'!J46</f>
        <v>0</v>
      </c>
      <c r="K52" s="69">
        <f>'IMR (Soal Baru)'!K46</f>
        <v>0</v>
      </c>
      <c r="L52" s="69">
        <f t="shared" si="17"/>
        <v>5</v>
      </c>
      <c r="M52" s="69">
        <f t="shared" si="18"/>
        <v>5</v>
      </c>
      <c r="N52" s="69">
        <f t="shared" si="19"/>
        <v>2</v>
      </c>
      <c r="O52" s="69">
        <f t="shared" si="20"/>
        <v>2</v>
      </c>
      <c r="P52" s="69">
        <f t="shared" si="21"/>
        <v>2</v>
      </c>
      <c r="Q52" s="69">
        <f t="shared" si="22"/>
        <v>2</v>
      </c>
      <c r="R52" s="70">
        <f t="shared" si="23"/>
        <v>0.40546510810816438</v>
      </c>
      <c r="S52" s="70">
        <f t="shared" si="24"/>
        <v>0.40546510810816438</v>
      </c>
      <c r="T52" s="70">
        <f t="shared" si="25"/>
        <v>0.37472688982746521</v>
      </c>
      <c r="U52" s="70">
        <f t="shared" si="26"/>
        <v>0.37472688982746521</v>
      </c>
      <c r="V52" s="70">
        <f t="shared" si="27"/>
        <v>0.91287092917527679</v>
      </c>
      <c r="W52" s="70">
        <f t="shared" si="28"/>
        <v>0.91287092917527679</v>
      </c>
      <c r="X52" s="70">
        <f t="shared" si="29"/>
        <v>0</v>
      </c>
      <c r="Y52" s="70">
        <f t="shared" si="30"/>
        <v>1.2909944487358056</v>
      </c>
      <c r="Z52" s="70">
        <f t="shared" si="31"/>
        <v>0</v>
      </c>
      <c r="AA52" s="69" t="str">
        <f t="shared" si="32"/>
        <v>Negligible</v>
      </c>
      <c r="AB52" s="69" t="str">
        <f t="shared" si="33"/>
        <v>Tidak Ada Indikasi Bias</v>
      </c>
    </row>
    <row r="53" spans="1:28" ht="62.5" customHeight="1" x14ac:dyDescent="0.35">
      <c r="A53" s="98" t="str">
        <f>'IMR (Soal Baru)'!A47</f>
        <v>43. Apa prinsip dasar perumusan kebijakan mutu?</v>
      </c>
      <c r="B53" s="69">
        <f>'IMR (Soal Baru)'!B47</f>
        <v>1</v>
      </c>
      <c r="C53" s="69">
        <f>'IMR (Soal Baru)'!C47</f>
        <v>0</v>
      </c>
      <c r="D53" s="69">
        <f>'IMR (Soal Baru)'!D47</f>
        <v>0</v>
      </c>
      <c r="E53" s="69">
        <f>'IMR (Soal Baru)'!E47</f>
        <v>1</v>
      </c>
      <c r="F53" s="69">
        <f>'IMR (Soal Baru)'!F47</f>
        <v>0</v>
      </c>
      <c r="G53" s="69">
        <f>'IMR (Soal Baru)'!G47</f>
        <v>1</v>
      </c>
      <c r="H53" s="69">
        <f>'IMR (Soal Baru)'!H47</f>
        <v>1</v>
      </c>
      <c r="I53" s="69">
        <f>'IMR (Soal Baru)'!I47</f>
        <v>0</v>
      </c>
      <c r="J53" s="69">
        <f>'IMR (Soal Baru)'!J47</f>
        <v>1</v>
      </c>
      <c r="K53" s="69">
        <f>'IMR (Soal Baru)'!K47</f>
        <v>1</v>
      </c>
      <c r="L53" s="69">
        <f t="shared" si="17"/>
        <v>5</v>
      </c>
      <c r="M53" s="69">
        <f t="shared" si="18"/>
        <v>5</v>
      </c>
      <c r="N53" s="69">
        <f t="shared" si="19"/>
        <v>3</v>
      </c>
      <c r="O53" s="69">
        <f t="shared" si="20"/>
        <v>3</v>
      </c>
      <c r="P53" s="69">
        <f t="shared" si="21"/>
        <v>3</v>
      </c>
      <c r="Q53" s="69">
        <f t="shared" si="22"/>
        <v>3</v>
      </c>
      <c r="R53" s="70">
        <f t="shared" si="23"/>
        <v>-0.40546510810816444</v>
      </c>
      <c r="S53" s="70">
        <f t="shared" si="24"/>
        <v>-0.40546510810816444</v>
      </c>
      <c r="T53" s="70">
        <f t="shared" si="25"/>
        <v>-0.43620332638886361</v>
      </c>
      <c r="U53" s="70">
        <f t="shared" si="26"/>
        <v>-0.43620332638886361</v>
      </c>
      <c r="V53" s="70">
        <f t="shared" si="27"/>
        <v>0.91287092917527679</v>
      </c>
      <c r="W53" s="70">
        <f t="shared" si="28"/>
        <v>0.91287092917527679</v>
      </c>
      <c r="X53" s="70">
        <f t="shared" si="29"/>
        <v>0</v>
      </c>
      <c r="Y53" s="70">
        <f t="shared" si="30"/>
        <v>1.2909944487358056</v>
      </c>
      <c r="Z53" s="70">
        <f t="shared" si="31"/>
        <v>0</v>
      </c>
      <c r="AA53" s="69" t="str">
        <f t="shared" si="32"/>
        <v>Negligible</v>
      </c>
      <c r="AB53" s="69" t="str">
        <f t="shared" si="33"/>
        <v>Tidak Ada Indikasi Bias</v>
      </c>
    </row>
    <row r="54" spans="1:28" ht="25" x14ac:dyDescent="0.35">
      <c r="A54" s="98" t="str">
        <f>'IMR (Soal Baru)'!A48</f>
        <v>44. Apa tujuan utama dari penerapan ISO 21001:2018 di institusi pendidikan?</v>
      </c>
      <c r="B54" s="69">
        <f>'IMR (Soal Baru)'!B48</f>
        <v>0</v>
      </c>
      <c r="C54" s="69">
        <f>'IMR (Soal Baru)'!C48</f>
        <v>0</v>
      </c>
      <c r="D54" s="69">
        <f>'IMR (Soal Baru)'!D48</f>
        <v>0</v>
      </c>
      <c r="E54" s="69">
        <f>'IMR (Soal Baru)'!E48</f>
        <v>1</v>
      </c>
      <c r="F54" s="69">
        <f>'IMR (Soal Baru)'!F48</f>
        <v>0</v>
      </c>
      <c r="G54" s="69">
        <f>'IMR (Soal Baru)'!G48</f>
        <v>1</v>
      </c>
      <c r="H54" s="69">
        <f>'IMR (Soal Baru)'!H48</f>
        <v>1</v>
      </c>
      <c r="I54" s="69">
        <f>'IMR (Soal Baru)'!I48</f>
        <v>1</v>
      </c>
      <c r="J54" s="69">
        <f>'IMR (Soal Baru)'!J48</f>
        <v>1</v>
      </c>
      <c r="K54" s="69">
        <f>'IMR (Soal Baru)'!K48</f>
        <v>1</v>
      </c>
      <c r="L54" s="69">
        <f t="shared" si="17"/>
        <v>5</v>
      </c>
      <c r="M54" s="69">
        <f t="shared" si="18"/>
        <v>5</v>
      </c>
      <c r="N54" s="69">
        <f t="shared" si="19"/>
        <v>3</v>
      </c>
      <c r="O54" s="69">
        <f t="shared" si="20"/>
        <v>3</v>
      </c>
      <c r="P54" s="69">
        <f t="shared" si="21"/>
        <v>3</v>
      </c>
      <c r="Q54" s="69">
        <f t="shared" si="22"/>
        <v>3</v>
      </c>
      <c r="R54" s="70">
        <f t="shared" si="23"/>
        <v>-0.40546510810816444</v>
      </c>
      <c r="S54" s="70">
        <f t="shared" si="24"/>
        <v>-0.40546510810816444</v>
      </c>
      <c r="T54" s="70">
        <f t="shared" si="25"/>
        <v>-0.43620332638886361</v>
      </c>
      <c r="U54" s="70">
        <f t="shared" si="26"/>
        <v>-0.43620332638886361</v>
      </c>
      <c r="V54" s="70">
        <f t="shared" si="27"/>
        <v>0.91287092917527679</v>
      </c>
      <c r="W54" s="70">
        <f t="shared" si="28"/>
        <v>0.91287092917527679</v>
      </c>
      <c r="X54" s="70">
        <f t="shared" si="29"/>
        <v>0</v>
      </c>
      <c r="Y54" s="70">
        <f t="shared" si="30"/>
        <v>1.2909944487358056</v>
      </c>
      <c r="Z54" s="70">
        <f t="shared" si="31"/>
        <v>0</v>
      </c>
      <c r="AA54" s="69" t="str">
        <f t="shared" si="32"/>
        <v>Negligible</v>
      </c>
      <c r="AB54" s="69" t="str">
        <f t="shared" si="33"/>
        <v>Tidak Ada Indikasi Bias</v>
      </c>
    </row>
    <row r="55" spans="1:28" ht="37.5" customHeight="1" x14ac:dyDescent="0.35">
      <c r="A55" s="98" t="str">
        <f>'IMR (Soal Baru)'!A49</f>
        <v>45. Langkah awal dalam implementasi SPMI Terintegrasi adalah:</v>
      </c>
      <c r="B55" s="69">
        <f>'IMR (Soal Baru)'!B49</f>
        <v>1</v>
      </c>
      <c r="C55" s="69">
        <f>'IMR (Soal Baru)'!C49</f>
        <v>1</v>
      </c>
      <c r="D55" s="69">
        <f>'IMR (Soal Baru)'!D49</f>
        <v>1</v>
      </c>
      <c r="E55" s="69">
        <f>'IMR (Soal Baru)'!E49</f>
        <v>1</v>
      </c>
      <c r="F55" s="69">
        <f>'IMR (Soal Baru)'!F49</f>
        <v>1</v>
      </c>
      <c r="G55" s="69">
        <f>'IMR (Soal Baru)'!G49</f>
        <v>1</v>
      </c>
      <c r="H55" s="69">
        <f>'IMR (Soal Baru)'!H49</f>
        <v>0</v>
      </c>
      <c r="I55" s="69">
        <f>'IMR (Soal Baru)'!I49</f>
        <v>1</v>
      </c>
      <c r="J55" s="69">
        <f>'IMR (Soal Baru)'!J49</f>
        <v>0</v>
      </c>
      <c r="K55" s="69">
        <f>'IMR (Soal Baru)'!K49</f>
        <v>1</v>
      </c>
      <c r="L55" s="69">
        <f t="shared" si="17"/>
        <v>5</v>
      </c>
      <c r="M55" s="69">
        <f t="shared" si="18"/>
        <v>5</v>
      </c>
      <c r="N55" s="69">
        <f t="shared" si="19"/>
        <v>4</v>
      </c>
      <c r="O55" s="69">
        <f t="shared" si="20"/>
        <v>4</v>
      </c>
      <c r="P55" s="69">
        <f t="shared" si="21"/>
        <v>4</v>
      </c>
      <c r="Q55" s="69">
        <f t="shared" si="22"/>
        <v>4</v>
      </c>
      <c r="R55" s="70">
        <f t="shared" si="23"/>
        <v>-1.3862943611198906</v>
      </c>
      <c r="S55" s="70">
        <f t="shared" si="24"/>
        <v>-1.3862943611198906</v>
      </c>
      <c r="T55" s="70">
        <f t="shared" si="25"/>
        <v>-1.4170325794005898</v>
      </c>
      <c r="U55" s="70">
        <f t="shared" si="26"/>
        <v>-1.4170325794005898</v>
      </c>
      <c r="V55" s="70">
        <f t="shared" si="27"/>
        <v>1.1180339887498949</v>
      </c>
      <c r="W55" s="70">
        <f t="shared" si="28"/>
        <v>1.1180339887498949</v>
      </c>
      <c r="X55" s="70">
        <f t="shared" si="29"/>
        <v>0</v>
      </c>
      <c r="Y55" s="70">
        <f t="shared" si="30"/>
        <v>1.5811388300841898</v>
      </c>
      <c r="Z55" s="70">
        <f t="shared" si="31"/>
        <v>0</v>
      </c>
      <c r="AA55" s="69" t="str">
        <f t="shared" si="32"/>
        <v>Negligible</v>
      </c>
      <c r="AB55" s="69" t="str">
        <f t="shared" si="33"/>
        <v>Tidak Ada Indikasi Bias</v>
      </c>
    </row>
    <row r="56" spans="1:28" ht="25" x14ac:dyDescent="0.35">
      <c r="A56" s="98" t="str">
        <f>'IMR (Soal Baru)'!A50</f>
        <v>46. Apa metode yang umum digunakan dalam identifikasi risiko di SPMI?</v>
      </c>
      <c r="B56" s="69">
        <f>'IMR (Soal Baru)'!B50</f>
        <v>1</v>
      </c>
      <c r="C56" s="69">
        <f>'IMR (Soal Baru)'!C50</f>
        <v>0</v>
      </c>
      <c r="D56" s="69">
        <f>'IMR (Soal Baru)'!D50</f>
        <v>0</v>
      </c>
      <c r="E56" s="69">
        <f>'IMR (Soal Baru)'!E50</f>
        <v>1</v>
      </c>
      <c r="F56" s="69">
        <f>'IMR (Soal Baru)'!F50</f>
        <v>0</v>
      </c>
      <c r="G56" s="69">
        <f>'IMR (Soal Baru)'!G50</f>
        <v>0</v>
      </c>
      <c r="H56" s="69">
        <f>'IMR (Soal Baru)'!H50</f>
        <v>0</v>
      </c>
      <c r="I56" s="69">
        <f>'IMR (Soal Baru)'!I50</f>
        <v>0</v>
      </c>
      <c r="J56" s="69">
        <f>'IMR (Soal Baru)'!J50</f>
        <v>0</v>
      </c>
      <c r="K56" s="69">
        <f>'IMR (Soal Baru)'!K50</f>
        <v>0</v>
      </c>
      <c r="L56" s="69">
        <f t="shared" si="17"/>
        <v>5</v>
      </c>
      <c r="M56" s="69">
        <f t="shared" si="18"/>
        <v>5</v>
      </c>
      <c r="N56" s="69">
        <f t="shared" si="19"/>
        <v>1</v>
      </c>
      <c r="O56" s="69">
        <f t="shared" si="20"/>
        <v>1</v>
      </c>
      <c r="P56" s="69">
        <f t="shared" si="21"/>
        <v>1</v>
      </c>
      <c r="Q56" s="69">
        <f t="shared" si="22"/>
        <v>1</v>
      </c>
      <c r="R56" s="70">
        <f t="shared" si="23"/>
        <v>1.3862943611198906</v>
      </c>
      <c r="S56" s="70">
        <f t="shared" si="24"/>
        <v>1.3862943611198906</v>
      </c>
      <c r="T56" s="70">
        <f t="shared" si="25"/>
        <v>1.3555561428391913</v>
      </c>
      <c r="U56" s="70">
        <f t="shared" si="26"/>
        <v>1.3555561428391913</v>
      </c>
      <c r="V56" s="70">
        <f t="shared" si="27"/>
        <v>1.1180339887498949</v>
      </c>
      <c r="W56" s="70">
        <f t="shared" si="28"/>
        <v>1.1180339887498949</v>
      </c>
      <c r="X56" s="70">
        <f t="shared" si="29"/>
        <v>0</v>
      </c>
      <c r="Y56" s="70">
        <f t="shared" si="30"/>
        <v>1.5811388300841898</v>
      </c>
      <c r="Z56" s="70">
        <f t="shared" si="31"/>
        <v>0</v>
      </c>
      <c r="AA56" s="69" t="str">
        <f t="shared" si="32"/>
        <v>Negligible</v>
      </c>
      <c r="AB56" s="69" t="str">
        <f t="shared" si="33"/>
        <v>Tidak Ada Indikasi Bias</v>
      </c>
    </row>
    <row r="57" spans="1:28" ht="50" customHeight="1" x14ac:dyDescent="0.35">
      <c r="A57" s="98" t="str">
        <f>'IMR (Soal Baru)'!A51</f>
        <v>47. Dokumen tertinggi dalam sistem manajemen mutu pendidikan adalah:</v>
      </c>
      <c r="B57" s="69">
        <f>'IMR (Soal Baru)'!B51</f>
        <v>1</v>
      </c>
      <c r="C57" s="69">
        <f>'IMR (Soal Baru)'!C51</f>
        <v>1</v>
      </c>
      <c r="D57" s="69">
        <f>'IMR (Soal Baru)'!D51</f>
        <v>1</v>
      </c>
      <c r="E57" s="69">
        <f>'IMR (Soal Baru)'!E51</f>
        <v>1</v>
      </c>
      <c r="F57" s="69">
        <f>'IMR (Soal Baru)'!F51</f>
        <v>1</v>
      </c>
      <c r="G57" s="69">
        <f>'IMR (Soal Baru)'!G51</f>
        <v>0</v>
      </c>
      <c r="H57" s="69">
        <f>'IMR (Soal Baru)'!H51</f>
        <v>0</v>
      </c>
      <c r="I57" s="69">
        <f>'IMR (Soal Baru)'!I51</f>
        <v>1</v>
      </c>
      <c r="J57" s="69">
        <f>'IMR (Soal Baru)'!J51</f>
        <v>0</v>
      </c>
      <c r="K57" s="69">
        <f>'IMR (Soal Baru)'!K51</f>
        <v>0</v>
      </c>
      <c r="L57" s="69">
        <f t="shared" si="17"/>
        <v>5</v>
      </c>
      <c r="M57" s="69">
        <f t="shared" si="18"/>
        <v>5</v>
      </c>
      <c r="N57" s="69">
        <f t="shared" si="19"/>
        <v>3</v>
      </c>
      <c r="O57" s="69">
        <f t="shared" si="20"/>
        <v>3</v>
      </c>
      <c r="P57" s="69">
        <f t="shared" si="21"/>
        <v>3</v>
      </c>
      <c r="Q57" s="69">
        <f t="shared" si="22"/>
        <v>3</v>
      </c>
      <c r="R57" s="70">
        <f t="shared" si="23"/>
        <v>-0.40546510810816444</v>
      </c>
      <c r="S57" s="70">
        <f t="shared" si="24"/>
        <v>-0.40546510810816444</v>
      </c>
      <c r="T57" s="70">
        <f t="shared" si="25"/>
        <v>-0.43620332638886361</v>
      </c>
      <c r="U57" s="70">
        <f t="shared" si="26"/>
        <v>-0.43620332638886361</v>
      </c>
      <c r="V57" s="70">
        <f t="shared" si="27"/>
        <v>0.91287092917527679</v>
      </c>
      <c r="W57" s="70">
        <f t="shared" si="28"/>
        <v>0.91287092917527679</v>
      </c>
      <c r="X57" s="70">
        <f t="shared" si="29"/>
        <v>0</v>
      </c>
      <c r="Y57" s="70">
        <f t="shared" si="30"/>
        <v>1.2909944487358056</v>
      </c>
      <c r="Z57" s="70">
        <f t="shared" si="31"/>
        <v>0</v>
      </c>
      <c r="AA57" s="69" t="str">
        <f t="shared" si="32"/>
        <v>Negligible</v>
      </c>
      <c r="AB57" s="69" t="str">
        <f t="shared" si="33"/>
        <v>Tidak Ada Indikasi Bias</v>
      </c>
    </row>
    <row r="58" spans="1:28" ht="50" customHeight="1" x14ac:dyDescent="0.35">
      <c r="A58" s="98" t="str">
        <f>'IMR (Soal Baru)'!A52</f>
        <v>48. Langkah 'Evaluasi' dalam siklus PPEPP bertujuan untuk:</v>
      </c>
      <c r="B58" s="69">
        <f>'IMR (Soal Baru)'!B52</f>
        <v>1</v>
      </c>
      <c r="C58" s="69">
        <f>'IMR (Soal Baru)'!C52</f>
        <v>0</v>
      </c>
      <c r="D58" s="69">
        <f>'IMR (Soal Baru)'!D52</f>
        <v>0</v>
      </c>
      <c r="E58" s="69">
        <f>'IMR (Soal Baru)'!E52</f>
        <v>1</v>
      </c>
      <c r="F58" s="69">
        <f>'IMR (Soal Baru)'!F52</f>
        <v>0</v>
      </c>
      <c r="G58" s="69">
        <f>'IMR (Soal Baru)'!G52</f>
        <v>0</v>
      </c>
      <c r="H58" s="69">
        <f>'IMR (Soal Baru)'!H52</f>
        <v>0</v>
      </c>
      <c r="I58" s="69">
        <f>'IMR (Soal Baru)'!I52</f>
        <v>0</v>
      </c>
      <c r="J58" s="69">
        <f>'IMR (Soal Baru)'!J52</f>
        <v>0</v>
      </c>
      <c r="K58" s="69">
        <f>'IMR (Soal Baru)'!K52</f>
        <v>0</v>
      </c>
      <c r="L58" s="69">
        <f t="shared" si="17"/>
        <v>5</v>
      </c>
      <c r="M58" s="69">
        <f t="shared" si="18"/>
        <v>5</v>
      </c>
      <c r="N58" s="69">
        <f t="shared" si="19"/>
        <v>1</v>
      </c>
      <c r="O58" s="69">
        <f t="shared" si="20"/>
        <v>1</v>
      </c>
      <c r="P58" s="69">
        <f t="shared" si="21"/>
        <v>1</v>
      </c>
      <c r="Q58" s="69">
        <f t="shared" si="22"/>
        <v>1</v>
      </c>
      <c r="R58" s="70">
        <f t="shared" si="23"/>
        <v>1.3862943611198906</v>
      </c>
      <c r="S58" s="70">
        <f t="shared" si="24"/>
        <v>1.3862943611198906</v>
      </c>
      <c r="T58" s="70">
        <f t="shared" si="25"/>
        <v>1.3555561428391913</v>
      </c>
      <c r="U58" s="70">
        <f t="shared" si="26"/>
        <v>1.3555561428391913</v>
      </c>
      <c r="V58" s="70">
        <f t="shared" si="27"/>
        <v>1.1180339887498949</v>
      </c>
      <c r="W58" s="70">
        <f t="shared" si="28"/>
        <v>1.1180339887498949</v>
      </c>
      <c r="X58" s="70">
        <f t="shared" si="29"/>
        <v>0</v>
      </c>
      <c r="Y58" s="70">
        <f t="shared" si="30"/>
        <v>1.5811388300841898</v>
      </c>
      <c r="Z58" s="70">
        <f t="shared" si="31"/>
        <v>0</v>
      </c>
      <c r="AA58" s="69" t="str">
        <f t="shared" si="32"/>
        <v>Negligible</v>
      </c>
      <c r="AB58" s="69" t="str">
        <f t="shared" si="33"/>
        <v>Tidak Ada Indikasi Bias</v>
      </c>
    </row>
    <row r="59" spans="1:28" ht="50" customHeight="1" x14ac:dyDescent="0.35">
      <c r="A59" s="98" t="str">
        <f>'IMR (Soal Baru)'!A53</f>
        <v>49. Siapa yang boleh menjadi auditor dalam audit internal SPMI?</v>
      </c>
      <c r="B59" s="69">
        <f>'IMR (Soal Baru)'!B53</f>
        <v>0</v>
      </c>
      <c r="C59" s="69">
        <f>'IMR (Soal Baru)'!C53</f>
        <v>1</v>
      </c>
      <c r="D59" s="69">
        <f>'IMR (Soal Baru)'!D53</f>
        <v>0</v>
      </c>
      <c r="E59" s="69">
        <f>'IMR (Soal Baru)'!E53</f>
        <v>1</v>
      </c>
      <c r="F59" s="69">
        <f>'IMR (Soal Baru)'!F53</f>
        <v>1</v>
      </c>
      <c r="G59" s="69">
        <f>'IMR (Soal Baru)'!G53</f>
        <v>1</v>
      </c>
      <c r="H59" s="69">
        <f>'IMR (Soal Baru)'!H53</f>
        <v>0</v>
      </c>
      <c r="I59" s="69">
        <f>'IMR (Soal Baru)'!I53</f>
        <v>0</v>
      </c>
      <c r="J59" s="69">
        <f>'IMR (Soal Baru)'!J53</f>
        <v>0</v>
      </c>
      <c r="K59" s="69">
        <f>'IMR (Soal Baru)'!K53</f>
        <v>0</v>
      </c>
      <c r="L59" s="69">
        <f t="shared" si="17"/>
        <v>5</v>
      </c>
      <c r="M59" s="69">
        <f t="shared" si="18"/>
        <v>5</v>
      </c>
      <c r="N59" s="69">
        <f t="shared" si="19"/>
        <v>2</v>
      </c>
      <c r="O59" s="69">
        <f t="shared" si="20"/>
        <v>2</v>
      </c>
      <c r="P59" s="69">
        <f t="shared" si="21"/>
        <v>2</v>
      </c>
      <c r="Q59" s="69">
        <f t="shared" si="22"/>
        <v>2</v>
      </c>
      <c r="R59" s="70">
        <f t="shared" si="23"/>
        <v>0.40546510810816438</v>
      </c>
      <c r="S59" s="70">
        <f t="shared" si="24"/>
        <v>0.40546510810816438</v>
      </c>
      <c r="T59" s="70">
        <f t="shared" si="25"/>
        <v>0.37472688982746521</v>
      </c>
      <c r="U59" s="70">
        <f t="shared" si="26"/>
        <v>0.37472688982746521</v>
      </c>
      <c r="V59" s="70">
        <f t="shared" si="27"/>
        <v>0.91287092917527679</v>
      </c>
      <c r="W59" s="70">
        <f t="shared" si="28"/>
        <v>0.91287092917527679</v>
      </c>
      <c r="X59" s="70">
        <f t="shared" si="29"/>
        <v>0</v>
      </c>
      <c r="Y59" s="70">
        <f t="shared" si="30"/>
        <v>1.2909944487358056</v>
      </c>
      <c r="Z59" s="70">
        <f t="shared" si="31"/>
        <v>0</v>
      </c>
      <c r="AA59" s="69" t="str">
        <f t="shared" si="32"/>
        <v>Negligible</v>
      </c>
      <c r="AB59" s="69" t="str">
        <f t="shared" si="33"/>
        <v>Tidak Ada Indikasi Bias</v>
      </c>
    </row>
    <row r="60" spans="1:28" ht="25" x14ac:dyDescent="0.35">
      <c r="A60" s="98" t="str">
        <f>'IMR (Soal Baru)'!A54</f>
        <v>50. Contoh tindakan dalam perbaikan berkelanjutan di SPMI adalah:</v>
      </c>
      <c r="B60" s="69">
        <f>'IMR (Soal Baru)'!B54</f>
        <v>1</v>
      </c>
      <c r="C60" s="69">
        <f>'IMR (Soal Baru)'!C54</f>
        <v>1</v>
      </c>
      <c r="D60" s="69">
        <f>'IMR (Soal Baru)'!D54</f>
        <v>1</v>
      </c>
      <c r="E60" s="69">
        <f>'IMR (Soal Baru)'!E54</f>
        <v>1</v>
      </c>
      <c r="F60" s="69">
        <f>'IMR (Soal Baru)'!F54</f>
        <v>1</v>
      </c>
      <c r="G60" s="69">
        <f>'IMR (Soal Baru)'!G54</f>
        <v>1</v>
      </c>
      <c r="H60" s="69">
        <f>'IMR (Soal Baru)'!H54</f>
        <v>0</v>
      </c>
      <c r="I60" s="69">
        <f>'IMR (Soal Baru)'!I54</f>
        <v>0</v>
      </c>
      <c r="J60" s="69">
        <f>'IMR (Soal Baru)'!J54</f>
        <v>0</v>
      </c>
      <c r="K60" s="69">
        <f>'IMR (Soal Baru)'!K54</f>
        <v>0</v>
      </c>
      <c r="L60" s="69">
        <f t="shared" si="17"/>
        <v>5</v>
      </c>
      <c r="M60" s="69">
        <f t="shared" si="18"/>
        <v>5</v>
      </c>
      <c r="N60" s="69">
        <f t="shared" si="19"/>
        <v>3</v>
      </c>
      <c r="O60" s="69">
        <f t="shared" si="20"/>
        <v>3</v>
      </c>
      <c r="P60" s="69">
        <f t="shared" si="21"/>
        <v>3</v>
      </c>
      <c r="Q60" s="69">
        <f t="shared" si="22"/>
        <v>3</v>
      </c>
      <c r="R60" s="70">
        <f t="shared" si="23"/>
        <v>-0.40546510810816444</v>
      </c>
      <c r="S60" s="70">
        <f t="shared" si="24"/>
        <v>-0.40546510810816444</v>
      </c>
      <c r="T60" s="70">
        <f t="shared" si="25"/>
        <v>-0.43620332638886361</v>
      </c>
      <c r="U60" s="70">
        <f t="shared" si="26"/>
        <v>-0.43620332638886361</v>
      </c>
      <c r="V60" s="70">
        <f t="shared" si="27"/>
        <v>0.91287092917527679</v>
      </c>
      <c r="W60" s="70">
        <f t="shared" si="28"/>
        <v>0.91287092917527679</v>
      </c>
      <c r="X60" s="70">
        <f t="shared" si="29"/>
        <v>0</v>
      </c>
      <c r="Y60" s="70">
        <f t="shared" si="30"/>
        <v>1.2909944487358056</v>
      </c>
      <c r="Z60" s="70">
        <f t="shared" si="31"/>
        <v>0</v>
      </c>
      <c r="AA60" s="69" t="str">
        <f t="shared" si="32"/>
        <v>Negligible</v>
      </c>
      <c r="AB60" s="69" t="str">
        <f t="shared" si="33"/>
        <v>Tidak Ada Indikasi Bias</v>
      </c>
    </row>
    <row r="61" spans="1:28" ht="25" x14ac:dyDescent="0.35">
      <c r="A61" s="98" t="str">
        <f>'IMR (Soal Baru)'!A55</f>
        <v>51. Salah satu peran pimpinan dalam ISO 21001 adalah:</v>
      </c>
      <c r="B61" s="69">
        <f>'IMR (Soal Baru)'!B55</f>
        <v>0</v>
      </c>
      <c r="C61" s="69">
        <f>'IMR (Soal Baru)'!C55</f>
        <v>0</v>
      </c>
      <c r="D61" s="69">
        <f>'IMR (Soal Baru)'!D55</f>
        <v>0</v>
      </c>
      <c r="E61" s="69">
        <f>'IMR (Soal Baru)'!E55</f>
        <v>0</v>
      </c>
      <c r="F61" s="69">
        <f>'IMR (Soal Baru)'!F55</f>
        <v>0</v>
      </c>
      <c r="G61" s="69">
        <f>'IMR (Soal Baru)'!G55</f>
        <v>1</v>
      </c>
      <c r="H61" s="69">
        <f>'IMR (Soal Baru)'!H55</f>
        <v>0</v>
      </c>
      <c r="I61" s="69">
        <f>'IMR (Soal Baru)'!I55</f>
        <v>0</v>
      </c>
      <c r="J61" s="69">
        <f>'IMR (Soal Baru)'!J55</f>
        <v>0</v>
      </c>
      <c r="K61" s="69">
        <f>'IMR (Soal Baru)'!K55</f>
        <v>1</v>
      </c>
      <c r="L61" s="69">
        <f t="shared" si="17"/>
        <v>5</v>
      </c>
      <c r="M61" s="69">
        <f t="shared" si="18"/>
        <v>5</v>
      </c>
      <c r="N61" s="69">
        <f t="shared" si="19"/>
        <v>1</v>
      </c>
      <c r="O61" s="69">
        <f t="shared" si="20"/>
        <v>1</v>
      </c>
      <c r="P61" s="69">
        <f t="shared" si="21"/>
        <v>1</v>
      </c>
      <c r="Q61" s="69">
        <f t="shared" si="22"/>
        <v>1</v>
      </c>
      <c r="R61" s="70">
        <f t="shared" si="23"/>
        <v>1.3862943611198906</v>
      </c>
      <c r="S61" s="70">
        <f t="shared" si="24"/>
        <v>1.3862943611198906</v>
      </c>
      <c r="T61" s="70">
        <f t="shared" si="25"/>
        <v>1.3555561428391913</v>
      </c>
      <c r="U61" s="70">
        <f t="shared" si="26"/>
        <v>1.3555561428391913</v>
      </c>
      <c r="V61" s="70">
        <f t="shared" si="27"/>
        <v>1.1180339887498949</v>
      </c>
      <c r="W61" s="70">
        <f t="shared" si="28"/>
        <v>1.1180339887498949</v>
      </c>
      <c r="X61" s="70">
        <f t="shared" si="29"/>
        <v>0</v>
      </c>
      <c r="Y61" s="70">
        <f t="shared" si="30"/>
        <v>1.5811388300841898</v>
      </c>
      <c r="Z61" s="70">
        <f t="shared" si="31"/>
        <v>0</v>
      </c>
      <c r="AA61" s="69" t="str">
        <f t="shared" si="32"/>
        <v>Negligible</v>
      </c>
      <c r="AB61" s="69" t="str">
        <f t="shared" si="33"/>
        <v>Tidak Ada Indikasi Bias</v>
      </c>
    </row>
    <row r="62" spans="1:28" ht="37.5" customHeight="1" x14ac:dyDescent="0.35">
      <c r="A62" s="98" t="str">
        <f>'IMR (Soal Baru)'!A56</f>
        <v>52. Mengapa penting melakukan evaluasi risiko secara berkala?</v>
      </c>
      <c r="B62" s="69">
        <f>'IMR (Soal Baru)'!B56</f>
        <v>0</v>
      </c>
      <c r="C62" s="69">
        <f>'IMR (Soal Baru)'!C56</f>
        <v>0</v>
      </c>
      <c r="D62" s="69">
        <f>'IMR (Soal Baru)'!D56</f>
        <v>0</v>
      </c>
      <c r="E62" s="69">
        <f>'IMR (Soal Baru)'!E56</f>
        <v>1</v>
      </c>
      <c r="F62" s="69">
        <f>'IMR (Soal Baru)'!F56</f>
        <v>0</v>
      </c>
      <c r="G62" s="69">
        <f>'IMR (Soal Baru)'!G56</f>
        <v>1</v>
      </c>
      <c r="H62" s="69">
        <f>'IMR (Soal Baru)'!H56</f>
        <v>1</v>
      </c>
      <c r="I62" s="69">
        <f>'IMR (Soal Baru)'!I56</f>
        <v>0</v>
      </c>
      <c r="J62" s="69">
        <f>'IMR (Soal Baru)'!J56</f>
        <v>1</v>
      </c>
      <c r="K62" s="69">
        <f>'IMR (Soal Baru)'!K56</f>
        <v>0</v>
      </c>
      <c r="L62" s="69">
        <f t="shared" si="17"/>
        <v>5</v>
      </c>
      <c r="M62" s="69">
        <f t="shared" si="18"/>
        <v>5</v>
      </c>
      <c r="N62" s="69">
        <f t="shared" si="19"/>
        <v>2</v>
      </c>
      <c r="O62" s="69">
        <f t="shared" si="20"/>
        <v>2</v>
      </c>
      <c r="P62" s="69">
        <f t="shared" si="21"/>
        <v>2</v>
      </c>
      <c r="Q62" s="69">
        <f t="shared" si="22"/>
        <v>2</v>
      </c>
      <c r="R62" s="70">
        <f t="shared" si="23"/>
        <v>0.40546510810816438</v>
      </c>
      <c r="S62" s="70">
        <f t="shared" si="24"/>
        <v>0.40546510810816438</v>
      </c>
      <c r="T62" s="70">
        <f t="shared" si="25"/>
        <v>0.37472688982746521</v>
      </c>
      <c r="U62" s="70">
        <f t="shared" si="26"/>
        <v>0.37472688982746521</v>
      </c>
      <c r="V62" s="70">
        <f t="shared" si="27"/>
        <v>0.91287092917527679</v>
      </c>
      <c r="W62" s="70">
        <f t="shared" si="28"/>
        <v>0.91287092917527679</v>
      </c>
      <c r="X62" s="70">
        <f t="shared" si="29"/>
        <v>0</v>
      </c>
      <c r="Y62" s="70">
        <f t="shared" si="30"/>
        <v>1.2909944487358056</v>
      </c>
      <c r="Z62" s="70">
        <f t="shared" si="31"/>
        <v>0</v>
      </c>
      <c r="AA62" s="69" t="str">
        <f t="shared" si="32"/>
        <v>Negligible</v>
      </c>
      <c r="AB62" s="69" t="str">
        <f t="shared" si="33"/>
        <v>Tidak Ada Indikasi Bias</v>
      </c>
    </row>
    <row r="63" spans="1:28" ht="25" x14ac:dyDescent="0.35">
      <c r="A63" s="98" t="str">
        <f>'IMR (Soal Baru)'!A57</f>
        <v>53. Elemen utama dari pendekatan berbasis risiko dalam SPMI adalah:</v>
      </c>
      <c r="B63" s="69">
        <f>'IMR (Soal Baru)'!B57</f>
        <v>0</v>
      </c>
      <c r="C63" s="69">
        <f>'IMR (Soal Baru)'!C57</f>
        <v>1</v>
      </c>
      <c r="D63" s="69">
        <f>'IMR (Soal Baru)'!D57</f>
        <v>0</v>
      </c>
      <c r="E63" s="69">
        <f>'IMR (Soal Baru)'!E57</f>
        <v>0</v>
      </c>
      <c r="F63" s="69">
        <f>'IMR (Soal Baru)'!F57</f>
        <v>0</v>
      </c>
      <c r="G63" s="69">
        <f>'IMR (Soal Baru)'!G57</f>
        <v>0</v>
      </c>
      <c r="H63" s="69">
        <f>'IMR (Soal Baru)'!H57</f>
        <v>1</v>
      </c>
      <c r="I63" s="69">
        <f>'IMR (Soal Baru)'!I57</f>
        <v>0</v>
      </c>
      <c r="J63" s="69">
        <f>'IMR (Soal Baru)'!J57</f>
        <v>1</v>
      </c>
      <c r="K63" s="69">
        <f>'IMR (Soal Baru)'!K57</f>
        <v>1</v>
      </c>
      <c r="L63" s="69">
        <f t="shared" si="17"/>
        <v>5</v>
      </c>
      <c r="M63" s="69">
        <f t="shared" si="18"/>
        <v>5</v>
      </c>
      <c r="N63" s="69">
        <f t="shared" si="19"/>
        <v>2</v>
      </c>
      <c r="O63" s="69">
        <f t="shared" si="20"/>
        <v>2</v>
      </c>
      <c r="P63" s="69">
        <f t="shared" si="21"/>
        <v>2</v>
      </c>
      <c r="Q63" s="69">
        <f t="shared" si="22"/>
        <v>2</v>
      </c>
      <c r="R63" s="70">
        <f t="shared" si="23"/>
        <v>0.40546510810816438</v>
      </c>
      <c r="S63" s="70">
        <f t="shared" si="24"/>
        <v>0.40546510810816438</v>
      </c>
      <c r="T63" s="70">
        <f t="shared" si="25"/>
        <v>0.37472688982746521</v>
      </c>
      <c r="U63" s="70">
        <f t="shared" si="26"/>
        <v>0.37472688982746521</v>
      </c>
      <c r="V63" s="70">
        <f t="shared" si="27"/>
        <v>0.91287092917527679</v>
      </c>
      <c r="W63" s="70">
        <f t="shared" si="28"/>
        <v>0.91287092917527679</v>
      </c>
      <c r="X63" s="70">
        <f t="shared" si="29"/>
        <v>0</v>
      </c>
      <c r="Y63" s="70">
        <f t="shared" si="30"/>
        <v>1.2909944487358056</v>
      </c>
      <c r="Z63" s="70">
        <f t="shared" si="31"/>
        <v>0</v>
      </c>
      <c r="AA63" s="69" t="str">
        <f t="shared" si="32"/>
        <v>Negligible</v>
      </c>
      <c r="AB63" s="69" t="str">
        <f t="shared" si="33"/>
        <v>Tidak Ada Indikasi Bias</v>
      </c>
    </row>
    <row r="64" spans="1:28" ht="37.5" customHeight="1" x14ac:dyDescent="0.35">
      <c r="A64" s="98" t="str">
        <f>'IMR (Soal Baru)'!A58</f>
        <v>54. Apa peran dari risk owner dalam SPMI berbasis risiko?</v>
      </c>
      <c r="B64" s="69">
        <f>'IMR (Soal Baru)'!B58</f>
        <v>0</v>
      </c>
      <c r="C64" s="69">
        <f>'IMR (Soal Baru)'!C58</f>
        <v>0</v>
      </c>
      <c r="D64" s="69">
        <f>'IMR (Soal Baru)'!D58</f>
        <v>0</v>
      </c>
      <c r="E64" s="69">
        <f>'IMR (Soal Baru)'!E58</f>
        <v>1</v>
      </c>
      <c r="F64" s="69">
        <f>'IMR (Soal Baru)'!F58</f>
        <v>0</v>
      </c>
      <c r="G64" s="69">
        <f>'IMR (Soal Baru)'!G58</f>
        <v>1</v>
      </c>
      <c r="H64" s="69">
        <f>'IMR (Soal Baru)'!H58</f>
        <v>1</v>
      </c>
      <c r="I64" s="69">
        <f>'IMR (Soal Baru)'!I58</f>
        <v>1</v>
      </c>
      <c r="J64" s="69">
        <f>'IMR (Soal Baru)'!J58</f>
        <v>1</v>
      </c>
      <c r="K64" s="69">
        <f>'IMR (Soal Baru)'!K58</f>
        <v>1</v>
      </c>
      <c r="L64" s="69">
        <f t="shared" si="17"/>
        <v>5</v>
      </c>
      <c r="M64" s="69">
        <f t="shared" si="18"/>
        <v>5</v>
      </c>
      <c r="N64" s="69">
        <f t="shared" si="19"/>
        <v>3</v>
      </c>
      <c r="O64" s="69">
        <f t="shared" si="20"/>
        <v>3</v>
      </c>
      <c r="P64" s="69">
        <f t="shared" si="21"/>
        <v>3</v>
      </c>
      <c r="Q64" s="69">
        <f t="shared" si="22"/>
        <v>3</v>
      </c>
      <c r="R64" s="70">
        <f t="shared" si="23"/>
        <v>-0.40546510810816444</v>
      </c>
      <c r="S64" s="70">
        <f t="shared" si="24"/>
        <v>-0.40546510810816444</v>
      </c>
      <c r="T64" s="70">
        <f t="shared" si="25"/>
        <v>-0.43620332638886361</v>
      </c>
      <c r="U64" s="70">
        <f t="shared" si="26"/>
        <v>-0.43620332638886361</v>
      </c>
      <c r="V64" s="70">
        <f t="shared" si="27"/>
        <v>0.91287092917527679</v>
      </c>
      <c r="W64" s="70">
        <f t="shared" si="28"/>
        <v>0.91287092917527679</v>
      </c>
      <c r="X64" s="70">
        <f t="shared" si="29"/>
        <v>0</v>
      </c>
      <c r="Y64" s="70">
        <f t="shared" si="30"/>
        <v>1.2909944487358056</v>
      </c>
      <c r="Z64" s="70">
        <f t="shared" si="31"/>
        <v>0</v>
      </c>
      <c r="AA64" s="69" t="str">
        <f t="shared" si="32"/>
        <v>Negligible</v>
      </c>
      <c r="AB64" s="69" t="str">
        <f t="shared" si="33"/>
        <v>Tidak Ada Indikasi Bias</v>
      </c>
    </row>
    <row r="65" spans="1:28" ht="37.5" customHeight="1" x14ac:dyDescent="0.35">
      <c r="A65" s="98" t="str">
        <f>'IMR (Soal Baru)'!A59</f>
        <v>55. Risiko akademik yang timbul akibat kurikulum tidak relevan dengan kebutuhan industri disebut:</v>
      </c>
      <c r="B65" s="69">
        <f>'IMR (Soal Baru)'!B59</f>
        <v>0</v>
      </c>
      <c r="C65" s="69">
        <f>'IMR (Soal Baru)'!C59</f>
        <v>1</v>
      </c>
      <c r="D65" s="69">
        <f>'IMR (Soal Baru)'!D59</f>
        <v>1</v>
      </c>
      <c r="E65" s="69">
        <f>'IMR (Soal Baru)'!E59</f>
        <v>0</v>
      </c>
      <c r="F65" s="69">
        <f>'IMR (Soal Baru)'!F59</f>
        <v>0</v>
      </c>
      <c r="G65" s="69">
        <f>'IMR (Soal Baru)'!G59</f>
        <v>1</v>
      </c>
      <c r="H65" s="69">
        <f>'IMR (Soal Baru)'!H59</f>
        <v>0</v>
      </c>
      <c r="I65" s="69">
        <f>'IMR (Soal Baru)'!I59</f>
        <v>1</v>
      </c>
      <c r="J65" s="69">
        <f>'IMR (Soal Baru)'!J59</f>
        <v>1</v>
      </c>
      <c r="K65" s="69">
        <f>'IMR (Soal Baru)'!K59</f>
        <v>1</v>
      </c>
      <c r="L65" s="69">
        <f t="shared" si="17"/>
        <v>5</v>
      </c>
      <c r="M65" s="69">
        <f t="shared" si="18"/>
        <v>5</v>
      </c>
      <c r="N65" s="69">
        <f t="shared" si="19"/>
        <v>3</v>
      </c>
      <c r="O65" s="69">
        <f t="shared" si="20"/>
        <v>3</v>
      </c>
      <c r="P65" s="69">
        <f t="shared" si="21"/>
        <v>3</v>
      </c>
      <c r="Q65" s="69">
        <f t="shared" si="22"/>
        <v>3</v>
      </c>
      <c r="R65" s="70">
        <f t="shared" si="23"/>
        <v>-0.40546510810816444</v>
      </c>
      <c r="S65" s="70">
        <f t="shared" si="24"/>
        <v>-0.40546510810816444</v>
      </c>
      <c r="T65" s="70">
        <f t="shared" si="25"/>
        <v>-0.43620332638886361</v>
      </c>
      <c r="U65" s="70">
        <f t="shared" si="26"/>
        <v>-0.43620332638886361</v>
      </c>
      <c r="V65" s="70">
        <f t="shared" si="27"/>
        <v>0.91287092917527679</v>
      </c>
      <c r="W65" s="70">
        <f t="shared" si="28"/>
        <v>0.91287092917527679</v>
      </c>
      <c r="X65" s="70">
        <f t="shared" si="29"/>
        <v>0</v>
      </c>
      <c r="Y65" s="70">
        <f t="shared" si="30"/>
        <v>1.2909944487358056</v>
      </c>
      <c r="Z65" s="70">
        <f t="shared" si="31"/>
        <v>0</v>
      </c>
      <c r="AA65" s="69" t="str">
        <f t="shared" si="32"/>
        <v>Negligible</v>
      </c>
      <c r="AB65" s="69" t="str">
        <f t="shared" si="33"/>
        <v>Tidak Ada Indikasi Bias</v>
      </c>
    </row>
    <row r="66" spans="1:28" ht="37.5" customHeight="1" x14ac:dyDescent="0.35">
      <c r="A66" s="98" t="str">
        <f>'IMR (Soal Baru)'!A60</f>
        <v>56. Apa tujuan penggunaan SWOT Analysis dalam konteks penyusunan kebijakan mutu SPMI?</v>
      </c>
      <c r="B66" s="69">
        <f>'IMR (Soal Baru)'!B60</f>
        <v>0</v>
      </c>
      <c r="C66" s="69">
        <f>'IMR (Soal Baru)'!C60</f>
        <v>0</v>
      </c>
      <c r="D66" s="69">
        <f>'IMR (Soal Baru)'!D60</f>
        <v>0</v>
      </c>
      <c r="E66" s="69">
        <f>'IMR (Soal Baru)'!E60</f>
        <v>0</v>
      </c>
      <c r="F66" s="69">
        <f>'IMR (Soal Baru)'!F60</f>
        <v>0</v>
      </c>
      <c r="G66" s="69">
        <f>'IMR (Soal Baru)'!G60</f>
        <v>1</v>
      </c>
      <c r="H66" s="69">
        <f>'IMR (Soal Baru)'!H60</f>
        <v>0</v>
      </c>
      <c r="I66" s="69">
        <f>'IMR (Soal Baru)'!I60</f>
        <v>0</v>
      </c>
      <c r="J66" s="69">
        <f>'IMR (Soal Baru)'!J60</f>
        <v>0</v>
      </c>
      <c r="K66" s="69">
        <f>'IMR (Soal Baru)'!K60</f>
        <v>1</v>
      </c>
      <c r="L66" s="69">
        <f t="shared" si="17"/>
        <v>5</v>
      </c>
      <c r="M66" s="69">
        <f t="shared" si="18"/>
        <v>5</v>
      </c>
      <c r="N66" s="69">
        <f t="shared" si="19"/>
        <v>1</v>
      </c>
      <c r="O66" s="69">
        <f t="shared" si="20"/>
        <v>1</v>
      </c>
      <c r="P66" s="69">
        <f t="shared" si="21"/>
        <v>1</v>
      </c>
      <c r="Q66" s="69">
        <f t="shared" si="22"/>
        <v>1</v>
      </c>
      <c r="R66" s="70">
        <f t="shared" si="23"/>
        <v>1.3862943611198906</v>
      </c>
      <c r="S66" s="70">
        <f t="shared" si="24"/>
        <v>1.3862943611198906</v>
      </c>
      <c r="T66" s="70">
        <f t="shared" si="25"/>
        <v>1.3555561428391913</v>
      </c>
      <c r="U66" s="70">
        <f t="shared" si="26"/>
        <v>1.3555561428391913</v>
      </c>
      <c r="V66" s="70">
        <f t="shared" si="27"/>
        <v>1.1180339887498949</v>
      </c>
      <c r="W66" s="70">
        <f t="shared" si="28"/>
        <v>1.1180339887498949</v>
      </c>
      <c r="X66" s="70">
        <f t="shared" si="29"/>
        <v>0</v>
      </c>
      <c r="Y66" s="70">
        <f t="shared" si="30"/>
        <v>1.5811388300841898</v>
      </c>
      <c r="Z66" s="70">
        <f t="shared" si="31"/>
        <v>0</v>
      </c>
      <c r="AA66" s="69" t="str">
        <f t="shared" si="32"/>
        <v>Negligible</v>
      </c>
      <c r="AB66" s="69" t="str">
        <f t="shared" si="33"/>
        <v>Tidak Ada Indikasi Bias</v>
      </c>
    </row>
    <row r="67" spans="1:28" ht="37.5" customHeight="1" x14ac:dyDescent="0.35">
      <c r="A67" s="98" t="str">
        <f>'IMR (Soal Baru)'!A61</f>
        <v>57. Perbedaan utama antara risiko dan isu dalam SPMI adalah:</v>
      </c>
      <c r="B67" s="69">
        <f>'IMR (Soal Baru)'!B61</f>
        <v>0</v>
      </c>
      <c r="C67" s="69">
        <f>'IMR (Soal Baru)'!C61</f>
        <v>1</v>
      </c>
      <c r="D67" s="69">
        <f>'IMR (Soal Baru)'!D61</f>
        <v>0</v>
      </c>
      <c r="E67" s="69">
        <f>'IMR (Soal Baru)'!E61</f>
        <v>0</v>
      </c>
      <c r="F67" s="69">
        <f>'IMR (Soal Baru)'!F61</f>
        <v>1</v>
      </c>
      <c r="G67" s="69">
        <f>'IMR (Soal Baru)'!G61</f>
        <v>0</v>
      </c>
      <c r="H67" s="69">
        <f>'IMR (Soal Baru)'!H61</f>
        <v>0</v>
      </c>
      <c r="I67" s="69">
        <f>'IMR (Soal Baru)'!I61</f>
        <v>0</v>
      </c>
      <c r="J67" s="69">
        <f>'IMR (Soal Baru)'!J61</f>
        <v>0</v>
      </c>
      <c r="K67" s="69">
        <f>'IMR (Soal Baru)'!K61</f>
        <v>0</v>
      </c>
      <c r="L67" s="69">
        <f t="shared" si="17"/>
        <v>5</v>
      </c>
      <c r="M67" s="69">
        <f t="shared" si="18"/>
        <v>5</v>
      </c>
      <c r="N67" s="69">
        <f t="shared" si="19"/>
        <v>1</v>
      </c>
      <c r="O67" s="69">
        <f t="shared" si="20"/>
        <v>1</v>
      </c>
      <c r="P67" s="69">
        <f t="shared" si="21"/>
        <v>1</v>
      </c>
      <c r="Q67" s="69">
        <f t="shared" si="22"/>
        <v>1</v>
      </c>
      <c r="R67" s="70">
        <f t="shared" si="23"/>
        <v>1.3862943611198906</v>
      </c>
      <c r="S67" s="70">
        <f t="shared" si="24"/>
        <v>1.3862943611198906</v>
      </c>
      <c r="T67" s="70">
        <f t="shared" si="25"/>
        <v>1.3555561428391913</v>
      </c>
      <c r="U67" s="70">
        <f t="shared" si="26"/>
        <v>1.3555561428391913</v>
      </c>
      <c r="V67" s="70">
        <f t="shared" si="27"/>
        <v>1.1180339887498949</v>
      </c>
      <c r="W67" s="70">
        <f t="shared" si="28"/>
        <v>1.1180339887498949</v>
      </c>
      <c r="X67" s="70">
        <f t="shared" si="29"/>
        <v>0</v>
      </c>
      <c r="Y67" s="70">
        <f t="shared" si="30"/>
        <v>1.5811388300841898</v>
      </c>
      <c r="Z67" s="70">
        <f t="shared" si="31"/>
        <v>0</v>
      </c>
      <c r="AA67" s="69" t="str">
        <f t="shared" si="32"/>
        <v>Negligible</v>
      </c>
      <c r="AB67" s="69" t="str">
        <f t="shared" si="33"/>
        <v>Tidak Ada Indikasi Bias</v>
      </c>
    </row>
    <row r="68" spans="1:28" ht="25" x14ac:dyDescent="0.35">
      <c r="A68" s="98" t="str">
        <f>'IMR (Soal Baru)'!A62</f>
        <v>58. Fungsi utama dari performance indicator dalam ISO 21001 adalah:</v>
      </c>
      <c r="B68" s="69">
        <f>'IMR (Soal Baru)'!B62</f>
        <v>0</v>
      </c>
      <c r="C68" s="69">
        <f>'IMR (Soal Baru)'!C62</f>
        <v>0</v>
      </c>
      <c r="D68" s="69">
        <f>'IMR (Soal Baru)'!D62</f>
        <v>1</v>
      </c>
      <c r="E68" s="69">
        <f>'IMR (Soal Baru)'!E62</f>
        <v>0</v>
      </c>
      <c r="F68" s="69">
        <f>'IMR (Soal Baru)'!F62</f>
        <v>0</v>
      </c>
      <c r="G68" s="69">
        <f>'IMR (Soal Baru)'!G62</f>
        <v>1</v>
      </c>
      <c r="H68" s="69">
        <f>'IMR (Soal Baru)'!H62</f>
        <v>1</v>
      </c>
      <c r="I68" s="69">
        <f>'IMR (Soal Baru)'!I62</f>
        <v>1</v>
      </c>
      <c r="J68" s="69">
        <f>'IMR (Soal Baru)'!J62</f>
        <v>1</v>
      </c>
      <c r="K68" s="69">
        <f>'IMR (Soal Baru)'!K62</f>
        <v>1</v>
      </c>
      <c r="L68" s="69">
        <f t="shared" si="17"/>
        <v>5</v>
      </c>
      <c r="M68" s="69">
        <f t="shared" si="18"/>
        <v>5</v>
      </c>
      <c r="N68" s="69">
        <f t="shared" si="19"/>
        <v>3</v>
      </c>
      <c r="O68" s="69">
        <f t="shared" si="20"/>
        <v>3</v>
      </c>
      <c r="P68" s="69">
        <f t="shared" si="21"/>
        <v>3</v>
      </c>
      <c r="Q68" s="69">
        <f t="shared" si="22"/>
        <v>3</v>
      </c>
      <c r="R68" s="70">
        <f t="shared" si="23"/>
        <v>-0.40546510810816444</v>
      </c>
      <c r="S68" s="70">
        <f t="shared" si="24"/>
        <v>-0.40546510810816444</v>
      </c>
      <c r="T68" s="70">
        <f t="shared" si="25"/>
        <v>-0.43620332638886361</v>
      </c>
      <c r="U68" s="70">
        <f t="shared" si="26"/>
        <v>-0.43620332638886361</v>
      </c>
      <c r="V68" s="70">
        <f t="shared" si="27"/>
        <v>0.91287092917527679</v>
      </c>
      <c r="W68" s="70">
        <f t="shared" si="28"/>
        <v>0.91287092917527679</v>
      </c>
      <c r="X68" s="70">
        <f t="shared" si="29"/>
        <v>0</v>
      </c>
      <c r="Y68" s="70">
        <f t="shared" si="30"/>
        <v>1.2909944487358056</v>
      </c>
      <c r="Z68" s="70">
        <f t="shared" si="31"/>
        <v>0</v>
      </c>
      <c r="AA68" s="69" t="str">
        <f t="shared" si="32"/>
        <v>Negligible</v>
      </c>
      <c r="AB68" s="69" t="str">
        <f t="shared" si="33"/>
        <v>Tidak Ada Indikasi Bias</v>
      </c>
    </row>
    <row r="69" spans="1:28" ht="50" x14ac:dyDescent="0.35">
      <c r="A69" s="98" t="str">
        <f>'IMR (Soal Baru)'!A63</f>
        <v>59. Penerapan pendekatan proses pada SMOP memungkinkan organisasi untuk memperoleh keuntunngan berikut, kecuali …</v>
      </c>
      <c r="B69" s="69">
        <f>'IMR (Soal Baru)'!B63</f>
        <v>1</v>
      </c>
      <c r="C69" s="69">
        <f>'IMR (Soal Baru)'!C63</f>
        <v>0</v>
      </c>
      <c r="D69" s="69">
        <f>'IMR (Soal Baru)'!D63</f>
        <v>1</v>
      </c>
      <c r="E69" s="69">
        <f>'IMR (Soal Baru)'!E63</f>
        <v>0</v>
      </c>
      <c r="F69" s="69">
        <f>'IMR (Soal Baru)'!F63</f>
        <v>0</v>
      </c>
      <c r="G69" s="69">
        <f>'IMR (Soal Baru)'!G63</f>
        <v>1</v>
      </c>
      <c r="H69" s="69">
        <f>'IMR (Soal Baru)'!H63</f>
        <v>1</v>
      </c>
      <c r="I69" s="69">
        <f>'IMR (Soal Baru)'!I63</f>
        <v>0</v>
      </c>
      <c r="J69" s="69">
        <f>'IMR (Soal Baru)'!J63</f>
        <v>1</v>
      </c>
      <c r="K69" s="69">
        <f>'IMR (Soal Baru)'!K63</f>
        <v>1</v>
      </c>
      <c r="L69" s="69">
        <f t="shared" si="17"/>
        <v>5</v>
      </c>
      <c r="M69" s="69">
        <f t="shared" si="18"/>
        <v>5</v>
      </c>
      <c r="N69" s="69">
        <f t="shared" si="19"/>
        <v>3</v>
      </c>
      <c r="O69" s="69">
        <f t="shared" si="20"/>
        <v>3</v>
      </c>
      <c r="P69" s="69">
        <f t="shared" si="21"/>
        <v>3</v>
      </c>
      <c r="Q69" s="69">
        <f t="shared" si="22"/>
        <v>3</v>
      </c>
      <c r="R69" s="70">
        <f t="shared" si="23"/>
        <v>-0.40546510810816444</v>
      </c>
      <c r="S69" s="70">
        <f t="shared" si="24"/>
        <v>-0.40546510810816444</v>
      </c>
      <c r="T69" s="70">
        <f t="shared" si="25"/>
        <v>-0.43620332638886361</v>
      </c>
      <c r="U69" s="70">
        <f t="shared" si="26"/>
        <v>-0.43620332638886361</v>
      </c>
      <c r="V69" s="70">
        <f t="shared" si="27"/>
        <v>0.91287092917527679</v>
      </c>
      <c r="W69" s="70">
        <f t="shared" si="28"/>
        <v>0.91287092917527679</v>
      </c>
      <c r="X69" s="70">
        <f t="shared" si="29"/>
        <v>0</v>
      </c>
      <c r="Y69" s="70">
        <f t="shared" si="30"/>
        <v>1.2909944487358056</v>
      </c>
      <c r="Z69" s="70">
        <f t="shared" si="31"/>
        <v>0</v>
      </c>
      <c r="AA69" s="69" t="str">
        <f t="shared" si="32"/>
        <v>Negligible</v>
      </c>
      <c r="AB69" s="69" t="str">
        <f t="shared" si="33"/>
        <v>Tidak Ada Indikasi Bias</v>
      </c>
    </row>
    <row r="70" spans="1:28" ht="37.5" x14ac:dyDescent="0.35">
      <c r="A70" s="98" t="str">
        <f>'IMR (Soal Baru)'!A64</f>
        <v>60. Bermanfaat untuk meningkatkan proses pengambilan keputusan adalah prinsip SMOP yaitu</v>
      </c>
      <c r="B70" s="69">
        <f>'IMR (Soal Baru)'!B64</f>
        <v>1</v>
      </c>
      <c r="C70" s="69">
        <f>'IMR (Soal Baru)'!C64</f>
        <v>0</v>
      </c>
      <c r="D70" s="69">
        <f>'IMR (Soal Baru)'!D64</f>
        <v>1</v>
      </c>
      <c r="E70" s="69">
        <f>'IMR (Soal Baru)'!E64</f>
        <v>0</v>
      </c>
      <c r="F70" s="69">
        <f>'IMR (Soal Baru)'!F64</f>
        <v>1</v>
      </c>
      <c r="G70" s="69">
        <f>'IMR (Soal Baru)'!G64</f>
        <v>1</v>
      </c>
      <c r="H70" s="69">
        <f>'IMR (Soal Baru)'!H64</f>
        <v>1</v>
      </c>
      <c r="I70" s="69">
        <f>'IMR (Soal Baru)'!I64</f>
        <v>1</v>
      </c>
      <c r="J70" s="69">
        <f>'IMR (Soal Baru)'!J64</f>
        <v>1</v>
      </c>
      <c r="K70" s="69">
        <f>'IMR (Soal Baru)'!K64</f>
        <v>1</v>
      </c>
      <c r="L70" s="69">
        <f t="shared" si="17"/>
        <v>5</v>
      </c>
      <c r="M70" s="69">
        <f t="shared" si="18"/>
        <v>5</v>
      </c>
      <c r="N70" s="69">
        <f t="shared" si="19"/>
        <v>4</v>
      </c>
      <c r="O70" s="69">
        <f t="shared" si="20"/>
        <v>4</v>
      </c>
      <c r="P70" s="69">
        <f t="shared" si="21"/>
        <v>4</v>
      </c>
      <c r="Q70" s="69">
        <f t="shared" si="22"/>
        <v>4</v>
      </c>
      <c r="R70" s="70">
        <f t="shared" si="23"/>
        <v>-1.3862943611198906</v>
      </c>
      <c r="S70" s="70">
        <f t="shared" si="24"/>
        <v>-1.3862943611198906</v>
      </c>
      <c r="T70" s="70">
        <f t="shared" si="25"/>
        <v>-1.4170325794005898</v>
      </c>
      <c r="U70" s="70">
        <f t="shared" si="26"/>
        <v>-1.4170325794005898</v>
      </c>
      <c r="V70" s="70">
        <f t="shared" si="27"/>
        <v>1.1180339887498949</v>
      </c>
      <c r="W70" s="70">
        <f t="shared" si="28"/>
        <v>1.1180339887498949</v>
      </c>
      <c r="X70" s="70">
        <f t="shared" si="29"/>
        <v>0</v>
      </c>
      <c r="Y70" s="70">
        <f t="shared" si="30"/>
        <v>1.5811388300841898</v>
      </c>
      <c r="Z70" s="70">
        <f t="shared" si="31"/>
        <v>0</v>
      </c>
      <c r="AA70" s="69" t="str">
        <f t="shared" si="32"/>
        <v>Negligible</v>
      </c>
      <c r="AB70" s="69" t="str">
        <f t="shared" si="33"/>
        <v>Tidak Ada Indikasi Bias</v>
      </c>
    </row>
    <row r="71" spans="1:28" ht="37.5" x14ac:dyDescent="0.35">
      <c r="A71" s="98" t="str">
        <f>'IMR (Soal Baru)'!A65</f>
        <v>61. Yang dimaksud dengan peserta didik berkebutuhan khusus dalam ISO 21001:2018 adalah …</v>
      </c>
      <c r="B71" s="69">
        <f>'IMR (Soal Baru)'!B65</f>
        <v>0</v>
      </c>
      <c r="C71" s="69">
        <f>'IMR (Soal Baru)'!C65</f>
        <v>0</v>
      </c>
      <c r="D71" s="69">
        <f>'IMR (Soal Baru)'!D65</f>
        <v>0</v>
      </c>
      <c r="E71" s="69">
        <f>'IMR (Soal Baru)'!E65</f>
        <v>1</v>
      </c>
      <c r="F71" s="69">
        <f>'IMR (Soal Baru)'!F65</f>
        <v>0</v>
      </c>
      <c r="G71" s="69">
        <f>'IMR (Soal Baru)'!G65</f>
        <v>1</v>
      </c>
      <c r="H71" s="69">
        <f>'IMR (Soal Baru)'!H65</f>
        <v>1</v>
      </c>
      <c r="I71" s="69">
        <f>'IMR (Soal Baru)'!I65</f>
        <v>1</v>
      </c>
      <c r="J71" s="69">
        <f>'IMR (Soal Baru)'!J65</f>
        <v>1</v>
      </c>
      <c r="K71" s="69">
        <f>'IMR (Soal Baru)'!K65</f>
        <v>1</v>
      </c>
      <c r="L71" s="69">
        <f t="shared" si="17"/>
        <v>5</v>
      </c>
      <c r="M71" s="69">
        <f t="shared" si="18"/>
        <v>5</v>
      </c>
      <c r="N71" s="69">
        <f t="shared" si="19"/>
        <v>3</v>
      </c>
      <c r="O71" s="69">
        <f t="shared" si="20"/>
        <v>3</v>
      </c>
      <c r="P71" s="69">
        <f t="shared" si="21"/>
        <v>3</v>
      </c>
      <c r="Q71" s="69">
        <f t="shared" si="22"/>
        <v>3</v>
      </c>
      <c r="R71" s="70">
        <f t="shared" si="23"/>
        <v>-0.40546510810816444</v>
      </c>
      <c r="S71" s="70">
        <f t="shared" si="24"/>
        <v>-0.40546510810816444</v>
      </c>
      <c r="T71" s="70">
        <f t="shared" si="25"/>
        <v>-0.43620332638886361</v>
      </c>
      <c r="U71" s="70">
        <f t="shared" si="26"/>
        <v>-0.43620332638886361</v>
      </c>
      <c r="V71" s="70">
        <f t="shared" si="27"/>
        <v>0.91287092917527679</v>
      </c>
      <c r="W71" s="70">
        <f t="shared" si="28"/>
        <v>0.91287092917527679</v>
      </c>
      <c r="X71" s="70">
        <f t="shared" si="29"/>
        <v>0</v>
      </c>
      <c r="Y71" s="70">
        <f t="shared" si="30"/>
        <v>1.2909944487358056</v>
      </c>
      <c r="Z71" s="70">
        <f t="shared" si="31"/>
        <v>0</v>
      </c>
      <c r="AA71" s="69" t="str">
        <f t="shared" si="32"/>
        <v>Negligible</v>
      </c>
      <c r="AB71" s="69" t="str">
        <f t="shared" si="33"/>
        <v>Tidak Ada Indikasi Bias</v>
      </c>
    </row>
    <row r="72" spans="1:28" ht="50" x14ac:dyDescent="0.35">
      <c r="A72" s="98" t="str">
        <f>'IMR (Soal Baru)'!A66</f>
        <v>62. Dokumen yang berisi uraian garis besar tentang bagaimana perguruan tinggi memahami, merancang, dan mengimplementasikan SPMI adalah …</v>
      </c>
      <c r="B72" s="69">
        <f>'IMR (Soal Baru)'!B66</f>
        <v>1</v>
      </c>
      <c r="C72" s="69">
        <f>'IMR (Soal Baru)'!C66</f>
        <v>1</v>
      </c>
      <c r="D72" s="69">
        <f>'IMR (Soal Baru)'!D66</f>
        <v>1</v>
      </c>
      <c r="E72" s="69">
        <f>'IMR (Soal Baru)'!E66</f>
        <v>1</v>
      </c>
      <c r="F72" s="69">
        <f>'IMR (Soal Baru)'!F66</f>
        <v>1</v>
      </c>
      <c r="G72" s="69">
        <f>'IMR (Soal Baru)'!G66</f>
        <v>0</v>
      </c>
      <c r="H72" s="69">
        <f>'IMR (Soal Baru)'!H66</f>
        <v>1</v>
      </c>
      <c r="I72" s="69">
        <f>'IMR (Soal Baru)'!I66</f>
        <v>1</v>
      </c>
      <c r="J72" s="69">
        <f>'IMR (Soal Baru)'!J66</f>
        <v>1</v>
      </c>
      <c r="K72" s="69">
        <f>'IMR (Soal Baru)'!K66</f>
        <v>0</v>
      </c>
      <c r="L72" s="69">
        <f t="shared" si="17"/>
        <v>5</v>
      </c>
      <c r="M72" s="69">
        <f t="shared" si="18"/>
        <v>5</v>
      </c>
      <c r="N72" s="69">
        <f t="shared" si="19"/>
        <v>4</v>
      </c>
      <c r="O72" s="69">
        <f t="shared" si="20"/>
        <v>4</v>
      </c>
      <c r="P72" s="69">
        <f t="shared" si="21"/>
        <v>4</v>
      </c>
      <c r="Q72" s="69">
        <f t="shared" si="22"/>
        <v>4</v>
      </c>
      <c r="R72" s="70">
        <f t="shared" si="23"/>
        <v>-1.3862943611198906</v>
      </c>
      <c r="S72" s="70">
        <f t="shared" si="24"/>
        <v>-1.3862943611198906</v>
      </c>
      <c r="T72" s="70">
        <f t="shared" si="25"/>
        <v>-1.4170325794005898</v>
      </c>
      <c r="U72" s="70">
        <f t="shared" si="26"/>
        <v>-1.4170325794005898</v>
      </c>
      <c r="V72" s="70">
        <f t="shared" si="27"/>
        <v>1.1180339887498949</v>
      </c>
      <c r="W72" s="70">
        <f t="shared" si="28"/>
        <v>1.1180339887498949</v>
      </c>
      <c r="X72" s="70">
        <f t="shared" si="29"/>
        <v>0</v>
      </c>
      <c r="Y72" s="70">
        <f t="shared" si="30"/>
        <v>1.5811388300841898</v>
      </c>
      <c r="Z72" s="70">
        <f t="shared" si="31"/>
        <v>0</v>
      </c>
      <c r="AA72" s="69" t="str">
        <f t="shared" si="32"/>
        <v>Negligible</v>
      </c>
      <c r="AB72" s="69" t="str">
        <f t="shared" si="33"/>
        <v>Tidak Ada Indikasi Bias</v>
      </c>
    </row>
    <row r="73" spans="1:28" ht="25" x14ac:dyDescent="0.35">
      <c r="A73" s="98" t="str">
        <f>'IMR (Soal Baru)'!A67</f>
        <v>63. Latar belakang SPMI dapat disusun dengan mempertimbangkan …</v>
      </c>
      <c r="B73" s="69">
        <f>'IMR (Soal Baru)'!B67</f>
        <v>0</v>
      </c>
      <c r="C73" s="69">
        <f>'IMR (Soal Baru)'!C67</f>
        <v>1</v>
      </c>
      <c r="D73" s="69">
        <f>'IMR (Soal Baru)'!D67</f>
        <v>1</v>
      </c>
      <c r="E73" s="69">
        <f>'IMR (Soal Baru)'!E67</f>
        <v>0</v>
      </c>
      <c r="F73" s="69">
        <f>'IMR (Soal Baru)'!F67</f>
        <v>0</v>
      </c>
      <c r="G73" s="69">
        <f>'IMR (Soal Baru)'!G67</f>
        <v>1</v>
      </c>
      <c r="H73" s="69">
        <f>'IMR (Soal Baru)'!H67</f>
        <v>1</v>
      </c>
      <c r="I73" s="69">
        <f>'IMR (Soal Baru)'!I67</f>
        <v>0</v>
      </c>
      <c r="J73" s="69">
        <f>'IMR (Soal Baru)'!J67</f>
        <v>1</v>
      </c>
      <c r="K73" s="69">
        <f>'IMR (Soal Baru)'!K67</f>
        <v>1</v>
      </c>
      <c r="L73" s="69">
        <f t="shared" si="17"/>
        <v>5</v>
      </c>
      <c r="M73" s="69">
        <f t="shared" si="18"/>
        <v>5</v>
      </c>
      <c r="N73" s="69">
        <f t="shared" si="19"/>
        <v>3</v>
      </c>
      <c r="O73" s="69">
        <f t="shared" si="20"/>
        <v>3</v>
      </c>
      <c r="P73" s="69">
        <f t="shared" si="21"/>
        <v>3</v>
      </c>
      <c r="Q73" s="69">
        <f t="shared" si="22"/>
        <v>3</v>
      </c>
      <c r="R73" s="70">
        <f t="shared" si="23"/>
        <v>-0.40546510810816444</v>
      </c>
      <c r="S73" s="70">
        <f t="shared" si="24"/>
        <v>-0.40546510810816444</v>
      </c>
      <c r="T73" s="70">
        <f t="shared" si="25"/>
        <v>-0.43620332638886361</v>
      </c>
      <c r="U73" s="70">
        <f t="shared" si="26"/>
        <v>-0.43620332638886361</v>
      </c>
      <c r="V73" s="70">
        <f t="shared" si="27"/>
        <v>0.91287092917527679</v>
      </c>
      <c r="W73" s="70">
        <f t="shared" si="28"/>
        <v>0.91287092917527679</v>
      </c>
      <c r="X73" s="70">
        <f t="shared" si="29"/>
        <v>0</v>
      </c>
      <c r="Y73" s="70">
        <f t="shared" si="30"/>
        <v>1.2909944487358056</v>
      </c>
      <c r="Z73" s="70">
        <f t="shared" si="31"/>
        <v>0</v>
      </c>
      <c r="AA73" s="69" t="str">
        <f t="shared" si="32"/>
        <v>Negligible</v>
      </c>
      <c r="AB73" s="69" t="str">
        <f t="shared" si="33"/>
        <v>Tidak Ada Indikasi Bias</v>
      </c>
    </row>
    <row r="74" spans="1:28" ht="25" x14ac:dyDescent="0.35">
      <c r="A74" s="98" t="str">
        <f>'IMR (Soal Baru)'!A68</f>
        <v>64. Format ABCD dalam penyusunan dokumen standar SPMI adalah …</v>
      </c>
      <c r="B74" s="69">
        <f>'IMR (Soal Baru)'!B68</f>
        <v>0</v>
      </c>
      <c r="C74" s="69">
        <f>'IMR (Soal Baru)'!C68</f>
        <v>0</v>
      </c>
      <c r="D74" s="69">
        <f>'IMR (Soal Baru)'!D68</f>
        <v>0</v>
      </c>
      <c r="E74" s="69">
        <f>'IMR (Soal Baru)'!E68</f>
        <v>0</v>
      </c>
      <c r="F74" s="69">
        <f>'IMR (Soal Baru)'!F68</f>
        <v>0</v>
      </c>
      <c r="G74" s="69">
        <f>'IMR (Soal Baru)'!G68</f>
        <v>1</v>
      </c>
      <c r="H74" s="69">
        <f>'IMR (Soal Baru)'!H68</f>
        <v>1</v>
      </c>
      <c r="I74" s="69">
        <f>'IMR (Soal Baru)'!I68</f>
        <v>0</v>
      </c>
      <c r="J74" s="69">
        <f>'IMR (Soal Baru)'!J68</f>
        <v>1</v>
      </c>
      <c r="K74" s="69">
        <f>'IMR (Soal Baru)'!K68</f>
        <v>1</v>
      </c>
      <c r="L74" s="69">
        <f t="shared" si="17"/>
        <v>5</v>
      </c>
      <c r="M74" s="69">
        <f t="shared" si="18"/>
        <v>5</v>
      </c>
      <c r="N74" s="69">
        <f t="shared" si="19"/>
        <v>2</v>
      </c>
      <c r="O74" s="69">
        <f t="shared" si="20"/>
        <v>2</v>
      </c>
      <c r="P74" s="69">
        <f t="shared" si="21"/>
        <v>2</v>
      </c>
      <c r="Q74" s="69">
        <f t="shared" si="22"/>
        <v>2</v>
      </c>
      <c r="R74" s="70">
        <f t="shared" si="23"/>
        <v>0.40546510810816438</v>
      </c>
      <c r="S74" s="70">
        <f t="shared" si="24"/>
        <v>0.40546510810816438</v>
      </c>
      <c r="T74" s="70">
        <f t="shared" si="25"/>
        <v>0.37472688982746521</v>
      </c>
      <c r="U74" s="70">
        <f t="shared" si="26"/>
        <v>0.37472688982746521</v>
      </c>
      <c r="V74" s="70">
        <f t="shared" si="27"/>
        <v>0.91287092917527679</v>
      </c>
      <c r="W74" s="70">
        <f t="shared" si="28"/>
        <v>0.91287092917527679</v>
      </c>
      <c r="X74" s="70">
        <f t="shared" si="29"/>
        <v>0</v>
      </c>
      <c r="Y74" s="70">
        <f t="shared" si="30"/>
        <v>1.2909944487358056</v>
      </c>
      <c r="Z74" s="70">
        <f t="shared" si="31"/>
        <v>0</v>
      </c>
      <c r="AA74" s="69" t="str">
        <f t="shared" si="32"/>
        <v>Negligible</v>
      </c>
      <c r="AB74" s="69" t="str">
        <f t="shared" si="33"/>
        <v>Tidak Ada Indikasi Bias</v>
      </c>
    </row>
    <row r="75" spans="1:28" ht="37.5" x14ac:dyDescent="0.35">
      <c r="A75" s="98" t="str">
        <f>'IMR (Soal Baru)'!A69</f>
        <v>65. dokumen yang berisi standar Dikti untuk mewujudkan visi perguruan tinggi adalah dokumen SPMI …</v>
      </c>
      <c r="B75" s="69">
        <f>'IMR (Soal Baru)'!B69</f>
        <v>0</v>
      </c>
      <c r="C75" s="69">
        <f>'IMR (Soal Baru)'!C69</f>
        <v>1</v>
      </c>
      <c r="D75" s="69">
        <f>'IMR (Soal Baru)'!D69</f>
        <v>0</v>
      </c>
      <c r="E75" s="69">
        <f>'IMR (Soal Baru)'!E69</f>
        <v>0</v>
      </c>
      <c r="F75" s="69">
        <f>'IMR (Soal Baru)'!F69</f>
        <v>0</v>
      </c>
      <c r="G75" s="69">
        <f>'IMR (Soal Baru)'!G69</f>
        <v>1</v>
      </c>
      <c r="H75" s="69">
        <f>'IMR (Soal Baru)'!H69</f>
        <v>0</v>
      </c>
      <c r="I75" s="69">
        <f>'IMR (Soal Baru)'!I69</f>
        <v>0</v>
      </c>
      <c r="J75" s="69">
        <f>'IMR (Soal Baru)'!J69</f>
        <v>1</v>
      </c>
      <c r="K75" s="69">
        <f>'IMR (Soal Baru)'!K69</f>
        <v>1</v>
      </c>
      <c r="L75" s="69">
        <f t="shared" ref="L75:L110" si="34">COUNTIF($B$8:$K$8,"Laki-Laki")</f>
        <v>5</v>
      </c>
      <c r="M75" s="69">
        <f t="shared" ref="M75:M110" si="35">COUNTIF($B$8:$K$8,"Perempuan")</f>
        <v>5</v>
      </c>
      <c r="N75" s="69">
        <f t="shared" ref="N75:N110" si="36">SUMIF($B$8:$K$8,"Laki-Laki",B75:K75)</f>
        <v>2</v>
      </c>
      <c r="O75" s="69">
        <f t="shared" ref="O75:O110" si="37">SUMIF($B$8:$K$8,"Perempuan",B75:K75)</f>
        <v>2</v>
      </c>
      <c r="P75" s="69">
        <f t="shared" ref="P75:P110" si="38">IF(N75=0,0.3,IF(N75=L75,L75-0.3,N75))</f>
        <v>2</v>
      </c>
      <c r="Q75" s="69">
        <f t="shared" ref="Q75:Q110" si="39">IF(O75=0,0.3,IF(O75=M75,M75-0.3,O75))</f>
        <v>2</v>
      </c>
      <c r="R75" s="70">
        <f t="shared" ref="R75:R110" si="40">LN((L75-P75)/P75)</f>
        <v>0.40546510810816438</v>
      </c>
      <c r="S75" s="70">
        <f t="shared" ref="S75:S110" si="41">LN((M75-Q75)/Q75)</f>
        <v>0.40546510810816438</v>
      </c>
      <c r="T75" s="70">
        <f t="shared" ref="T75:T110" si="42">R75-AVERAGE($R$11:$R$110)</f>
        <v>0.37472688982746521</v>
      </c>
      <c r="U75" s="70">
        <f t="shared" ref="U75:U110" si="43">S75-AVERAGE($S$11:$S$110)</f>
        <v>0.37472688982746521</v>
      </c>
      <c r="V75" s="70">
        <f t="shared" ref="V75:V110" si="44">SQRT(1/P75+1/(L75-P75))</f>
        <v>0.91287092917527679</v>
      </c>
      <c r="W75" s="70">
        <f t="shared" ref="W75:W110" si="45">SQRT(1/Q75+1/(M75-Q75))</f>
        <v>0.91287092917527679</v>
      </c>
      <c r="X75" s="70">
        <f t="shared" ref="X75:X110" si="46">T75-U75</f>
        <v>0</v>
      </c>
      <c r="Y75" s="70">
        <f t="shared" ref="Y75:Y110" si="47">SQRT(V75^2+W75^2)</f>
        <v>1.2909944487358056</v>
      </c>
      <c r="Z75" s="70">
        <f t="shared" ref="Z75:Z106" si="48">X75/Y75</f>
        <v>0</v>
      </c>
      <c r="AA75" s="69" t="str">
        <f t="shared" ref="AA75:AA106" si="49">IF(AND(ABS(X75)&gt;=$B$4,ABS(Z75)&gt;=$B$5),"DIF Besar - review",IF(AND(ABS(X75)&gt;=$B$3,ABS(Z75)&gt;=$B$5),"DIF Moderat - cek","Negligible"))</f>
        <v>Negligible</v>
      </c>
      <c r="AB75" s="69" t="str">
        <f t="shared" ref="AB75:AB110" si="50">IF(ABS(X75)&gt;=$B$4,"Berpotensi Bias - Tinjau Konten",IF(ABS(X75)&gt;=$B$3,"Indikasi Ringan - Pantau","Tidak Ada Indikasi Bias"))</f>
        <v>Tidak Ada Indikasi Bias</v>
      </c>
    </row>
    <row r="76" spans="1:28" ht="25" x14ac:dyDescent="0.35">
      <c r="A76" s="98" t="str">
        <f>'IMR (Soal Baru)'!A70</f>
        <v>66. Dalam menyusun garis besar kebijakan SPMI harus memuat …</v>
      </c>
      <c r="B76" s="69">
        <f>'IMR (Soal Baru)'!B70</f>
        <v>0</v>
      </c>
      <c r="C76" s="69">
        <f>'IMR (Soal Baru)'!C70</f>
        <v>0</v>
      </c>
      <c r="D76" s="69">
        <f>'IMR (Soal Baru)'!D70</f>
        <v>0</v>
      </c>
      <c r="E76" s="69">
        <f>'IMR (Soal Baru)'!E70</f>
        <v>0</v>
      </c>
      <c r="F76" s="69">
        <f>'IMR (Soal Baru)'!F70</f>
        <v>0</v>
      </c>
      <c r="G76" s="69">
        <f>'IMR (Soal Baru)'!G70</f>
        <v>0</v>
      </c>
      <c r="H76" s="69">
        <f>'IMR (Soal Baru)'!H70</f>
        <v>1</v>
      </c>
      <c r="I76" s="69">
        <f>'IMR (Soal Baru)'!I70</f>
        <v>0</v>
      </c>
      <c r="J76" s="69">
        <f>'IMR (Soal Baru)'!J70</f>
        <v>1</v>
      </c>
      <c r="K76" s="69">
        <f>'IMR (Soal Baru)'!K70</f>
        <v>0</v>
      </c>
      <c r="L76" s="69">
        <f t="shared" si="34"/>
        <v>5</v>
      </c>
      <c r="M76" s="69">
        <f t="shared" si="35"/>
        <v>5</v>
      </c>
      <c r="N76" s="69">
        <f t="shared" si="36"/>
        <v>1</v>
      </c>
      <c r="O76" s="69">
        <f t="shared" si="37"/>
        <v>1</v>
      </c>
      <c r="P76" s="69">
        <f t="shared" si="38"/>
        <v>1</v>
      </c>
      <c r="Q76" s="69">
        <f t="shared" si="39"/>
        <v>1</v>
      </c>
      <c r="R76" s="70">
        <f t="shared" si="40"/>
        <v>1.3862943611198906</v>
      </c>
      <c r="S76" s="70">
        <f t="shared" si="41"/>
        <v>1.3862943611198906</v>
      </c>
      <c r="T76" s="70">
        <f t="shared" si="42"/>
        <v>1.3555561428391913</v>
      </c>
      <c r="U76" s="70">
        <f t="shared" si="43"/>
        <v>1.3555561428391913</v>
      </c>
      <c r="V76" s="70">
        <f t="shared" si="44"/>
        <v>1.1180339887498949</v>
      </c>
      <c r="W76" s="70">
        <f t="shared" si="45"/>
        <v>1.1180339887498949</v>
      </c>
      <c r="X76" s="70">
        <f t="shared" si="46"/>
        <v>0</v>
      </c>
      <c r="Y76" s="70">
        <f t="shared" si="47"/>
        <v>1.5811388300841898</v>
      </c>
      <c r="Z76" s="70">
        <f t="shared" si="48"/>
        <v>0</v>
      </c>
      <c r="AA76" s="69" t="str">
        <f t="shared" si="49"/>
        <v>Negligible</v>
      </c>
      <c r="AB76" s="69" t="str">
        <f t="shared" si="50"/>
        <v>Tidak Ada Indikasi Bias</v>
      </c>
    </row>
    <row r="77" spans="1:28" ht="25" x14ac:dyDescent="0.35">
      <c r="A77" s="98" t="str">
        <f>'IMR (Soal Baru)'!A71</f>
        <v>67. Indikator pencapaian standar SPMI yang baik berisi …</v>
      </c>
      <c r="B77" s="69">
        <f>'IMR (Soal Baru)'!B71</f>
        <v>0</v>
      </c>
      <c r="C77" s="69">
        <f>'IMR (Soal Baru)'!C71</f>
        <v>1</v>
      </c>
      <c r="D77" s="69">
        <f>'IMR (Soal Baru)'!D71</f>
        <v>1</v>
      </c>
      <c r="E77" s="69">
        <f>'IMR (Soal Baru)'!E71</f>
        <v>1</v>
      </c>
      <c r="F77" s="69">
        <f>'IMR (Soal Baru)'!F71</f>
        <v>1</v>
      </c>
      <c r="G77" s="69">
        <f>'IMR (Soal Baru)'!G71</f>
        <v>1</v>
      </c>
      <c r="H77" s="69">
        <f>'IMR (Soal Baru)'!H71</f>
        <v>1</v>
      </c>
      <c r="I77" s="69">
        <f>'IMR (Soal Baru)'!I71</f>
        <v>0</v>
      </c>
      <c r="J77" s="69">
        <f>'IMR (Soal Baru)'!J71</f>
        <v>0</v>
      </c>
      <c r="K77" s="69">
        <f>'IMR (Soal Baru)'!K71</f>
        <v>0</v>
      </c>
      <c r="L77" s="69">
        <f t="shared" si="34"/>
        <v>5</v>
      </c>
      <c r="M77" s="69">
        <f t="shared" si="35"/>
        <v>5</v>
      </c>
      <c r="N77" s="69">
        <f t="shared" si="36"/>
        <v>3</v>
      </c>
      <c r="O77" s="69">
        <f t="shared" si="37"/>
        <v>3</v>
      </c>
      <c r="P77" s="69">
        <f t="shared" si="38"/>
        <v>3</v>
      </c>
      <c r="Q77" s="69">
        <f t="shared" si="39"/>
        <v>3</v>
      </c>
      <c r="R77" s="70">
        <f t="shared" si="40"/>
        <v>-0.40546510810816444</v>
      </c>
      <c r="S77" s="70">
        <f t="shared" si="41"/>
        <v>-0.40546510810816444</v>
      </c>
      <c r="T77" s="70">
        <f t="shared" si="42"/>
        <v>-0.43620332638886361</v>
      </c>
      <c r="U77" s="70">
        <f t="shared" si="43"/>
        <v>-0.43620332638886361</v>
      </c>
      <c r="V77" s="70">
        <f t="shared" si="44"/>
        <v>0.91287092917527679</v>
      </c>
      <c r="W77" s="70">
        <f t="shared" si="45"/>
        <v>0.91287092917527679</v>
      </c>
      <c r="X77" s="70">
        <f t="shared" si="46"/>
        <v>0</v>
      </c>
      <c r="Y77" s="70">
        <f t="shared" si="47"/>
        <v>1.2909944487358056</v>
      </c>
      <c r="Z77" s="70">
        <f t="shared" si="48"/>
        <v>0</v>
      </c>
      <c r="AA77" s="69" t="str">
        <f t="shared" si="49"/>
        <v>Negligible</v>
      </c>
      <c r="AB77" s="69" t="str">
        <f t="shared" si="50"/>
        <v>Tidak Ada Indikasi Bias</v>
      </c>
    </row>
    <row r="78" spans="1:28" ht="25" x14ac:dyDescent="0.35">
      <c r="A78" s="98" t="str">
        <f>'IMR (Soal Baru)'!A72</f>
        <v>68. Pilihlah pernyataan berikut yang benar tentang kebijakan SMOP!</v>
      </c>
      <c r="B78" s="69">
        <f>'IMR (Soal Baru)'!B72</f>
        <v>1</v>
      </c>
      <c r="C78" s="69">
        <f>'IMR (Soal Baru)'!C72</f>
        <v>0</v>
      </c>
      <c r="D78" s="69">
        <f>'IMR (Soal Baru)'!D72</f>
        <v>1</v>
      </c>
      <c r="E78" s="69">
        <f>'IMR (Soal Baru)'!E72</f>
        <v>1</v>
      </c>
      <c r="F78" s="69">
        <f>'IMR (Soal Baru)'!F72</f>
        <v>1</v>
      </c>
      <c r="G78" s="69">
        <f>'IMR (Soal Baru)'!G72</f>
        <v>1</v>
      </c>
      <c r="H78" s="69">
        <f>'IMR (Soal Baru)'!H72</f>
        <v>0</v>
      </c>
      <c r="I78" s="69">
        <f>'IMR (Soal Baru)'!I72</f>
        <v>1</v>
      </c>
      <c r="J78" s="69">
        <f>'IMR (Soal Baru)'!J72</f>
        <v>0</v>
      </c>
      <c r="K78" s="69">
        <f>'IMR (Soal Baru)'!K72</f>
        <v>0</v>
      </c>
      <c r="L78" s="69">
        <f t="shared" si="34"/>
        <v>5</v>
      </c>
      <c r="M78" s="69">
        <f t="shared" si="35"/>
        <v>5</v>
      </c>
      <c r="N78" s="69">
        <f t="shared" si="36"/>
        <v>3</v>
      </c>
      <c r="O78" s="69">
        <f t="shared" si="37"/>
        <v>3</v>
      </c>
      <c r="P78" s="69">
        <f t="shared" si="38"/>
        <v>3</v>
      </c>
      <c r="Q78" s="69">
        <f t="shared" si="39"/>
        <v>3</v>
      </c>
      <c r="R78" s="70">
        <f t="shared" si="40"/>
        <v>-0.40546510810816444</v>
      </c>
      <c r="S78" s="70">
        <f t="shared" si="41"/>
        <v>-0.40546510810816444</v>
      </c>
      <c r="T78" s="70">
        <f t="shared" si="42"/>
        <v>-0.43620332638886361</v>
      </c>
      <c r="U78" s="70">
        <f t="shared" si="43"/>
        <v>-0.43620332638886361</v>
      </c>
      <c r="V78" s="70">
        <f t="shared" si="44"/>
        <v>0.91287092917527679</v>
      </c>
      <c r="W78" s="70">
        <f t="shared" si="45"/>
        <v>0.91287092917527679</v>
      </c>
      <c r="X78" s="70">
        <f t="shared" si="46"/>
        <v>0</v>
      </c>
      <c r="Y78" s="70">
        <f t="shared" si="47"/>
        <v>1.2909944487358056</v>
      </c>
      <c r="Z78" s="70">
        <f t="shared" si="48"/>
        <v>0</v>
      </c>
      <c r="AA78" s="69" t="str">
        <f t="shared" si="49"/>
        <v>Negligible</v>
      </c>
      <c r="AB78" s="69" t="str">
        <f t="shared" si="50"/>
        <v>Tidak Ada Indikasi Bias</v>
      </c>
    </row>
    <row r="79" spans="1:28" ht="75" x14ac:dyDescent="0.35">
      <c r="A79" s="98" t="str">
        <f>'IMR (Soal Baru)'!A73</f>
        <v>69. Penyusunan struktur organisasi, tanggung jawab, dan wewenang dalam perwujudan SMOP harus mempertimbangkan adanya personel organisasi yang memiiliki tanggung jawab sebagai berikut, kecuali …</v>
      </c>
      <c r="B79" s="69">
        <f>'IMR (Soal Baru)'!B73</f>
        <v>0</v>
      </c>
      <c r="C79" s="69">
        <f>'IMR (Soal Baru)'!C73</f>
        <v>0</v>
      </c>
      <c r="D79" s="69">
        <f>'IMR (Soal Baru)'!D73</f>
        <v>0</v>
      </c>
      <c r="E79" s="69">
        <f>'IMR (Soal Baru)'!E73</f>
        <v>0</v>
      </c>
      <c r="F79" s="69">
        <f>'IMR (Soal Baru)'!F73</f>
        <v>1</v>
      </c>
      <c r="G79" s="69">
        <f>'IMR (Soal Baru)'!G73</f>
        <v>1</v>
      </c>
      <c r="H79" s="69">
        <f>'IMR (Soal Baru)'!H73</f>
        <v>1</v>
      </c>
      <c r="I79" s="69">
        <f>'IMR (Soal Baru)'!I73</f>
        <v>0</v>
      </c>
      <c r="J79" s="69">
        <f>'IMR (Soal Baru)'!J73</f>
        <v>0</v>
      </c>
      <c r="K79" s="69">
        <f>'IMR (Soal Baru)'!K73</f>
        <v>1</v>
      </c>
      <c r="L79" s="69">
        <f t="shared" si="34"/>
        <v>5</v>
      </c>
      <c r="M79" s="69">
        <f t="shared" si="35"/>
        <v>5</v>
      </c>
      <c r="N79" s="69">
        <f t="shared" si="36"/>
        <v>2</v>
      </c>
      <c r="O79" s="69">
        <f t="shared" si="37"/>
        <v>2</v>
      </c>
      <c r="P79" s="69">
        <f t="shared" si="38"/>
        <v>2</v>
      </c>
      <c r="Q79" s="69">
        <f t="shared" si="39"/>
        <v>2</v>
      </c>
      <c r="R79" s="70">
        <f t="shared" si="40"/>
        <v>0.40546510810816438</v>
      </c>
      <c r="S79" s="70">
        <f t="shared" si="41"/>
        <v>0.40546510810816438</v>
      </c>
      <c r="T79" s="70">
        <f t="shared" si="42"/>
        <v>0.37472688982746521</v>
      </c>
      <c r="U79" s="70">
        <f t="shared" si="43"/>
        <v>0.37472688982746521</v>
      </c>
      <c r="V79" s="70">
        <f t="shared" si="44"/>
        <v>0.91287092917527679</v>
      </c>
      <c r="W79" s="70">
        <f t="shared" si="45"/>
        <v>0.91287092917527679</v>
      </c>
      <c r="X79" s="70">
        <f t="shared" si="46"/>
        <v>0</v>
      </c>
      <c r="Y79" s="70">
        <f t="shared" si="47"/>
        <v>1.2909944487358056</v>
      </c>
      <c r="Z79" s="70">
        <f t="shared" si="48"/>
        <v>0</v>
      </c>
      <c r="AA79" s="69" t="str">
        <f t="shared" si="49"/>
        <v>Negligible</v>
      </c>
      <c r="AB79" s="69" t="str">
        <f t="shared" si="50"/>
        <v>Tidak Ada Indikasi Bias</v>
      </c>
    </row>
    <row r="80" spans="1:28" ht="25" x14ac:dyDescent="0.35">
      <c r="A80" s="98" t="str">
        <f>'IMR (Soal Baru)'!A74</f>
        <v>70. Alasan ISO 21001:2018 mensyaratkan adanya perencanaan perubahan, kecuali ...</v>
      </c>
      <c r="B80" s="69">
        <f>'IMR (Soal Baru)'!B74</f>
        <v>0</v>
      </c>
      <c r="C80" s="69">
        <f>'IMR (Soal Baru)'!C74</f>
        <v>0</v>
      </c>
      <c r="D80" s="69">
        <f>'IMR (Soal Baru)'!D74</f>
        <v>0</v>
      </c>
      <c r="E80" s="69">
        <f>'IMR (Soal Baru)'!E74</f>
        <v>0</v>
      </c>
      <c r="F80" s="69">
        <f>'IMR (Soal Baru)'!F74</f>
        <v>0</v>
      </c>
      <c r="G80" s="69">
        <f>'IMR (Soal Baru)'!G74</f>
        <v>1</v>
      </c>
      <c r="H80" s="69">
        <f>'IMR (Soal Baru)'!H74</f>
        <v>0</v>
      </c>
      <c r="I80" s="69">
        <f>'IMR (Soal Baru)'!I74</f>
        <v>1</v>
      </c>
      <c r="J80" s="69">
        <f>'IMR (Soal Baru)'!J74</f>
        <v>1</v>
      </c>
      <c r="K80" s="69">
        <f>'IMR (Soal Baru)'!K74</f>
        <v>1</v>
      </c>
      <c r="L80" s="69">
        <f t="shared" si="34"/>
        <v>5</v>
      </c>
      <c r="M80" s="69">
        <f t="shared" si="35"/>
        <v>5</v>
      </c>
      <c r="N80" s="69">
        <f t="shared" si="36"/>
        <v>2</v>
      </c>
      <c r="O80" s="69">
        <f t="shared" si="37"/>
        <v>2</v>
      </c>
      <c r="P80" s="69">
        <f t="shared" si="38"/>
        <v>2</v>
      </c>
      <c r="Q80" s="69">
        <f t="shared" si="39"/>
        <v>2</v>
      </c>
      <c r="R80" s="70">
        <f t="shared" si="40"/>
        <v>0.40546510810816438</v>
      </c>
      <c r="S80" s="70">
        <f t="shared" si="41"/>
        <v>0.40546510810816438</v>
      </c>
      <c r="T80" s="70">
        <f t="shared" si="42"/>
        <v>0.37472688982746521</v>
      </c>
      <c r="U80" s="70">
        <f t="shared" si="43"/>
        <v>0.37472688982746521</v>
      </c>
      <c r="V80" s="70">
        <f t="shared" si="44"/>
        <v>0.91287092917527679</v>
      </c>
      <c r="W80" s="70">
        <f t="shared" si="45"/>
        <v>0.91287092917527679</v>
      </c>
      <c r="X80" s="70">
        <f t="shared" si="46"/>
        <v>0</v>
      </c>
      <c r="Y80" s="70">
        <f t="shared" si="47"/>
        <v>1.2909944487358056</v>
      </c>
      <c r="Z80" s="70">
        <f t="shared" si="48"/>
        <v>0</v>
      </c>
      <c r="AA80" s="69" t="str">
        <f t="shared" si="49"/>
        <v>Negligible</v>
      </c>
      <c r="AB80" s="69" t="str">
        <f t="shared" si="50"/>
        <v>Tidak Ada Indikasi Bias</v>
      </c>
    </row>
    <row r="81" spans="1:28" ht="25" x14ac:dyDescent="0.35">
      <c r="A81" s="98" t="str">
        <f>'IMR (Soal Baru)'!A75</f>
        <v>71. Sasaran mutu yang baik harus mengikuti prinsip SMART, yaitu …</v>
      </c>
      <c r="B81" s="69">
        <f>'IMR (Soal Baru)'!B75</f>
        <v>1</v>
      </c>
      <c r="C81" s="69">
        <f>'IMR (Soal Baru)'!C75</f>
        <v>1</v>
      </c>
      <c r="D81" s="69">
        <f>'IMR (Soal Baru)'!D75</f>
        <v>1</v>
      </c>
      <c r="E81" s="69">
        <f>'IMR (Soal Baru)'!E75</f>
        <v>1</v>
      </c>
      <c r="F81" s="69">
        <f>'IMR (Soal Baru)'!F75</f>
        <v>0</v>
      </c>
      <c r="G81" s="69">
        <f>'IMR (Soal Baru)'!G75</f>
        <v>0</v>
      </c>
      <c r="H81" s="69">
        <f>'IMR (Soal Baru)'!H75</f>
        <v>0</v>
      </c>
      <c r="I81" s="69">
        <f>'IMR (Soal Baru)'!I75</f>
        <v>0</v>
      </c>
      <c r="J81" s="69">
        <f>'IMR (Soal Baru)'!J75</f>
        <v>0</v>
      </c>
      <c r="K81" s="69">
        <f>'IMR (Soal Baru)'!K75</f>
        <v>0</v>
      </c>
      <c r="L81" s="69">
        <f t="shared" si="34"/>
        <v>5</v>
      </c>
      <c r="M81" s="69">
        <f t="shared" si="35"/>
        <v>5</v>
      </c>
      <c r="N81" s="69">
        <f t="shared" si="36"/>
        <v>2</v>
      </c>
      <c r="O81" s="69">
        <f t="shared" si="37"/>
        <v>2</v>
      </c>
      <c r="P81" s="69">
        <f t="shared" si="38"/>
        <v>2</v>
      </c>
      <c r="Q81" s="69">
        <f t="shared" si="39"/>
        <v>2</v>
      </c>
      <c r="R81" s="70">
        <f t="shared" si="40"/>
        <v>0.40546510810816438</v>
      </c>
      <c r="S81" s="70">
        <f t="shared" si="41"/>
        <v>0.40546510810816438</v>
      </c>
      <c r="T81" s="70">
        <f t="shared" si="42"/>
        <v>0.37472688982746521</v>
      </c>
      <c r="U81" s="70">
        <f t="shared" si="43"/>
        <v>0.37472688982746521</v>
      </c>
      <c r="V81" s="70">
        <f t="shared" si="44"/>
        <v>0.91287092917527679</v>
      </c>
      <c r="W81" s="70">
        <f t="shared" si="45"/>
        <v>0.91287092917527679</v>
      </c>
      <c r="X81" s="70">
        <f t="shared" si="46"/>
        <v>0</v>
      </c>
      <c r="Y81" s="70">
        <f t="shared" si="47"/>
        <v>1.2909944487358056</v>
      </c>
      <c r="Z81" s="70">
        <f t="shared" si="48"/>
        <v>0</v>
      </c>
      <c r="AA81" s="69" t="str">
        <f t="shared" si="49"/>
        <v>Negligible</v>
      </c>
      <c r="AB81" s="69" t="str">
        <f t="shared" si="50"/>
        <v>Tidak Ada Indikasi Bias</v>
      </c>
    </row>
    <row r="82" spans="1:28" ht="37.5" x14ac:dyDescent="0.35">
      <c r="A82" s="98" t="str">
        <f>'IMR (Soal Baru)'!A76</f>
        <v>72. Tuntutan kerja, kejelasan peran, dan penghargaan, merupakan bentuk perwujudan dari …</v>
      </c>
      <c r="B82" s="69">
        <f>'IMR (Soal Baru)'!B76</f>
        <v>1</v>
      </c>
      <c r="C82" s="69">
        <f>'IMR (Soal Baru)'!C76</f>
        <v>1</v>
      </c>
      <c r="D82" s="69">
        <f>'IMR (Soal Baru)'!D76</f>
        <v>0</v>
      </c>
      <c r="E82" s="69">
        <f>'IMR (Soal Baru)'!E76</f>
        <v>0</v>
      </c>
      <c r="F82" s="69">
        <f>'IMR (Soal Baru)'!F76</f>
        <v>1</v>
      </c>
      <c r="G82" s="69">
        <f>'IMR (Soal Baru)'!G76</f>
        <v>0</v>
      </c>
      <c r="H82" s="69">
        <f>'IMR (Soal Baru)'!H76</f>
        <v>0</v>
      </c>
      <c r="I82" s="69">
        <f>'IMR (Soal Baru)'!I76</f>
        <v>0</v>
      </c>
      <c r="J82" s="69">
        <f>'IMR (Soal Baru)'!J76</f>
        <v>0</v>
      </c>
      <c r="K82" s="69">
        <f>'IMR (Soal Baru)'!K76</f>
        <v>1</v>
      </c>
      <c r="L82" s="69">
        <f t="shared" si="34"/>
        <v>5</v>
      </c>
      <c r="M82" s="69">
        <f t="shared" si="35"/>
        <v>5</v>
      </c>
      <c r="N82" s="69">
        <f t="shared" si="36"/>
        <v>2</v>
      </c>
      <c r="O82" s="69">
        <f t="shared" si="37"/>
        <v>2</v>
      </c>
      <c r="P82" s="69">
        <f t="shared" si="38"/>
        <v>2</v>
      </c>
      <c r="Q82" s="69">
        <f t="shared" si="39"/>
        <v>2</v>
      </c>
      <c r="R82" s="70">
        <f t="shared" si="40"/>
        <v>0.40546510810816438</v>
      </c>
      <c r="S82" s="70">
        <f t="shared" si="41"/>
        <v>0.40546510810816438</v>
      </c>
      <c r="T82" s="70">
        <f t="shared" si="42"/>
        <v>0.37472688982746521</v>
      </c>
      <c r="U82" s="70">
        <f t="shared" si="43"/>
        <v>0.37472688982746521</v>
      </c>
      <c r="V82" s="70">
        <f t="shared" si="44"/>
        <v>0.91287092917527679</v>
      </c>
      <c r="W82" s="70">
        <f t="shared" si="45"/>
        <v>0.91287092917527679</v>
      </c>
      <c r="X82" s="70">
        <f t="shared" si="46"/>
        <v>0</v>
      </c>
      <c r="Y82" s="70">
        <f t="shared" si="47"/>
        <v>1.2909944487358056</v>
      </c>
      <c r="Z82" s="70">
        <f t="shared" si="48"/>
        <v>0</v>
      </c>
      <c r="AA82" s="69" t="str">
        <f t="shared" si="49"/>
        <v>Negligible</v>
      </c>
      <c r="AB82" s="69" t="str">
        <f t="shared" si="50"/>
        <v>Tidak Ada Indikasi Bias</v>
      </c>
    </row>
    <row r="83" spans="1:28" ht="37.5" x14ac:dyDescent="0.35">
      <c r="A83" s="98" t="str">
        <f>'IMR (Soal Baru)'!A77</f>
        <v>73. Apa yang harus dilakukan ketika didapati ada hasil pengukuran yang tidak sesuai?</v>
      </c>
      <c r="B83" s="69">
        <f>'IMR (Soal Baru)'!B77</f>
        <v>0</v>
      </c>
      <c r="C83" s="69">
        <f>'IMR (Soal Baru)'!C77</f>
        <v>0</v>
      </c>
      <c r="D83" s="69">
        <f>'IMR (Soal Baru)'!D77</f>
        <v>1</v>
      </c>
      <c r="E83" s="69">
        <f>'IMR (Soal Baru)'!E77</f>
        <v>0</v>
      </c>
      <c r="F83" s="69">
        <f>'IMR (Soal Baru)'!F77</f>
        <v>1</v>
      </c>
      <c r="G83" s="69">
        <f>'IMR (Soal Baru)'!G77</f>
        <v>1</v>
      </c>
      <c r="H83" s="69">
        <f>'IMR (Soal Baru)'!H77</f>
        <v>1</v>
      </c>
      <c r="I83" s="69">
        <f>'IMR (Soal Baru)'!I77</f>
        <v>1</v>
      </c>
      <c r="J83" s="69">
        <f>'IMR (Soal Baru)'!J77</f>
        <v>0</v>
      </c>
      <c r="K83" s="69">
        <f>'IMR (Soal Baru)'!K77</f>
        <v>1</v>
      </c>
      <c r="L83" s="69">
        <f t="shared" si="34"/>
        <v>5</v>
      </c>
      <c r="M83" s="69">
        <f t="shared" si="35"/>
        <v>5</v>
      </c>
      <c r="N83" s="69">
        <f t="shared" si="36"/>
        <v>3</v>
      </c>
      <c r="O83" s="69">
        <f t="shared" si="37"/>
        <v>3</v>
      </c>
      <c r="P83" s="69">
        <f t="shared" si="38"/>
        <v>3</v>
      </c>
      <c r="Q83" s="69">
        <f t="shared" si="39"/>
        <v>3</v>
      </c>
      <c r="R83" s="70">
        <f t="shared" si="40"/>
        <v>-0.40546510810816444</v>
      </c>
      <c r="S83" s="70">
        <f t="shared" si="41"/>
        <v>-0.40546510810816444</v>
      </c>
      <c r="T83" s="70">
        <f t="shared" si="42"/>
        <v>-0.43620332638886361</v>
      </c>
      <c r="U83" s="70">
        <f t="shared" si="43"/>
        <v>-0.43620332638886361</v>
      </c>
      <c r="V83" s="70">
        <f t="shared" si="44"/>
        <v>0.91287092917527679</v>
      </c>
      <c r="W83" s="70">
        <f t="shared" si="45"/>
        <v>0.91287092917527679</v>
      </c>
      <c r="X83" s="70">
        <f t="shared" si="46"/>
        <v>0</v>
      </c>
      <c r="Y83" s="70">
        <f t="shared" si="47"/>
        <v>1.2909944487358056</v>
      </c>
      <c r="Z83" s="70">
        <f t="shared" si="48"/>
        <v>0</v>
      </c>
      <c r="AA83" s="69" t="str">
        <f t="shared" si="49"/>
        <v>Negligible</v>
      </c>
      <c r="AB83" s="69" t="str">
        <f t="shared" si="50"/>
        <v>Tidak Ada Indikasi Bias</v>
      </c>
    </row>
    <row r="84" spans="1:28" ht="37.5" x14ac:dyDescent="0.35">
      <c r="A84" s="98" t="str">
        <f>'IMR (Soal Baru)'!A78</f>
        <v>74. Proses desain dan pengembangan layanan pendidikan dapat bersifat iterative. Apa maksudnya?</v>
      </c>
      <c r="B84" s="69">
        <f>'IMR (Soal Baru)'!B78</f>
        <v>1</v>
      </c>
      <c r="C84" s="69">
        <f>'IMR (Soal Baru)'!C78</f>
        <v>1</v>
      </c>
      <c r="D84" s="69">
        <f>'IMR (Soal Baru)'!D78</f>
        <v>1</v>
      </c>
      <c r="E84" s="69">
        <f>'IMR (Soal Baru)'!E78</f>
        <v>0</v>
      </c>
      <c r="F84" s="69">
        <f>'IMR (Soal Baru)'!F78</f>
        <v>0</v>
      </c>
      <c r="G84" s="69">
        <f>'IMR (Soal Baru)'!G78</f>
        <v>0</v>
      </c>
      <c r="H84" s="69">
        <f>'IMR (Soal Baru)'!H78</f>
        <v>0</v>
      </c>
      <c r="I84" s="69">
        <f>'IMR (Soal Baru)'!I78</f>
        <v>0</v>
      </c>
      <c r="J84" s="69">
        <f>'IMR (Soal Baru)'!J78</f>
        <v>1</v>
      </c>
      <c r="K84" s="69">
        <f>'IMR (Soal Baru)'!K78</f>
        <v>0</v>
      </c>
      <c r="L84" s="69">
        <f t="shared" si="34"/>
        <v>5</v>
      </c>
      <c r="M84" s="69">
        <f t="shared" si="35"/>
        <v>5</v>
      </c>
      <c r="N84" s="69">
        <f t="shared" si="36"/>
        <v>2</v>
      </c>
      <c r="O84" s="69">
        <f t="shared" si="37"/>
        <v>2</v>
      </c>
      <c r="P84" s="69">
        <f t="shared" si="38"/>
        <v>2</v>
      </c>
      <c r="Q84" s="69">
        <f t="shared" si="39"/>
        <v>2</v>
      </c>
      <c r="R84" s="70">
        <f t="shared" si="40"/>
        <v>0.40546510810816438</v>
      </c>
      <c r="S84" s="70">
        <f t="shared" si="41"/>
        <v>0.40546510810816438</v>
      </c>
      <c r="T84" s="70">
        <f t="shared" si="42"/>
        <v>0.37472688982746521</v>
      </c>
      <c r="U84" s="70">
        <f t="shared" si="43"/>
        <v>0.37472688982746521</v>
      </c>
      <c r="V84" s="70">
        <f t="shared" si="44"/>
        <v>0.91287092917527679</v>
      </c>
      <c r="W84" s="70">
        <f t="shared" si="45"/>
        <v>0.91287092917527679</v>
      </c>
      <c r="X84" s="70">
        <f t="shared" si="46"/>
        <v>0</v>
      </c>
      <c r="Y84" s="70">
        <f t="shared" si="47"/>
        <v>1.2909944487358056</v>
      </c>
      <c r="Z84" s="70">
        <f t="shared" si="48"/>
        <v>0</v>
      </c>
      <c r="AA84" s="69" t="str">
        <f t="shared" si="49"/>
        <v>Negligible</v>
      </c>
      <c r="AB84" s="69" t="str">
        <f t="shared" si="50"/>
        <v>Tidak Ada Indikasi Bias</v>
      </c>
    </row>
    <row r="85" spans="1:28" ht="75" x14ac:dyDescent="0.35">
      <c r="A85" s="98" t="str">
        <f>'IMR (Soal Baru)'!A79</f>
        <v>75. Ketika menentukan persyaratan produk dan layanan pendidikan, organisasi harus memastikan bahwa persyaratan produk dan layanan pendidikan yang telah ditetapkan memuat komponen berikut, kecuali …</v>
      </c>
      <c r="B85" s="69">
        <f>'IMR (Soal Baru)'!B79</f>
        <v>0</v>
      </c>
      <c r="C85" s="69">
        <f>'IMR (Soal Baru)'!C79</f>
        <v>0</v>
      </c>
      <c r="D85" s="69">
        <f>'IMR (Soal Baru)'!D79</f>
        <v>0</v>
      </c>
      <c r="E85" s="69">
        <f>'IMR (Soal Baru)'!E79</f>
        <v>0</v>
      </c>
      <c r="F85" s="69">
        <f>'IMR (Soal Baru)'!F79</f>
        <v>0</v>
      </c>
      <c r="G85" s="69">
        <f>'IMR (Soal Baru)'!G79</f>
        <v>0</v>
      </c>
      <c r="H85" s="69">
        <f>'IMR (Soal Baru)'!H79</f>
        <v>0</v>
      </c>
      <c r="I85" s="69">
        <f>'IMR (Soal Baru)'!I79</f>
        <v>1</v>
      </c>
      <c r="J85" s="69">
        <f>'IMR (Soal Baru)'!J79</f>
        <v>1</v>
      </c>
      <c r="K85" s="69">
        <f>'IMR (Soal Baru)'!K79</f>
        <v>0</v>
      </c>
      <c r="L85" s="69">
        <f t="shared" si="34"/>
        <v>5</v>
      </c>
      <c r="M85" s="69">
        <f t="shared" si="35"/>
        <v>5</v>
      </c>
      <c r="N85" s="69">
        <f t="shared" si="36"/>
        <v>1</v>
      </c>
      <c r="O85" s="69">
        <f t="shared" si="37"/>
        <v>1</v>
      </c>
      <c r="P85" s="69">
        <f t="shared" si="38"/>
        <v>1</v>
      </c>
      <c r="Q85" s="69">
        <f t="shared" si="39"/>
        <v>1</v>
      </c>
      <c r="R85" s="70">
        <f t="shared" si="40"/>
        <v>1.3862943611198906</v>
      </c>
      <c r="S85" s="70">
        <f t="shared" si="41"/>
        <v>1.3862943611198906</v>
      </c>
      <c r="T85" s="70">
        <f t="shared" si="42"/>
        <v>1.3555561428391913</v>
      </c>
      <c r="U85" s="70">
        <f t="shared" si="43"/>
        <v>1.3555561428391913</v>
      </c>
      <c r="V85" s="70">
        <f t="shared" si="44"/>
        <v>1.1180339887498949</v>
      </c>
      <c r="W85" s="70">
        <f t="shared" si="45"/>
        <v>1.1180339887498949</v>
      </c>
      <c r="X85" s="70">
        <f t="shared" si="46"/>
        <v>0</v>
      </c>
      <c r="Y85" s="70">
        <f t="shared" si="47"/>
        <v>1.5811388300841898</v>
      </c>
      <c r="Z85" s="70">
        <f t="shared" si="48"/>
        <v>0</v>
      </c>
      <c r="AA85" s="69" t="str">
        <f t="shared" si="49"/>
        <v>Negligible</v>
      </c>
      <c r="AB85" s="69" t="str">
        <f t="shared" si="50"/>
        <v>Tidak Ada Indikasi Bias</v>
      </c>
    </row>
    <row r="86" spans="1:28" ht="87.5" x14ac:dyDescent="0.35">
      <c r="A86" s="98" t="str">
        <f>'IMR (Soal Baru)'!A80</f>
        <v>76. ISO 21001:2018 mensyaratkan organisasi pendidikan untuk melakukan analisis kebutuhan dalam menentukan produk dan layanan pendidikan, terdapat beberapa faktor yang harus dipertimbangkan. Pilihlah jawaban yang benar terkait faktor tersebut.</v>
      </c>
      <c r="B86" s="69">
        <f>'IMR (Soal Baru)'!B80</f>
        <v>0</v>
      </c>
      <c r="C86" s="69">
        <f>'IMR (Soal Baru)'!C80</f>
        <v>0</v>
      </c>
      <c r="D86" s="69">
        <f>'IMR (Soal Baru)'!D80</f>
        <v>0</v>
      </c>
      <c r="E86" s="69">
        <f>'IMR (Soal Baru)'!E80</f>
        <v>0</v>
      </c>
      <c r="F86" s="69">
        <f>'IMR (Soal Baru)'!F80</f>
        <v>0</v>
      </c>
      <c r="G86" s="69">
        <f>'IMR (Soal Baru)'!G80</f>
        <v>0</v>
      </c>
      <c r="H86" s="69">
        <f>'IMR (Soal Baru)'!H80</f>
        <v>0</v>
      </c>
      <c r="I86" s="69">
        <f>'IMR (Soal Baru)'!I80</f>
        <v>1</v>
      </c>
      <c r="J86" s="69">
        <f>'IMR (Soal Baru)'!J80</f>
        <v>0</v>
      </c>
      <c r="K86" s="69">
        <f>'IMR (Soal Baru)'!K80</f>
        <v>1</v>
      </c>
      <c r="L86" s="69">
        <f t="shared" si="34"/>
        <v>5</v>
      </c>
      <c r="M86" s="69">
        <f t="shared" si="35"/>
        <v>5</v>
      </c>
      <c r="N86" s="69">
        <f t="shared" si="36"/>
        <v>1</v>
      </c>
      <c r="O86" s="69">
        <f t="shared" si="37"/>
        <v>1</v>
      </c>
      <c r="P86" s="69">
        <f t="shared" si="38"/>
        <v>1</v>
      </c>
      <c r="Q86" s="69">
        <f t="shared" si="39"/>
        <v>1</v>
      </c>
      <c r="R86" s="70">
        <f t="shared" si="40"/>
        <v>1.3862943611198906</v>
      </c>
      <c r="S86" s="70">
        <f t="shared" si="41"/>
        <v>1.3862943611198906</v>
      </c>
      <c r="T86" s="70">
        <f t="shared" si="42"/>
        <v>1.3555561428391913</v>
      </c>
      <c r="U86" s="70">
        <f t="shared" si="43"/>
        <v>1.3555561428391913</v>
      </c>
      <c r="V86" s="70">
        <f t="shared" si="44"/>
        <v>1.1180339887498949</v>
      </c>
      <c r="W86" s="70">
        <f t="shared" si="45"/>
        <v>1.1180339887498949</v>
      </c>
      <c r="X86" s="70">
        <f t="shared" si="46"/>
        <v>0</v>
      </c>
      <c r="Y86" s="70">
        <f t="shared" si="47"/>
        <v>1.5811388300841898</v>
      </c>
      <c r="Z86" s="70">
        <f t="shared" si="48"/>
        <v>0</v>
      </c>
      <c r="AA86" s="69" t="str">
        <f t="shared" si="49"/>
        <v>Negligible</v>
      </c>
      <c r="AB86" s="69" t="str">
        <f t="shared" si="50"/>
        <v>Tidak Ada Indikasi Bias</v>
      </c>
    </row>
    <row r="87" spans="1:28" ht="50" x14ac:dyDescent="0.35">
      <c r="A87" s="98" t="str">
        <f>'IMR (Soal Baru)'!A81</f>
        <v>77. Bentuk penilaian hasil belajar dapat berupa penilaian formatif dan sumatif, tujuan penilaian formatif adalah sebagai berikut, kecuali …</v>
      </c>
      <c r="B87" s="69">
        <f>'IMR (Soal Baru)'!B81</f>
        <v>0</v>
      </c>
      <c r="C87" s="69">
        <f>'IMR (Soal Baru)'!C81</f>
        <v>0</v>
      </c>
      <c r="D87" s="69">
        <f>'IMR (Soal Baru)'!D81</f>
        <v>0</v>
      </c>
      <c r="E87" s="69">
        <f>'IMR (Soal Baru)'!E81</f>
        <v>0</v>
      </c>
      <c r="F87" s="69">
        <f>'IMR (Soal Baru)'!F81</f>
        <v>0</v>
      </c>
      <c r="G87" s="69">
        <f>'IMR (Soal Baru)'!G81</f>
        <v>1</v>
      </c>
      <c r="H87" s="69">
        <f>'IMR (Soal Baru)'!H81</f>
        <v>0</v>
      </c>
      <c r="I87" s="69">
        <f>'IMR (Soal Baru)'!I81</f>
        <v>0</v>
      </c>
      <c r="J87" s="69">
        <f>'IMR (Soal Baru)'!J81</f>
        <v>0</v>
      </c>
      <c r="K87" s="69">
        <f>'IMR (Soal Baru)'!K81</f>
        <v>1</v>
      </c>
      <c r="L87" s="69">
        <f t="shared" si="34"/>
        <v>5</v>
      </c>
      <c r="M87" s="69">
        <f t="shared" si="35"/>
        <v>5</v>
      </c>
      <c r="N87" s="69">
        <f t="shared" si="36"/>
        <v>1</v>
      </c>
      <c r="O87" s="69">
        <f t="shared" si="37"/>
        <v>1</v>
      </c>
      <c r="P87" s="69">
        <f t="shared" si="38"/>
        <v>1</v>
      </c>
      <c r="Q87" s="69">
        <f t="shared" si="39"/>
        <v>1</v>
      </c>
      <c r="R87" s="70">
        <f t="shared" si="40"/>
        <v>1.3862943611198906</v>
      </c>
      <c r="S87" s="70">
        <f t="shared" si="41"/>
        <v>1.3862943611198906</v>
      </c>
      <c r="T87" s="70">
        <f t="shared" si="42"/>
        <v>1.3555561428391913</v>
      </c>
      <c r="U87" s="70">
        <f t="shared" si="43"/>
        <v>1.3555561428391913</v>
      </c>
      <c r="V87" s="70">
        <f t="shared" si="44"/>
        <v>1.1180339887498949</v>
      </c>
      <c r="W87" s="70">
        <f t="shared" si="45"/>
        <v>1.1180339887498949</v>
      </c>
      <c r="X87" s="70">
        <f t="shared" si="46"/>
        <v>0</v>
      </c>
      <c r="Y87" s="70">
        <f t="shared" si="47"/>
        <v>1.5811388300841898</v>
      </c>
      <c r="Z87" s="70">
        <f t="shared" si="48"/>
        <v>0</v>
      </c>
      <c r="AA87" s="69" t="str">
        <f t="shared" si="49"/>
        <v>Negligible</v>
      </c>
      <c r="AB87" s="69" t="str">
        <f t="shared" si="50"/>
        <v>Tidak Ada Indikasi Bias</v>
      </c>
    </row>
    <row r="88" spans="1:28" ht="87.5" x14ac:dyDescent="0.35">
      <c r="A88" s="98" t="str">
        <f>'IMR (Soal Baru)'!A82</f>
        <v>78. Standar pengelolaan memuat kriteria minimal mengenai perencanaan, pelaksanaan, serta pengawasan kegiatan pendidikan untuk mencapai standar kompetensi lulusan. pelaksanaan kegiatan pendidikan minimal meliputi pengelolaan sebagai berikut, kecuali …</v>
      </c>
      <c r="B88" s="69">
        <f>'IMR (Soal Baru)'!B82</f>
        <v>1</v>
      </c>
      <c r="C88" s="69">
        <f>'IMR (Soal Baru)'!C82</f>
        <v>0</v>
      </c>
      <c r="D88" s="69">
        <f>'IMR (Soal Baru)'!D82</f>
        <v>0</v>
      </c>
      <c r="E88" s="69">
        <f>'IMR (Soal Baru)'!E82</f>
        <v>1</v>
      </c>
      <c r="F88" s="69">
        <f>'IMR (Soal Baru)'!F82</f>
        <v>0</v>
      </c>
      <c r="G88" s="69">
        <f>'IMR (Soal Baru)'!G82</f>
        <v>1</v>
      </c>
      <c r="H88" s="69">
        <f>'IMR (Soal Baru)'!H82</f>
        <v>1</v>
      </c>
      <c r="I88" s="69">
        <f>'IMR (Soal Baru)'!I82</f>
        <v>0</v>
      </c>
      <c r="J88" s="69">
        <f>'IMR (Soal Baru)'!J82</f>
        <v>1</v>
      </c>
      <c r="K88" s="69">
        <f>'IMR (Soal Baru)'!K82</f>
        <v>1</v>
      </c>
      <c r="L88" s="69">
        <f t="shared" si="34"/>
        <v>5</v>
      </c>
      <c r="M88" s="69">
        <f t="shared" si="35"/>
        <v>5</v>
      </c>
      <c r="N88" s="69">
        <f t="shared" si="36"/>
        <v>3</v>
      </c>
      <c r="O88" s="69">
        <f t="shared" si="37"/>
        <v>3</v>
      </c>
      <c r="P88" s="69">
        <f t="shared" si="38"/>
        <v>3</v>
      </c>
      <c r="Q88" s="69">
        <f t="shared" si="39"/>
        <v>3</v>
      </c>
      <c r="R88" s="70">
        <f t="shared" si="40"/>
        <v>-0.40546510810816444</v>
      </c>
      <c r="S88" s="70">
        <f t="shared" si="41"/>
        <v>-0.40546510810816444</v>
      </c>
      <c r="T88" s="70">
        <f t="shared" si="42"/>
        <v>-0.43620332638886361</v>
      </c>
      <c r="U88" s="70">
        <f t="shared" si="43"/>
        <v>-0.43620332638886361</v>
      </c>
      <c r="V88" s="70">
        <f t="shared" si="44"/>
        <v>0.91287092917527679</v>
      </c>
      <c r="W88" s="70">
        <f t="shared" si="45"/>
        <v>0.91287092917527679</v>
      </c>
      <c r="X88" s="70">
        <f t="shared" si="46"/>
        <v>0</v>
      </c>
      <c r="Y88" s="70">
        <f t="shared" si="47"/>
        <v>1.2909944487358056</v>
      </c>
      <c r="Z88" s="70">
        <f t="shared" si="48"/>
        <v>0</v>
      </c>
      <c r="AA88" s="69" t="str">
        <f t="shared" si="49"/>
        <v>Negligible</v>
      </c>
      <c r="AB88" s="69" t="str">
        <f t="shared" si="50"/>
        <v>Tidak Ada Indikasi Bias</v>
      </c>
    </row>
    <row r="89" spans="1:28" ht="87.5" x14ac:dyDescent="0.35">
      <c r="A89" s="98" t="str">
        <f>'IMR (Soal Baru)'!A83</f>
        <v>79. Standar pengelolaan memuat kriteria minimal mengenai perencanaan, pelaksanaan, serta pengawasan kegiatan pendidikan untuk mencapai standar kompetensi lulusan. Pengawasan kegiatan pendidikan minimal meliputi pengawasan sebagai berikut, kecuali …</v>
      </c>
      <c r="B89" s="69">
        <f>'IMR (Soal Baru)'!B83</f>
        <v>0</v>
      </c>
      <c r="C89" s="69">
        <f>'IMR (Soal Baru)'!C83</f>
        <v>1</v>
      </c>
      <c r="D89" s="69">
        <f>'IMR (Soal Baru)'!D83</f>
        <v>0</v>
      </c>
      <c r="E89" s="69">
        <f>'IMR (Soal Baru)'!E83</f>
        <v>0</v>
      </c>
      <c r="F89" s="69">
        <f>'IMR (Soal Baru)'!F83</f>
        <v>0</v>
      </c>
      <c r="G89" s="69">
        <f>'IMR (Soal Baru)'!G83</f>
        <v>0</v>
      </c>
      <c r="H89" s="69">
        <f>'IMR (Soal Baru)'!H83</f>
        <v>1</v>
      </c>
      <c r="I89" s="69">
        <f>'IMR (Soal Baru)'!I83</f>
        <v>0</v>
      </c>
      <c r="J89" s="69">
        <f>'IMR (Soal Baru)'!J83</f>
        <v>1</v>
      </c>
      <c r="K89" s="69">
        <f>'IMR (Soal Baru)'!K83</f>
        <v>1</v>
      </c>
      <c r="L89" s="69">
        <f t="shared" si="34"/>
        <v>5</v>
      </c>
      <c r="M89" s="69">
        <f t="shared" si="35"/>
        <v>5</v>
      </c>
      <c r="N89" s="69">
        <f t="shared" si="36"/>
        <v>2</v>
      </c>
      <c r="O89" s="69">
        <f t="shared" si="37"/>
        <v>2</v>
      </c>
      <c r="P89" s="69">
        <f t="shared" si="38"/>
        <v>2</v>
      </c>
      <c r="Q89" s="69">
        <f t="shared" si="39"/>
        <v>2</v>
      </c>
      <c r="R89" s="70">
        <f t="shared" si="40"/>
        <v>0.40546510810816438</v>
      </c>
      <c r="S89" s="70">
        <f t="shared" si="41"/>
        <v>0.40546510810816438</v>
      </c>
      <c r="T89" s="70">
        <f t="shared" si="42"/>
        <v>0.37472688982746521</v>
      </c>
      <c r="U89" s="70">
        <f t="shared" si="43"/>
        <v>0.37472688982746521</v>
      </c>
      <c r="V89" s="70">
        <f t="shared" si="44"/>
        <v>0.91287092917527679</v>
      </c>
      <c r="W89" s="70">
        <f t="shared" si="45"/>
        <v>0.91287092917527679</v>
      </c>
      <c r="X89" s="70">
        <f t="shared" si="46"/>
        <v>0</v>
      </c>
      <c r="Y89" s="70">
        <f t="shared" si="47"/>
        <v>1.2909944487358056</v>
      </c>
      <c r="Z89" s="70">
        <f t="shared" si="48"/>
        <v>0</v>
      </c>
      <c r="AA89" s="69" t="str">
        <f t="shared" si="49"/>
        <v>Negligible</v>
      </c>
      <c r="AB89" s="69" t="str">
        <f t="shared" si="50"/>
        <v>Tidak Ada Indikasi Bias</v>
      </c>
    </row>
    <row r="90" spans="1:28" ht="25" x14ac:dyDescent="0.35">
      <c r="A90" s="98" t="str">
        <f>'IMR (Soal Baru)'!A84</f>
        <v>80. Dalam melaksanakan penelitian, perguran tingi harus menetapkan …</v>
      </c>
      <c r="B90" s="69">
        <f>'IMR (Soal Baru)'!B84</f>
        <v>0</v>
      </c>
      <c r="C90" s="69">
        <f>'IMR (Soal Baru)'!C84</f>
        <v>0</v>
      </c>
      <c r="D90" s="69">
        <f>'IMR (Soal Baru)'!D84</f>
        <v>0</v>
      </c>
      <c r="E90" s="69">
        <f>'IMR (Soal Baru)'!E84</f>
        <v>1</v>
      </c>
      <c r="F90" s="69">
        <f>'IMR (Soal Baru)'!F84</f>
        <v>0</v>
      </c>
      <c r="G90" s="69">
        <f>'IMR (Soal Baru)'!G84</f>
        <v>1</v>
      </c>
      <c r="H90" s="69">
        <f>'IMR (Soal Baru)'!H84</f>
        <v>0</v>
      </c>
      <c r="I90" s="69">
        <f>'IMR (Soal Baru)'!I84</f>
        <v>1</v>
      </c>
      <c r="J90" s="69">
        <f>'IMR (Soal Baru)'!J84</f>
        <v>0</v>
      </c>
      <c r="K90" s="69">
        <f>'IMR (Soal Baru)'!K84</f>
        <v>1</v>
      </c>
      <c r="L90" s="69">
        <f t="shared" si="34"/>
        <v>5</v>
      </c>
      <c r="M90" s="69">
        <f t="shared" si="35"/>
        <v>5</v>
      </c>
      <c r="N90" s="69">
        <f t="shared" si="36"/>
        <v>2</v>
      </c>
      <c r="O90" s="69">
        <f t="shared" si="37"/>
        <v>2</v>
      </c>
      <c r="P90" s="69">
        <f t="shared" si="38"/>
        <v>2</v>
      </c>
      <c r="Q90" s="69">
        <f t="shared" si="39"/>
        <v>2</v>
      </c>
      <c r="R90" s="70">
        <f t="shared" si="40"/>
        <v>0.40546510810816438</v>
      </c>
      <c r="S90" s="70">
        <f t="shared" si="41"/>
        <v>0.40546510810816438</v>
      </c>
      <c r="T90" s="70">
        <f t="shared" si="42"/>
        <v>0.37472688982746521</v>
      </c>
      <c r="U90" s="70">
        <f t="shared" si="43"/>
        <v>0.37472688982746521</v>
      </c>
      <c r="V90" s="70">
        <f t="shared" si="44"/>
        <v>0.91287092917527679</v>
      </c>
      <c r="W90" s="70">
        <f t="shared" si="45"/>
        <v>0.91287092917527679</v>
      </c>
      <c r="X90" s="70">
        <f t="shared" si="46"/>
        <v>0</v>
      </c>
      <c r="Y90" s="70">
        <f t="shared" si="47"/>
        <v>1.2909944487358056</v>
      </c>
      <c r="Z90" s="70">
        <f t="shared" si="48"/>
        <v>0</v>
      </c>
      <c r="AA90" s="69" t="str">
        <f t="shared" si="49"/>
        <v>Negligible</v>
      </c>
      <c r="AB90" s="69" t="str">
        <f t="shared" si="50"/>
        <v>Tidak Ada Indikasi Bias</v>
      </c>
    </row>
    <row r="91" spans="1:28" ht="37.5" customHeight="1" x14ac:dyDescent="0.35">
      <c r="A91" s="98" t="str">
        <f>'IMR (Soal Baru)'!A85</f>
        <v>81. Untuk memastikan ketersediaan pendanaan secara berkelanjutan, organisasi harus menyusun …</v>
      </c>
      <c r="B91" s="69">
        <f>'IMR (Soal Baru)'!B85</f>
        <v>0</v>
      </c>
      <c r="C91" s="69">
        <f>'IMR (Soal Baru)'!C85</f>
        <v>1</v>
      </c>
      <c r="D91" s="69">
        <f>'IMR (Soal Baru)'!D85</f>
        <v>1</v>
      </c>
      <c r="E91" s="69">
        <f>'IMR (Soal Baru)'!E85</f>
        <v>0</v>
      </c>
      <c r="F91" s="69">
        <f>'IMR (Soal Baru)'!F85</f>
        <v>0</v>
      </c>
      <c r="G91" s="69">
        <f>'IMR (Soal Baru)'!G85</f>
        <v>0</v>
      </c>
      <c r="H91" s="69">
        <f>'IMR (Soal Baru)'!H85</f>
        <v>0</v>
      </c>
      <c r="I91" s="69">
        <f>'IMR (Soal Baru)'!I85</f>
        <v>0</v>
      </c>
      <c r="J91" s="69">
        <f>'IMR (Soal Baru)'!J85</f>
        <v>0</v>
      </c>
      <c r="K91" s="69">
        <f>'IMR (Soal Baru)'!K85</f>
        <v>0</v>
      </c>
      <c r="L91" s="69">
        <f t="shared" si="34"/>
        <v>5</v>
      </c>
      <c r="M91" s="69">
        <f t="shared" si="35"/>
        <v>5</v>
      </c>
      <c r="N91" s="69">
        <f t="shared" si="36"/>
        <v>1</v>
      </c>
      <c r="O91" s="69">
        <f t="shared" si="37"/>
        <v>1</v>
      </c>
      <c r="P91" s="69">
        <f t="shared" si="38"/>
        <v>1</v>
      </c>
      <c r="Q91" s="69">
        <f t="shared" si="39"/>
        <v>1</v>
      </c>
      <c r="R91" s="70">
        <f t="shared" si="40"/>
        <v>1.3862943611198906</v>
      </c>
      <c r="S91" s="70">
        <f t="shared" si="41"/>
        <v>1.3862943611198906</v>
      </c>
      <c r="T91" s="70">
        <f t="shared" si="42"/>
        <v>1.3555561428391913</v>
      </c>
      <c r="U91" s="70">
        <f t="shared" si="43"/>
        <v>1.3555561428391913</v>
      </c>
      <c r="V91" s="70">
        <f t="shared" si="44"/>
        <v>1.1180339887498949</v>
      </c>
      <c r="W91" s="70">
        <f t="shared" si="45"/>
        <v>1.1180339887498949</v>
      </c>
      <c r="X91" s="70">
        <f t="shared" si="46"/>
        <v>0</v>
      </c>
      <c r="Y91" s="70">
        <f t="shared" si="47"/>
        <v>1.5811388300841898</v>
      </c>
      <c r="Z91" s="70">
        <f t="shared" si="48"/>
        <v>0</v>
      </c>
      <c r="AA91" s="69" t="str">
        <f t="shared" si="49"/>
        <v>Negligible</v>
      </c>
      <c r="AB91" s="69" t="str">
        <f t="shared" si="50"/>
        <v>Tidak Ada Indikasi Bias</v>
      </c>
    </row>
    <row r="92" spans="1:28" ht="25" x14ac:dyDescent="0.35">
      <c r="A92" s="98" t="str">
        <f>'IMR (Soal Baru)'!A86</f>
        <v>82. Siapa yang bertugas menyusun kompetensi utama lulusan?</v>
      </c>
      <c r="B92" s="69">
        <f>'IMR (Soal Baru)'!B86</f>
        <v>0</v>
      </c>
      <c r="C92" s="69">
        <f>'IMR (Soal Baru)'!C86</f>
        <v>0</v>
      </c>
      <c r="D92" s="69">
        <f>'IMR (Soal Baru)'!D86</f>
        <v>0</v>
      </c>
      <c r="E92" s="69">
        <f>'IMR (Soal Baru)'!E86</f>
        <v>0</v>
      </c>
      <c r="F92" s="69">
        <f>'IMR (Soal Baru)'!F86</f>
        <v>0</v>
      </c>
      <c r="G92" s="69">
        <f>'IMR (Soal Baru)'!G86</f>
        <v>0</v>
      </c>
      <c r="H92" s="69">
        <f>'IMR (Soal Baru)'!H86</f>
        <v>1</v>
      </c>
      <c r="I92" s="69">
        <f>'IMR (Soal Baru)'!I86</f>
        <v>0</v>
      </c>
      <c r="J92" s="69">
        <f>'IMR (Soal Baru)'!J86</f>
        <v>0</v>
      </c>
      <c r="K92" s="69">
        <f>'IMR (Soal Baru)'!K86</f>
        <v>1</v>
      </c>
      <c r="L92" s="69">
        <f t="shared" si="34"/>
        <v>5</v>
      </c>
      <c r="M92" s="69">
        <f t="shared" si="35"/>
        <v>5</v>
      </c>
      <c r="N92" s="69">
        <f t="shared" si="36"/>
        <v>1</v>
      </c>
      <c r="O92" s="69">
        <f t="shared" si="37"/>
        <v>1</v>
      </c>
      <c r="P92" s="69">
        <f t="shared" si="38"/>
        <v>1</v>
      </c>
      <c r="Q92" s="69">
        <f t="shared" si="39"/>
        <v>1</v>
      </c>
      <c r="R92" s="70">
        <f t="shared" si="40"/>
        <v>1.3862943611198906</v>
      </c>
      <c r="S92" s="70">
        <f t="shared" si="41"/>
        <v>1.3862943611198906</v>
      </c>
      <c r="T92" s="70">
        <f t="shared" si="42"/>
        <v>1.3555561428391913</v>
      </c>
      <c r="U92" s="70">
        <f t="shared" si="43"/>
        <v>1.3555561428391913</v>
      </c>
      <c r="V92" s="70">
        <f t="shared" si="44"/>
        <v>1.1180339887498949</v>
      </c>
      <c r="W92" s="70">
        <f t="shared" si="45"/>
        <v>1.1180339887498949</v>
      </c>
      <c r="X92" s="70">
        <f t="shared" si="46"/>
        <v>0</v>
      </c>
      <c r="Y92" s="70">
        <f t="shared" si="47"/>
        <v>1.5811388300841898</v>
      </c>
      <c r="Z92" s="70">
        <f t="shared" si="48"/>
        <v>0</v>
      </c>
      <c r="AA92" s="69" t="str">
        <f t="shared" si="49"/>
        <v>Negligible</v>
      </c>
      <c r="AB92" s="69" t="str">
        <f t="shared" si="50"/>
        <v>Tidak Ada Indikasi Bias</v>
      </c>
    </row>
    <row r="93" spans="1:28" ht="37.5" x14ac:dyDescent="0.35">
      <c r="A93" s="98" t="str">
        <f>'IMR (Soal Baru)'!A87</f>
        <v>83. Organisasi pendidikan harus memastikan ketertelusuran layanan yang terdiri dari …</v>
      </c>
      <c r="B93" s="69">
        <f>'IMR (Soal Baru)'!B87</f>
        <v>1</v>
      </c>
      <c r="C93" s="69">
        <f>'IMR (Soal Baru)'!C87</f>
        <v>1</v>
      </c>
      <c r="D93" s="69">
        <f>'IMR (Soal Baru)'!D87</f>
        <v>1</v>
      </c>
      <c r="E93" s="69">
        <f>'IMR (Soal Baru)'!E87</f>
        <v>1</v>
      </c>
      <c r="F93" s="69">
        <f>'IMR (Soal Baru)'!F87</f>
        <v>1</v>
      </c>
      <c r="G93" s="69">
        <f>'IMR (Soal Baru)'!G87</f>
        <v>1</v>
      </c>
      <c r="H93" s="69">
        <f>'IMR (Soal Baru)'!H87</f>
        <v>0</v>
      </c>
      <c r="I93" s="69">
        <f>'IMR (Soal Baru)'!I87</f>
        <v>0</v>
      </c>
      <c r="J93" s="69">
        <f>'IMR (Soal Baru)'!J87</f>
        <v>0</v>
      </c>
      <c r="K93" s="69">
        <f>'IMR (Soal Baru)'!K87</f>
        <v>0</v>
      </c>
      <c r="L93" s="69">
        <f t="shared" si="34"/>
        <v>5</v>
      </c>
      <c r="M93" s="69">
        <f t="shared" si="35"/>
        <v>5</v>
      </c>
      <c r="N93" s="69">
        <f t="shared" si="36"/>
        <v>3</v>
      </c>
      <c r="O93" s="69">
        <f t="shared" si="37"/>
        <v>3</v>
      </c>
      <c r="P93" s="69">
        <f t="shared" si="38"/>
        <v>3</v>
      </c>
      <c r="Q93" s="69">
        <f t="shared" si="39"/>
        <v>3</v>
      </c>
      <c r="R93" s="70">
        <f t="shared" si="40"/>
        <v>-0.40546510810816444</v>
      </c>
      <c r="S93" s="70">
        <f t="shared" si="41"/>
        <v>-0.40546510810816444</v>
      </c>
      <c r="T93" s="70">
        <f t="shared" si="42"/>
        <v>-0.43620332638886361</v>
      </c>
      <c r="U93" s="70">
        <f t="shared" si="43"/>
        <v>-0.43620332638886361</v>
      </c>
      <c r="V93" s="70">
        <f t="shared" si="44"/>
        <v>0.91287092917527679</v>
      </c>
      <c r="W93" s="70">
        <f t="shared" si="45"/>
        <v>0.91287092917527679</v>
      </c>
      <c r="X93" s="70">
        <f t="shared" si="46"/>
        <v>0</v>
      </c>
      <c r="Y93" s="70">
        <f t="shared" si="47"/>
        <v>1.2909944487358056</v>
      </c>
      <c r="Z93" s="70">
        <f t="shared" si="48"/>
        <v>0</v>
      </c>
      <c r="AA93" s="69" t="str">
        <f t="shared" si="49"/>
        <v>Negligible</v>
      </c>
      <c r="AB93" s="69" t="str">
        <f t="shared" si="50"/>
        <v>Tidak Ada Indikasi Bias</v>
      </c>
    </row>
    <row r="94" spans="1:28" ht="62.5" x14ac:dyDescent="0.35">
      <c r="A94" s="98" t="str">
        <f>'IMR (Soal Baru)'!A88</f>
        <v>84. Untuk mengendalikan proses, produk, maupun layanan yang disediakan pihak eksternal, maka organisasi harus memberikan informasi kepada pihak eksternal antara lain …</v>
      </c>
      <c r="B94" s="69">
        <f>'IMR (Soal Baru)'!B88</f>
        <v>1</v>
      </c>
      <c r="C94" s="69">
        <f>'IMR (Soal Baru)'!C88</f>
        <v>0</v>
      </c>
      <c r="D94" s="69">
        <f>'IMR (Soal Baru)'!D88</f>
        <v>1</v>
      </c>
      <c r="E94" s="69">
        <f>'IMR (Soal Baru)'!E88</f>
        <v>1</v>
      </c>
      <c r="F94" s="69">
        <f>'IMR (Soal Baru)'!F88</f>
        <v>0</v>
      </c>
      <c r="G94" s="69">
        <f>'IMR (Soal Baru)'!G88</f>
        <v>1</v>
      </c>
      <c r="H94" s="69">
        <f>'IMR (Soal Baru)'!H88</f>
        <v>0</v>
      </c>
      <c r="I94" s="69">
        <f>'IMR (Soal Baru)'!I88</f>
        <v>0</v>
      </c>
      <c r="J94" s="69">
        <f>'IMR (Soal Baru)'!J88</f>
        <v>0</v>
      </c>
      <c r="K94" s="69">
        <f>'IMR (Soal Baru)'!K88</f>
        <v>0</v>
      </c>
      <c r="L94" s="69">
        <f t="shared" si="34"/>
        <v>5</v>
      </c>
      <c r="M94" s="69">
        <f t="shared" si="35"/>
        <v>5</v>
      </c>
      <c r="N94" s="69">
        <f t="shared" si="36"/>
        <v>2</v>
      </c>
      <c r="O94" s="69">
        <f t="shared" si="37"/>
        <v>2</v>
      </c>
      <c r="P94" s="69">
        <f t="shared" si="38"/>
        <v>2</v>
      </c>
      <c r="Q94" s="69">
        <f t="shared" si="39"/>
        <v>2</v>
      </c>
      <c r="R94" s="70">
        <f t="shared" si="40"/>
        <v>0.40546510810816438</v>
      </c>
      <c r="S94" s="70">
        <f t="shared" si="41"/>
        <v>0.40546510810816438</v>
      </c>
      <c r="T94" s="70">
        <f t="shared" si="42"/>
        <v>0.37472688982746521</v>
      </c>
      <c r="U94" s="70">
        <f t="shared" si="43"/>
        <v>0.37472688982746521</v>
      </c>
      <c r="V94" s="70">
        <f t="shared" si="44"/>
        <v>0.91287092917527679</v>
      </c>
      <c r="W94" s="70">
        <f t="shared" si="45"/>
        <v>0.91287092917527679</v>
      </c>
      <c r="X94" s="70">
        <f t="shared" si="46"/>
        <v>0</v>
      </c>
      <c r="Y94" s="70">
        <f t="shared" si="47"/>
        <v>1.2909944487358056</v>
      </c>
      <c r="Z94" s="70">
        <f t="shared" si="48"/>
        <v>0</v>
      </c>
      <c r="AA94" s="69" t="str">
        <f t="shared" si="49"/>
        <v>Negligible</v>
      </c>
      <c r="AB94" s="69" t="str">
        <f t="shared" si="50"/>
        <v>Tidak Ada Indikasi Bias</v>
      </c>
    </row>
    <row r="95" spans="1:28" ht="37.5" x14ac:dyDescent="0.35">
      <c r="A95" s="98" t="str">
        <f>'IMR (Soal Baru)'!A89</f>
        <v>85. Dalam memenuhi persyaratan dari peserta didik berkebutuhan khusus, organisasi pendidikan harus …</v>
      </c>
      <c r="B95" s="69">
        <f>'IMR (Soal Baru)'!B89</f>
        <v>1</v>
      </c>
      <c r="C95" s="69">
        <f>'IMR (Soal Baru)'!C89</f>
        <v>0</v>
      </c>
      <c r="D95" s="69">
        <f>'IMR (Soal Baru)'!D89</f>
        <v>1</v>
      </c>
      <c r="E95" s="69">
        <f>'IMR (Soal Baru)'!E89</f>
        <v>1</v>
      </c>
      <c r="F95" s="69">
        <f>'IMR (Soal Baru)'!F89</f>
        <v>1</v>
      </c>
      <c r="G95" s="69">
        <f>'IMR (Soal Baru)'!G89</f>
        <v>1</v>
      </c>
      <c r="H95" s="69">
        <f>'IMR (Soal Baru)'!H89</f>
        <v>0</v>
      </c>
      <c r="I95" s="69">
        <f>'IMR (Soal Baru)'!I89</f>
        <v>1</v>
      </c>
      <c r="J95" s="69">
        <f>'IMR (Soal Baru)'!J89</f>
        <v>0</v>
      </c>
      <c r="K95" s="69">
        <f>'IMR (Soal Baru)'!K89</f>
        <v>0</v>
      </c>
      <c r="L95" s="69">
        <f t="shared" si="34"/>
        <v>5</v>
      </c>
      <c r="M95" s="69">
        <f t="shared" si="35"/>
        <v>5</v>
      </c>
      <c r="N95" s="69">
        <f t="shared" si="36"/>
        <v>3</v>
      </c>
      <c r="O95" s="69">
        <f t="shared" si="37"/>
        <v>3</v>
      </c>
      <c r="P95" s="69">
        <f t="shared" si="38"/>
        <v>3</v>
      </c>
      <c r="Q95" s="69">
        <f t="shared" si="39"/>
        <v>3</v>
      </c>
      <c r="R95" s="70">
        <f t="shared" si="40"/>
        <v>-0.40546510810816444</v>
      </c>
      <c r="S95" s="70">
        <f t="shared" si="41"/>
        <v>-0.40546510810816444</v>
      </c>
      <c r="T95" s="70">
        <f t="shared" si="42"/>
        <v>-0.43620332638886361</v>
      </c>
      <c r="U95" s="70">
        <f t="shared" si="43"/>
        <v>-0.43620332638886361</v>
      </c>
      <c r="V95" s="70">
        <f t="shared" si="44"/>
        <v>0.91287092917527679</v>
      </c>
      <c r="W95" s="70">
        <f t="shared" si="45"/>
        <v>0.91287092917527679</v>
      </c>
      <c r="X95" s="70">
        <f t="shared" si="46"/>
        <v>0</v>
      </c>
      <c r="Y95" s="70">
        <f t="shared" si="47"/>
        <v>1.2909944487358056</v>
      </c>
      <c r="Z95" s="70">
        <f t="shared" si="48"/>
        <v>0</v>
      </c>
      <c r="AA95" s="69" t="str">
        <f t="shared" si="49"/>
        <v>Negligible</v>
      </c>
      <c r="AB95" s="69" t="str">
        <f t="shared" si="50"/>
        <v>Tidak Ada Indikasi Bias</v>
      </c>
    </row>
    <row r="96" spans="1:28" ht="37.5" x14ac:dyDescent="0.35">
      <c r="A96" s="98" t="str">
        <f>'IMR (Soal Baru)'!A90</f>
        <v>86. Untuk mengendalikan layanan yang diberikan oleh pihak eksternal, organisasi pendidikan harus …</v>
      </c>
      <c r="B96" s="69">
        <f>'IMR (Soal Baru)'!B90</f>
        <v>0</v>
      </c>
      <c r="C96" s="69">
        <f>'IMR (Soal Baru)'!C90</f>
        <v>0</v>
      </c>
      <c r="D96" s="69">
        <f>'IMR (Soal Baru)'!D90</f>
        <v>0</v>
      </c>
      <c r="E96" s="69">
        <f>'IMR (Soal Baru)'!E90</f>
        <v>0</v>
      </c>
      <c r="F96" s="69">
        <f>'IMR (Soal Baru)'!F90</f>
        <v>0</v>
      </c>
      <c r="G96" s="69">
        <f>'IMR (Soal Baru)'!G90</f>
        <v>1</v>
      </c>
      <c r="H96" s="69">
        <f>'IMR (Soal Baru)'!H90</f>
        <v>1</v>
      </c>
      <c r="I96" s="69">
        <f>'IMR (Soal Baru)'!I90</f>
        <v>0</v>
      </c>
      <c r="J96" s="69">
        <f>'IMR (Soal Baru)'!J90</f>
        <v>1</v>
      </c>
      <c r="K96" s="69">
        <f>'IMR (Soal Baru)'!K90</f>
        <v>1</v>
      </c>
      <c r="L96" s="69">
        <f t="shared" si="34"/>
        <v>5</v>
      </c>
      <c r="M96" s="69">
        <f t="shared" si="35"/>
        <v>5</v>
      </c>
      <c r="N96" s="69">
        <f t="shared" si="36"/>
        <v>2</v>
      </c>
      <c r="O96" s="69">
        <f t="shared" si="37"/>
        <v>2</v>
      </c>
      <c r="P96" s="69">
        <f t="shared" si="38"/>
        <v>2</v>
      </c>
      <c r="Q96" s="69">
        <f t="shared" si="39"/>
        <v>2</v>
      </c>
      <c r="R96" s="70">
        <f t="shared" si="40"/>
        <v>0.40546510810816438</v>
      </c>
      <c r="S96" s="70">
        <f t="shared" si="41"/>
        <v>0.40546510810816438</v>
      </c>
      <c r="T96" s="70">
        <f t="shared" si="42"/>
        <v>0.37472688982746521</v>
      </c>
      <c r="U96" s="70">
        <f t="shared" si="43"/>
        <v>0.37472688982746521</v>
      </c>
      <c r="V96" s="70">
        <f t="shared" si="44"/>
        <v>0.91287092917527679</v>
      </c>
      <c r="W96" s="70">
        <f t="shared" si="45"/>
        <v>0.91287092917527679</v>
      </c>
      <c r="X96" s="70">
        <f t="shared" si="46"/>
        <v>0</v>
      </c>
      <c r="Y96" s="70">
        <f t="shared" si="47"/>
        <v>1.2909944487358056</v>
      </c>
      <c r="Z96" s="70">
        <f t="shared" si="48"/>
        <v>0</v>
      </c>
      <c r="AA96" s="69" t="str">
        <f t="shared" si="49"/>
        <v>Negligible</v>
      </c>
      <c r="AB96" s="69" t="str">
        <f t="shared" si="50"/>
        <v>Tidak Ada Indikasi Bias</v>
      </c>
    </row>
    <row r="97" spans="1:28" ht="37.5" customHeight="1" x14ac:dyDescent="0.35">
      <c r="A97" s="98" t="str">
        <f>'IMR (Soal Baru)'!A91</f>
        <v>87. Organsiasi pendidikan harus melakukan pemantauan, pengukuran, dan evaluasi efektivitas penerapan standar. Dalam kasus integrasi ISO 21001:2018 dengan SPMI, kriteria yang digunakan untuk menilai efektivitas tersebut tertuang dalam dokumen …</v>
      </c>
      <c r="B97" s="69">
        <f>'IMR (Soal Baru)'!B91</f>
        <v>1</v>
      </c>
      <c r="C97" s="69">
        <f>'IMR (Soal Baru)'!C91</f>
        <v>0</v>
      </c>
      <c r="D97" s="69">
        <f>'IMR (Soal Baru)'!D91</f>
        <v>1</v>
      </c>
      <c r="E97" s="69">
        <f>'IMR (Soal Baru)'!E91</f>
        <v>1</v>
      </c>
      <c r="F97" s="69">
        <f>'IMR (Soal Baru)'!F91</f>
        <v>1</v>
      </c>
      <c r="G97" s="69">
        <f>'IMR (Soal Baru)'!G91</f>
        <v>0</v>
      </c>
      <c r="H97" s="69">
        <f>'IMR (Soal Baru)'!H91</f>
        <v>1</v>
      </c>
      <c r="I97" s="69">
        <f>'IMR (Soal Baru)'!I91</f>
        <v>1</v>
      </c>
      <c r="J97" s="69">
        <f>'IMR (Soal Baru)'!J91</f>
        <v>0</v>
      </c>
      <c r="K97" s="69">
        <f>'IMR (Soal Baru)'!K91</f>
        <v>0</v>
      </c>
      <c r="L97" s="69">
        <f t="shared" si="34"/>
        <v>5</v>
      </c>
      <c r="M97" s="69">
        <f t="shared" si="35"/>
        <v>5</v>
      </c>
      <c r="N97" s="69">
        <f t="shared" si="36"/>
        <v>3</v>
      </c>
      <c r="O97" s="69">
        <f t="shared" si="37"/>
        <v>3</v>
      </c>
      <c r="P97" s="69">
        <f t="shared" si="38"/>
        <v>3</v>
      </c>
      <c r="Q97" s="69">
        <f t="shared" si="39"/>
        <v>3</v>
      </c>
      <c r="R97" s="70">
        <f t="shared" si="40"/>
        <v>-0.40546510810816444</v>
      </c>
      <c r="S97" s="70">
        <f t="shared" si="41"/>
        <v>-0.40546510810816444</v>
      </c>
      <c r="T97" s="70">
        <f t="shared" si="42"/>
        <v>-0.43620332638886361</v>
      </c>
      <c r="U97" s="70">
        <f t="shared" si="43"/>
        <v>-0.43620332638886361</v>
      </c>
      <c r="V97" s="70">
        <f t="shared" si="44"/>
        <v>0.91287092917527679</v>
      </c>
      <c r="W97" s="70">
        <f t="shared" si="45"/>
        <v>0.91287092917527679</v>
      </c>
      <c r="X97" s="70">
        <f t="shared" si="46"/>
        <v>0</v>
      </c>
      <c r="Y97" s="70">
        <f t="shared" si="47"/>
        <v>1.2909944487358056</v>
      </c>
      <c r="Z97" s="70">
        <f t="shared" si="48"/>
        <v>0</v>
      </c>
      <c r="AA97" s="69" t="str">
        <f t="shared" si="49"/>
        <v>Negligible</v>
      </c>
      <c r="AB97" s="69" t="str">
        <f t="shared" si="50"/>
        <v>Tidak Ada Indikasi Bias</v>
      </c>
    </row>
    <row r="98" spans="1:28" ht="87.5" x14ac:dyDescent="0.35">
      <c r="A98" s="98" t="str">
        <f>'IMR (Soal Baru)'!A92</f>
        <v>88. Organisasi pendidikan harus memantau kepuasan dari pihak berkepentingan. Untuk memperoleh angka kepuasan pihak berkepentingan yang dapat mewakili penilaian dari populasi yang ada, maka metode yang paling tepat adalah …</v>
      </c>
      <c r="B98" s="69">
        <f>'IMR (Soal Baru)'!B92</f>
        <v>1</v>
      </c>
      <c r="C98" s="69">
        <f>'IMR (Soal Baru)'!C92</f>
        <v>1</v>
      </c>
      <c r="D98" s="69">
        <f>'IMR (Soal Baru)'!D92</f>
        <v>1</v>
      </c>
      <c r="E98" s="69">
        <f>'IMR (Soal Baru)'!E92</f>
        <v>1</v>
      </c>
      <c r="F98" s="69">
        <f>'IMR (Soal Baru)'!F92</f>
        <v>0</v>
      </c>
      <c r="G98" s="69">
        <f>'IMR (Soal Baru)'!G92</f>
        <v>0</v>
      </c>
      <c r="H98" s="69">
        <f>'IMR (Soal Baru)'!H92</f>
        <v>0</v>
      </c>
      <c r="I98" s="69">
        <f>'IMR (Soal Baru)'!I92</f>
        <v>0</v>
      </c>
      <c r="J98" s="69">
        <f>'IMR (Soal Baru)'!J92</f>
        <v>0</v>
      </c>
      <c r="K98" s="69">
        <f>'IMR (Soal Baru)'!K92</f>
        <v>0</v>
      </c>
      <c r="L98" s="69">
        <f t="shared" si="34"/>
        <v>5</v>
      </c>
      <c r="M98" s="69">
        <f t="shared" si="35"/>
        <v>5</v>
      </c>
      <c r="N98" s="69">
        <f t="shared" si="36"/>
        <v>2</v>
      </c>
      <c r="O98" s="69">
        <f t="shared" si="37"/>
        <v>2</v>
      </c>
      <c r="P98" s="69">
        <f t="shared" si="38"/>
        <v>2</v>
      </c>
      <c r="Q98" s="69">
        <f t="shared" si="39"/>
        <v>2</v>
      </c>
      <c r="R98" s="70">
        <f t="shared" si="40"/>
        <v>0.40546510810816438</v>
      </c>
      <c r="S98" s="70">
        <f t="shared" si="41"/>
        <v>0.40546510810816438</v>
      </c>
      <c r="T98" s="70">
        <f t="shared" si="42"/>
        <v>0.37472688982746521</v>
      </c>
      <c r="U98" s="70">
        <f t="shared" si="43"/>
        <v>0.37472688982746521</v>
      </c>
      <c r="V98" s="70">
        <f t="shared" si="44"/>
        <v>0.91287092917527679</v>
      </c>
      <c r="W98" s="70">
        <f t="shared" si="45"/>
        <v>0.91287092917527679</v>
      </c>
      <c r="X98" s="70">
        <f t="shared" si="46"/>
        <v>0</v>
      </c>
      <c r="Y98" s="70">
        <f t="shared" si="47"/>
        <v>1.2909944487358056</v>
      </c>
      <c r="Z98" s="70">
        <f t="shared" si="48"/>
        <v>0</v>
      </c>
      <c r="AA98" s="69" t="str">
        <f t="shared" si="49"/>
        <v>Negligible</v>
      </c>
      <c r="AB98" s="69" t="str">
        <f t="shared" si="50"/>
        <v>Tidak Ada Indikasi Bias</v>
      </c>
    </row>
    <row r="99" spans="1:28" ht="62.5" x14ac:dyDescent="0.35">
      <c r="A99" s="98" t="str">
        <f>'IMR (Soal Baru)'!A93</f>
        <v>89. Organisasi pendidikan harus menangani kritik dan saran dari pihak berkepentingan, maka dari itu, organisasi pendidikan harus menetapkan prosedur yang mencakup salah satunya …</v>
      </c>
      <c r="B99" s="69">
        <f>'IMR (Soal Baru)'!B93</f>
        <v>0</v>
      </c>
      <c r="C99" s="69">
        <f>'IMR (Soal Baru)'!C93</f>
        <v>0</v>
      </c>
      <c r="D99" s="69">
        <f>'IMR (Soal Baru)'!D93</f>
        <v>0</v>
      </c>
      <c r="E99" s="69">
        <f>'IMR (Soal Baru)'!E93</f>
        <v>1</v>
      </c>
      <c r="F99" s="69">
        <f>'IMR (Soal Baru)'!F93</f>
        <v>0</v>
      </c>
      <c r="G99" s="69">
        <f>'IMR (Soal Baru)'!G93</f>
        <v>1</v>
      </c>
      <c r="H99" s="69">
        <f>'IMR (Soal Baru)'!H93</f>
        <v>1</v>
      </c>
      <c r="I99" s="69">
        <f>'IMR (Soal Baru)'!I93</f>
        <v>1</v>
      </c>
      <c r="J99" s="69">
        <f>'IMR (Soal Baru)'!J93</f>
        <v>1</v>
      </c>
      <c r="K99" s="69">
        <f>'IMR (Soal Baru)'!K93</f>
        <v>1</v>
      </c>
      <c r="L99" s="69">
        <f t="shared" si="34"/>
        <v>5</v>
      </c>
      <c r="M99" s="69">
        <f t="shared" si="35"/>
        <v>5</v>
      </c>
      <c r="N99" s="69">
        <f t="shared" si="36"/>
        <v>3</v>
      </c>
      <c r="O99" s="69">
        <f t="shared" si="37"/>
        <v>3</v>
      </c>
      <c r="P99" s="69">
        <f t="shared" si="38"/>
        <v>3</v>
      </c>
      <c r="Q99" s="69">
        <f t="shared" si="39"/>
        <v>3</v>
      </c>
      <c r="R99" s="70">
        <f t="shared" si="40"/>
        <v>-0.40546510810816444</v>
      </c>
      <c r="S99" s="70">
        <f t="shared" si="41"/>
        <v>-0.40546510810816444</v>
      </c>
      <c r="T99" s="70">
        <f t="shared" si="42"/>
        <v>-0.43620332638886361</v>
      </c>
      <c r="U99" s="70">
        <f t="shared" si="43"/>
        <v>-0.43620332638886361</v>
      </c>
      <c r="V99" s="70">
        <f t="shared" si="44"/>
        <v>0.91287092917527679</v>
      </c>
      <c r="W99" s="70">
        <f t="shared" si="45"/>
        <v>0.91287092917527679</v>
      </c>
      <c r="X99" s="70">
        <f t="shared" si="46"/>
        <v>0</v>
      </c>
      <c r="Y99" s="70">
        <f t="shared" si="47"/>
        <v>1.2909944487358056</v>
      </c>
      <c r="Z99" s="70">
        <f t="shared" si="48"/>
        <v>0</v>
      </c>
      <c r="AA99" s="69" t="str">
        <f t="shared" si="49"/>
        <v>Negligible</v>
      </c>
      <c r="AB99" s="69" t="str">
        <f t="shared" si="50"/>
        <v>Tidak Ada Indikasi Bias</v>
      </c>
    </row>
    <row r="100" spans="1:28" ht="37.5" customHeight="1" x14ac:dyDescent="0.35">
      <c r="A100" s="98" t="str">
        <f>'IMR (Soal Baru)'!A94</f>
        <v>90. Ketika melakukan audit terhadap penerapan SPMI terintegrasi ISO 21001:2018, apa yang berubah dibandingkan dengan melakukan audit ISO 21001:2018 saja?</v>
      </c>
      <c r="B100" s="69">
        <f>'IMR (Soal Baru)'!B94</f>
        <v>0</v>
      </c>
      <c r="C100" s="69">
        <f>'IMR (Soal Baru)'!C94</f>
        <v>0</v>
      </c>
      <c r="D100" s="69">
        <f>'IMR (Soal Baru)'!D94</f>
        <v>1</v>
      </c>
      <c r="E100" s="69">
        <f>'IMR (Soal Baru)'!E94</f>
        <v>1</v>
      </c>
      <c r="F100" s="69">
        <f>'IMR (Soal Baru)'!F94</f>
        <v>0</v>
      </c>
      <c r="G100" s="69">
        <f>'IMR (Soal Baru)'!G94</f>
        <v>1</v>
      </c>
      <c r="H100" s="69">
        <f>'IMR (Soal Baru)'!H94</f>
        <v>1</v>
      </c>
      <c r="I100" s="69">
        <f>'IMR (Soal Baru)'!I94</f>
        <v>1</v>
      </c>
      <c r="J100" s="69">
        <f>'IMR (Soal Baru)'!J94</f>
        <v>0</v>
      </c>
      <c r="K100" s="69">
        <f>'IMR (Soal Baru)'!K94</f>
        <v>1</v>
      </c>
      <c r="L100" s="69">
        <f t="shared" si="34"/>
        <v>5</v>
      </c>
      <c r="M100" s="69">
        <f t="shared" si="35"/>
        <v>5</v>
      </c>
      <c r="N100" s="69">
        <f t="shared" si="36"/>
        <v>3</v>
      </c>
      <c r="O100" s="69">
        <f t="shared" si="37"/>
        <v>3</v>
      </c>
      <c r="P100" s="69">
        <f t="shared" si="38"/>
        <v>3</v>
      </c>
      <c r="Q100" s="69">
        <f t="shared" si="39"/>
        <v>3</v>
      </c>
      <c r="R100" s="70">
        <f t="shared" si="40"/>
        <v>-0.40546510810816444</v>
      </c>
      <c r="S100" s="70">
        <f t="shared" si="41"/>
        <v>-0.40546510810816444</v>
      </c>
      <c r="T100" s="70">
        <f t="shared" si="42"/>
        <v>-0.43620332638886361</v>
      </c>
      <c r="U100" s="70">
        <f t="shared" si="43"/>
        <v>-0.43620332638886361</v>
      </c>
      <c r="V100" s="70">
        <f t="shared" si="44"/>
        <v>0.91287092917527679</v>
      </c>
      <c r="W100" s="70">
        <f t="shared" si="45"/>
        <v>0.91287092917527679</v>
      </c>
      <c r="X100" s="70">
        <f t="shared" si="46"/>
        <v>0</v>
      </c>
      <c r="Y100" s="70">
        <f t="shared" si="47"/>
        <v>1.2909944487358056</v>
      </c>
      <c r="Z100" s="70">
        <f t="shared" si="48"/>
        <v>0</v>
      </c>
      <c r="AA100" s="69" t="str">
        <f t="shared" si="49"/>
        <v>Negligible</v>
      </c>
      <c r="AB100" s="69" t="str">
        <f t="shared" si="50"/>
        <v>Tidak Ada Indikasi Bias</v>
      </c>
    </row>
    <row r="101" spans="1:28" ht="50" x14ac:dyDescent="0.35">
      <c r="A101" s="98" t="str">
        <f>'IMR (Soal Baru)'!A95</f>
        <v>91. Cara pandang auditor yang tidak memihak dalam melakukan audit, merupakan syarat yang harus dipenuhi auditor untuk …</v>
      </c>
      <c r="B101" s="69">
        <f>'IMR (Soal Baru)'!B95</f>
        <v>0</v>
      </c>
      <c r="C101" s="69">
        <f>'IMR (Soal Baru)'!C95</f>
        <v>0</v>
      </c>
      <c r="D101" s="69">
        <f>'IMR (Soal Baru)'!D95</f>
        <v>0</v>
      </c>
      <c r="E101" s="69">
        <f>'IMR (Soal Baru)'!E95</f>
        <v>0</v>
      </c>
      <c r="F101" s="69">
        <f>'IMR (Soal Baru)'!F95</f>
        <v>0</v>
      </c>
      <c r="G101" s="69">
        <f>'IMR (Soal Baru)'!G95</f>
        <v>1</v>
      </c>
      <c r="H101" s="69">
        <f>'IMR (Soal Baru)'!H95</f>
        <v>0</v>
      </c>
      <c r="I101" s="69">
        <f>'IMR (Soal Baru)'!I95</f>
        <v>1</v>
      </c>
      <c r="J101" s="69">
        <f>'IMR (Soal Baru)'!J95</f>
        <v>1</v>
      </c>
      <c r="K101" s="69">
        <f>'IMR (Soal Baru)'!K95</f>
        <v>1</v>
      </c>
      <c r="L101" s="69">
        <f t="shared" si="34"/>
        <v>5</v>
      </c>
      <c r="M101" s="69">
        <f t="shared" si="35"/>
        <v>5</v>
      </c>
      <c r="N101" s="69">
        <f t="shared" si="36"/>
        <v>2</v>
      </c>
      <c r="O101" s="69">
        <f t="shared" si="37"/>
        <v>2</v>
      </c>
      <c r="P101" s="69">
        <f t="shared" si="38"/>
        <v>2</v>
      </c>
      <c r="Q101" s="69">
        <f t="shared" si="39"/>
        <v>2</v>
      </c>
      <c r="R101" s="70">
        <f t="shared" si="40"/>
        <v>0.40546510810816438</v>
      </c>
      <c r="S101" s="70">
        <f t="shared" si="41"/>
        <v>0.40546510810816438</v>
      </c>
      <c r="T101" s="70">
        <f t="shared" si="42"/>
        <v>0.37472688982746521</v>
      </c>
      <c r="U101" s="70">
        <f t="shared" si="43"/>
        <v>0.37472688982746521</v>
      </c>
      <c r="V101" s="70">
        <f t="shared" si="44"/>
        <v>0.91287092917527679</v>
      </c>
      <c r="W101" s="70">
        <f t="shared" si="45"/>
        <v>0.91287092917527679</v>
      </c>
      <c r="X101" s="70">
        <f t="shared" si="46"/>
        <v>0</v>
      </c>
      <c r="Y101" s="70">
        <f t="shared" si="47"/>
        <v>1.2909944487358056</v>
      </c>
      <c r="Z101" s="70">
        <f t="shared" si="48"/>
        <v>0</v>
      </c>
      <c r="AA101" s="69" t="str">
        <f t="shared" si="49"/>
        <v>Negligible</v>
      </c>
      <c r="AB101" s="69" t="str">
        <f t="shared" si="50"/>
        <v>Tidak Ada Indikasi Bias</v>
      </c>
    </row>
    <row r="102" spans="1:28" ht="62.5" x14ac:dyDescent="0.35">
      <c r="A102" s="98" t="str">
        <f>'IMR (Soal Baru)'!A96</f>
        <v>92. Auditor tidak boleh membiarkan pertimbangan auditnya mendapat pengaruh dari pihak lain, merupakan syarat yang harus dipenuhi auditor untuk …</v>
      </c>
      <c r="B102" s="69">
        <f>'IMR (Soal Baru)'!B96</f>
        <v>1</v>
      </c>
      <c r="C102" s="69">
        <f>'IMR (Soal Baru)'!C96</f>
        <v>1</v>
      </c>
      <c r="D102" s="69">
        <f>'IMR (Soal Baru)'!D96</f>
        <v>1</v>
      </c>
      <c r="E102" s="69">
        <f>'IMR (Soal Baru)'!E96</f>
        <v>1</v>
      </c>
      <c r="F102" s="69">
        <f>'IMR (Soal Baru)'!F96</f>
        <v>1</v>
      </c>
      <c r="G102" s="69">
        <f>'IMR (Soal Baru)'!G96</f>
        <v>0</v>
      </c>
      <c r="H102" s="69">
        <f>'IMR (Soal Baru)'!H96</f>
        <v>1</v>
      </c>
      <c r="I102" s="69">
        <f>'IMR (Soal Baru)'!I96</f>
        <v>1</v>
      </c>
      <c r="J102" s="69">
        <f>'IMR (Soal Baru)'!J96</f>
        <v>1</v>
      </c>
      <c r="K102" s="69">
        <f>'IMR (Soal Baru)'!K96</f>
        <v>0</v>
      </c>
      <c r="L102" s="69">
        <f t="shared" si="34"/>
        <v>5</v>
      </c>
      <c r="M102" s="69">
        <f t="shared" si="35"/>
        <v>5</v>
      </c>
      <c r="N102" s="69">
        <f t="shared" si="36"/>
        <v>4</v>
      </c>
      <c r="O102" s="69">
        <f t="shared" si="37"/>
        <v>4</v>
      </c>
      <c r="P102" s="69">
        <f t="shared" si="38"/>
        <v>4</v>
      </c>
      <c r="Q102" s="69">
        <f t="shared" si="39"/>
        <v>4</v>
      </c>
      <c r="R102" s="70">
        <f t="shared" si="40"/>
        <v>-1.3862943611198906</v>
      </c>
      <c r="S102" s="70">
        <f t="shared" si="41"/>
        <v>-1.3862943611198906</v>
      </c>
      <c r="T102" s="70">
        <f t="shared" si="42"/>
        <v>-1.4170325794005898</v>
      </c>
      <c r="U102" s="70">
        <f t="shared" si="43"/>
        <v>-1.4170325794005898</v>
      </c>
      <c r="V102" s="70">
        <f t="shared" si="44"/>
        <v>1.1180339887498949</v>
      </c>
      <c r="W102" s="70">
        <f t="shared" si="45"/>
        <v>1.1180339887498949</v>
      </c>
      <c r="X102" s="70">
        <f t="shared" si="46"/>
        <v>0</v>
      </c>
      <c r="Y102" s="70">
        <f t="shared" si="47"/>
        <v>1.5811388300841898</v>
      </c>
      <c r="Z102" s="70">
        <f t="shared" si="48"/>
        <v>0</v>
      </c>
      <c r="AA102" s="69" t="str">
        <f t="shared" si="49"/>
        <v>Negligible</v>
      </c>
      <c r="AB102" s="69" t="str">
        <f t="shared" si="50"/>
        <v>Tidak Ada Indikasi Bias</v>
      </c>
    </row>
    <row r="103" spans="1:28" ht="37.5" customHeight="1" x14ac:dyDescent="0.35">
      <c r="A103" s="98" t="str">
        <f>'IMR (Soal Baru)'!A97</f>
        <v>93. Dalam menyusun notulen rapat tinjauan manajemen, minimal harus terdapat poin berikut, kecuali …</v>
      </c>
      <c r="B103" s="69">
        <f>'IMR (Soal Baru)'!B97</f>
        <v>0</v>
      </c>
      <c r="C103" s="69">
        <f>'IMR (Soal Baru)'!C97</f>
        <v>0</v>
      </c>
      <c r="D103" s="69">
        <f>'IMR (Soal Baru)'!D97</f>
        <v>0</v>
      </c>
      <c r="E103" s="69">
        <f>'IMR (Soal Baru)'!E97</f>
        <v>0</v>
      </c>
      <c r="F103" s="69">
        <f>'IMR (Soal Baru)'!F97</f>
        <v>0</v>
      </c>
      <c r="G103" s="69">
        <f>'IMR (Soal Baru)'!G97</f>
        <v>0</v>
      </c>
      <c r="H103" s="69">
        <f>'IMR (Soal Baru)'!H97</f>
        <v>1</v>
      </c>
      <c r="I103" s="69">
        <f>'IMR (Soal Baru)'!I97</f>
        <v>0</v>
      </c>
      <c r="J103" s="69">
        <f>'IMR (Soal Baru)'!J97</f>
        <v>1</v>
      </c>
      <c r="K103" s="69">
        <f>'IMR (Soal Baru)'!K97</f>
        <v>0</v>
      </c>
      <c r="L103" s="69">
        <f t="shared" si="34"/>
        <v>5</v>
      </c>
      <c r="M103" s="69">
        <f t="shared" si="35"/>
        <v>5</v>
      </c>
      <c r="N103" s="69">
        <f t="shared" si="36"/>
        <v>1</v>
      </c>
      <c r="O103" s="69">
        <f t="shared" si="37"/>
        <v>1</v>
      </c>
      <c r="P103" s="69">
        <f t="shared" si="38"/>
        <v>1</v>
      </c>
      <c r="Q103" s="69">
        <f t="shared" si="39"/>
        <v>1</v>
      </c>
      <c r="R103" s="70">
        <f t="shared" si="40"/>
        <v>1.3862943611198906</v>
      </c>
      <c r="S103" s="70">
        <f t="shared" si="41"/>
        <v>1.3862943611198906</v>
      </c>
      <c r="T103" s="70">
        <f t="shared" si="42"/>
        <v>1.3555561428391913</v>
      </c>
      <c r="U103" s="70">
        <f t="shared" si="43"/>
        <v>1.3555561428391913</v>
      </c>
      <c r="V103" s="70">
        <f t="shared" si="44"/>
        <v>1.1180339887498949</v>
      </c>
      <c r="W103" s="70">
        <f t="shared" si="45"/>
        <v>1.1180339887498949</v>
      </c>
      <c r="X103" s="70">
        <f t="shared" si="46"/>
        <v>0</v>
      </c>
      <c r="Y103" s="70">
        <f t="shared" si="47"/>
        <v>1.5811388300841898</v>
      </c>
      <c r="Z103" s="70">
        <f t="shared" si="48"/>
        <v>0</v>
      </c>
      <c r="AA103" s="69" t="str">
        <f t="shared" si="49"/>
        <v>Negligible</v>
      </c>
      <c r="AB103" s="69" t="str">
        <f t="shared" si="50"/>
        <v>Tidak Ada Indikasi Bias</v>
      </c>
    </row>
    <row r="104" spans="1:28" ht="50" customHeight="1" x14ac:dyDescent="0.35">
      <c r="A104" s="98" t="str">
        <f>'IMR (Soal Baru)'!A98</f>
        <v>94. Ketika organisasi pendidikan mengevaluasi tindakan untuk mengeliminasi penyebab ketidaksesuaian, hal ini harus dapat menjamin bahwa ketidaksesuaian ini tidak akan muncul lagi dimanapun dengan …</v>
      </c>
      <c r="B104" s="69">
        <f>'IMR (Soal Baru)'!B98</f>
        <v>1</v>
      </c>
      <c r="C104" s="69">
        <f>'IMR (Soal Baru)'!C98</f>
        <v>1</v>
      </c>
      <c r="D104" s="69">
        <f>'IMR (Soal Baru)'!D98</f>
        <v>0</v>
      </c>
      <c r="E104" s="69">
        <f>'IMR (Soal Baru)'!E98</f>
        <v>0</v>
      </c>
      <c r="F104" s="69">
        <f>'IMR (Soal Baru)'!F98</f>
        <v>1</v>
      </c>
      <c r="G104" s="69">
        <f>'IMR (Soal Baru)'!G98</f>
        <v>0</v>
      </c>
      <c r="H104" s="69">
        <f>'IMR (Soal Baru)'!H98</f>
        <v>0</v>
      </c>
      <c r="I104" s="69">
        <f>'IMR (Soal Baru)'!I98</f>
        <v>0</v>
      </c>
      <c r="J104" s="69">
        <f>'IMR (Soal Baru)'!J98</f>
        <v>1</v>
      </c>
      <c r="K104" s="69">
        <f>'IMR (Soal Baru)'!K98</f>
        <v>0</v>
      </c>
      <c r="L104" s="69">
        <f t="shared" si="34"/>
        <v>5</v>
      </c>
      <c r="M104" s="69">
        <f t="shared" si="35"/>
        <v>5</v>
      </c>
      <c r="N104" s="69">
        <f t="shared" si="36"/>
        <v>2</v>
      </c>
      <c r="O104" s="69">
        <f t="shared" si="37"/>
        <v>2</v>
      </c>
      <c r="P104" s="69">
        <f t="shared" si="38"/>
        <v>2</v>
      </c>
      <c r="Q104" s="69">
        <f t="shared" si="39"/>
        <v>2</v>
      </c>
      <c r="R104" s="70">
        <f t="shared" si="40"/>
        <v>0.40546510810816438</v>
      </c>
      <c r="S104" s="70">
        <f t="shared" si="41"/>
        <v>0.40546510810816438</v>
      </c>
      <c r="T104" s="70">
        <f t="shared" si="42"/>
        <v>0.37472688982746521</v>
      </c>
      <c r="U104" s="70">
        <f t="shared" si="43"/>
        <v>0.37472688982746521</v>
      </c>
      <c r="V104" s="70">
        <f t="shared" si="44"/>
        <v>0.91287092917527679</v>
      </c>
      <c r="W104" s="70">
        <f t="shared" si="45"/>
        <v>0.91287092917527679</v>
      </c>
      <c r="X104" s="70">
        <f t="shared" si="46"/>
        <v>0</v>
      </c>
      <c r="Y104" s="70">
        <f t="shared" si="47"/>
        <v>1.2909944487358056</v>
      </c>
      <c r="Z104" s="70">
        <f t="shared" si="48"/>
        <v>0</v>
      </c>
      <c r="AA104" s="69" t="str">
        <f t="shared" si="49"/>
        <v>Negligible</v>
      </c>
      <c r="AB104" s="69" t="str">
        <f t="shared" si="50"/>
        <v>Tidak Ada Indikasi Bias</v>
      </c>
    </row>
    <row r="105" spans="1:28" ht="50" x14ac:dyDescent="0.35">
      <c r="A105" s="98" t="str">
        <f>'IMR (Soal Baru)'!A99</f>
        <v>95. Informasi terdokumentasi terkait apa saja yang harus disusun oleh organisasi pendidikan berkaitan dengan ketidaksesuaian?</v>
      </c>
      <c r="B105" s="69">
        <f>'IMR (Soal Baru)'!B99</f>
        <v>0</v>
      </c>
      <c r="C105" s="69">
        <f>'IMR (Soal Baru)'!C99</f>
        <v>1</v>
      </c>
      <c r="D105" s="69">
        <f>'IMR (Soal Baru)'!D99</f>
        <v>1</v>
      </c>
      <c r="E105" s="69">
        <f>'IMR (Soal Baru)'!E99</f>
        <v>1</v>
      </c>
      <c r="F105" s="69">
        <f>'IMR (Soal Baru)'!F99</f>
        <v>0</v>
      </c>
      <c r="G105" s="69">
        <f>'IMR (Soal Baru)'!G99</f>
        <v>1</v>
      </c>
      <c r="H105" s="69">
        <f>'IMR (Soal Baru)'!H99</f>
        <v>0</v>
      </c>
      <c r="I105" s="69">
        <f>'IMR (Soal Baru)'!I99</f>
        <v>0</v>
      </c>
      <c r="J105" s="69">
        <f>'IMR (Soal Baru)'!J99</f>
        <v>0</v>
      </c>
      <c r="K105" s="69">
        <f>'IMR (Soal Baru)'!K99</f>
        <v>0</v>
      </c>
      <c r="L105" s="69">
        <f t="shared" si="34"/>
        <v>5</v>
      </c>
      <c r="M105" s="69">
        <f t="shared" si="35"/>
        <v>5</v>
      </c>
      <c r="N105" s="69">
        <f t="shared" si="36"/>
        <v>2</v>
      </c>
      <c r="O105" s="69">
        <f t="shared" si="37"/>
        <v>2</v>
      </c>
      <c r="P105" s="69">
        <f t="shared" si="38"/>
        <v>2</v>
      </c>
      <c r="Q105" s="69">
        <f t="shared" si="39"/>
        <v>2</v>
      </c>
      <c r="R105" s="70">
        <f t="shared" si="40"/>
        <v>0.40546510810816438</v>
      </c>
      <c r="S105" s="70">
        <f t="shared" si="41"/>
        <v>0.40546510810816438</v>
      </c>
      <c r="T105" s="70">
        <f t="shared" si="42"/>
        <v>0.37472688982746521</v>
      </c>
      <c r="U105" s="70">
        <f t="shared" si="43"/>
        <v>0.37472688982746521</v>
      </c>
      <c r="V105" s="70">
        <f t="shared" si="44"/>
        <v>0.91287092917527679</v>
      </c>
      <c r="W105" s="70">
        <f t="shared" si="45"/>
        <v>0.91287092917527679</v>
      </c>
      <c r="X105" s="70">
        <f t="shared" si="46"/>
        <v>0</v>
      </c>
      <c r="Y105" s="70">
        <f t="shared" si="47"/>
        <v>1.2909944487358056</v>
      </c>
      <c r="Z105" s="70">
        <f t="shared" si="48"/>
        <v>0</v>
      </c>
      <c r="AA105" s="69" t="str">
        <f t="shared" si="49"/>
        <v>Negligible</v>
      </c>
      <c r="AB105" s="69" t="str">
        <f t="shared" si="50"/>
        <v>Tidak Ada Indikasi Bias</v>
      </c>
    </row>
    <row r="106" spans="1:28" ht="37.5" x14ac:dyDescent="0.35">
      <c r="A106" s="98" t="str">
        <f>'IMR (Soal Baru)'!A100</f>
        <v>96. Apa saja yang perlu ditingkatkan oleh organisasi pendidikan berkaitan dengan SMOP?</v>
      </c>
      <c r="B106" s="69">
        <f>'IMR (Soal Baru)'!B100</f>
        <v>0</v>
      </c>
      <c r="C106" s="69">
        <f>'IMR (Soal Baru)'!C100</f>
        <v>1</v>
      </c>
      <c r="D106" s="69">
        <f>'IMR (Soal Baru)'!D100</f>
        <v>0</v>
      </c>
      <c r="E106" s="69">
        <f>'IMR (Soal Baru)'!E100</f>
        <v>0</v>
      </c>
      <c r="F106" s="69">
        <f>'IMR (Soal Baru)'!F100</f>
        <v>0</v>
      </c>
      <c r="G106" s="69">
        <f>'IMR (Soal Baru)'!G100</f>
        <v>0</v>
      </c>
      <c r="H106" s="69">
        <f>'IMR (Soal Baru)'!H100</f>
        <v>0</v>
      </c>
      <c r="I106" s="69">
        <f>'IMR (Soal Baru)'!I100</f>
        <v>1</v>
      </c>
      <c r="J106" s="69">
        <f>'IMR (Soal Baru)'!J100</f>
        <v>1</v>
      </c>
      <c r="K106" s="69">
        <f>'IMR (Soal Baru)'!K100</f>
        <v>1</v>
      </c>
      <c r="L106" s="69">
        <f t="shared" si="34"/>
        <v>5</v>
      </c>
      <c r="M106" s="69">
        <f t="shared" si="35"/>
        <v>5</v>
      </c>
      <c r="N106" s="69">
        <f t="shared" si="36"/>
        <v>2</v>
      </c>
      <c r="O106" s="69">
        <f t="shared" si="37"/>
        <v>2</v>
      </c>
      <c r="P106" s="69">
        <f t="shared" si="38"/>
        <v>2</v>
      </c>
      <c r="Q106" s="69">
        <f t="shared" si="39"/>
        <v>2</v>
      </c>
      <c r="R106" s="70">
        <f t="shared" si="40"/>
        <v>0.40546510810816438</v>
      </c>
      <c r="S106" s="70">
        <f t="shared" si="41"/>
        <v>0.40546510810816438</v>
      </c>
      <c r="T106" s="70">
        <f t="shared" si="42"/>
        <v>0.37472688982746521</v>
      </c>
      <c r="U106" s="70">
        <f t="shared" si="43"/>
        <v>0.37472688982746521</v>
      </c>
      <c r="V106" s="70">
        <f t="shared" si="44"/>
        <v>0.91287092917527679</v>
      </c>
      <c r="W106" s="70">
        <f t="shared" si="45"/>
        <v>0.91287092917527679</v>
      </c>
      <c r="X106" s="70">
        <f t="shared" si="46"/>
        <v>0</v>
      </c>
      <c r="Y106" s="70">
        <f t="shared" si="47"/>
        <v>1.2909944487358056</v>
      </c>
      <c r="Z106" s="70">
        <f t="shared" si="48"/>
        <v>0</v>
      </c>
      <c r="AA106" s="69" t="str">
        <f t="shared" si="49"/>
        <v>Negligible</v>
      </c>
      <c r="AB106" s="69" t="str">
        <f t="shared" si="50"/>
        <v>Tidak Ada Indikasi Bias</v>
      </c>
    </row>
    <row r="107" spans="1:28" ht="37.5" x14ac:dyDescent="0.35">
      <c r="A107" s="98" t="str">
        <f>'IMR (Soal Baru)'!A101</f>
        <v>97. Dalam melakukan peningkatan berkelanjutan, apa saja yang dapat menjadi input bagi organisasi pendidikan?</v>
      </c>
      <c r="B107" s="69">
        <f>'IMR (Soal Baru)'!B101</f>
        <v>1</v>
      </c>
      <c r="C107" s="69">
        <f>'IMR (Soal Baru)'!C101</f>
        <v>1</v>
      </c>
      <c r="D107" s="69">
        <f>'IMR (Soal Baru)'!D101</f>
        <v>1</v>
      </c>
      <c r="E107" s="69">
        <f>'IMR (Soal Baru)'!E101</f>
        <v>1</v>
      </c>
      <c r="F107" s="69">
        <f>'IMR (Soal Baru)'!F101</f>
        <v>0</v>
      </c>
      <c r="G107" s="69">
        <f>'IMR (Soal Baru)'!G101</f>
        <v>0</v>
      </c>
      <c r="H107" s="69">
        <f>'IMR (Soal Baru)'!H101</f>
        <v>0</v>
      </c>
      <c r="I107" s="69">
        <f>'IMR (Soal Baru)'!I101</f>
        <v>1</v>
      </c>
      <c r="J107" s="69">
        <f>'IMR (Soal Baru)'!J101</f>
        <v>1</v>
      </c>
      <c r="K107" s="69">
        <f>'IMR (Soal Baru)'!K101</f>
        <v>0</v>
      </c>
      <c r="L107" s="69">
        <f t="shared" si="34"/>
        <v>5</v>
      </c>
      <c r="M107" s="69">
        <f t="shared" si="35"/>
        <v>5</v>
      </c>
      <c r="N107" s="69">
        <f t="shared" si="36"/>
        <v>3</v>
      </c>
      <c r="O107" s="69">
        <f t="shared" si="37"/>
        <v>3</v>
      </c>
      <c r="P107" s="69">
        <f t="shared" si="38"/>
        <v>3</v>
      </c>
      <c r="Q107" s="69">
        <f t="shared" si="39"/>
        <v>3</v>
      </c>
      <c r="R107" s="70">
        <f t="shared" si="40"/>
        <v>-0.40546510810816444</v>
      </c>
      <c r="S107" s="70">
        <f t="shared" si="41"/>
        <v>-0.40546510810816444</v>
      </c>
      <c r="T107" s="70">
        <f t="shared" si="42"/>
        <v>-0.43620332638886361</v>
      </c>
      <c r="U107" s="70">
        <f t="shared" si="43"/>
        <v>-0.43620332638886361</v>
      </c>
      <c r="V107" s="70">
        <f t="shared" si="44"/>
        <v>0.91287092917527679</v>
      </c>
      <c r="W107" s="70">
        <f t="shared" si="45"/>
        <v>0.91287092917527679</v>
      </c>
      <c r="X107" s="70">
        <f t="shared" si="46"/>
        <v>0</v>
      </c>
      <c r="Y107" s="70">
        <f t="shared" si="47"/>
        <v>1.2909944487358056</v>
      </c>
      <c r="Z107" s="70">
        <f t="shared" ref="Z107:Z110" si="51">X107/Y107</f>
        <v>0</v>
      </c>
      <c r="AA107" s="69" t="str">
        <f t="shared" ref="AA107:AA110" si="52">IF(AND(ABS(X107)&gt;=$B$4,ABS(Z107)&gt;=$B$5),"DIF Besar - review",IF(AND(ABS(X107)&gt;=$B$3,ABS(Z107)&gt;=$B$5),"DIF Moderat - cek","Negligible"))</f>
        <v>Negligible</v>
      </c>
      <c r="AB107" s="69" t="str">
        <f t="shared" si="50"/>
        <v>Tidak Ada Indikasi Bias</v>
      </c>
    </row>
    <row r="108" spans="1:28" ht="62.5" customHeight="1" x14ac:dyDescent="0.35">
      <c r="A108" s="98" t="str">
        <f>'IMR (Soal Baru)'!A102</f>
        <v>98. Pengembangan produk dan layanan pendidikan harus dapat …</v>
      </c>
      <c r="B108" s="69">
        <f>'IMR (Soal Baru)'!B102</f>
        <v>0</v>
      </c>
      <c r="C108" s="69">
        <f>'IMR (Soal Baru)'!C102</f>
        <v>0</v>
      </c>
      <c r="D108" s="69">
        <f>'IMR (Soal Baru)'!D102</f>
        <v>0</v>
      </c>
      <c r="E108" s="69">
        <f>'IMR (Soal Baru)'!E102</f>
        <v>0</v>
      </c>
      <c r="F108" s="69">
        <f>'IMR (Soal Baru)'!F102</f>
        <v>1</v>
      </c>
      <c r="G108" s="69">
        <f>'IMR (Soal Baru)'!G102</f>
        <v>0</v>
      </c>
      <c r="H108" s="69">
        <f>'IMR (Soal Baru)'!H102</f>
        <v>1</v>
      </c>
      <c r="I108" s="69">
        <f>'IMR (Soal Baru)'!I102</f>
        <v>1</v>
      </c>
      <c r="J108" s="69">
        <f>'IMR (Soal Baru)'!J102</f>
        <v>1</v>
      </c>
      <c r="K108" s="69">
        <f>'IMR (Soal Baru)'!K102</f>
        <v>0</v>
      </c>
      <c r="L108" s="69">
        <f t="shared" si="34"/>
        <v>5</v>
      </c>
      <c r="M108" s="69">
        <f t="shared" si="35"/>
        <v>5</v>
      </c>
      <c r="N108" s="69">
        <f t="shared" si="36"/>
        <v>2</v>
      </c>
      <c r="O108" s="69">
        <f t="shared" si="37"/>
        <v>2</v>
      </c>
      <c r="P108" s="69">
        <f t="shared" si="38"/>
        <v>2</v>
      </c>
      <c r="Q108" s="69">
        <f t="shared" si="39"/>
        <v>2</v>
      </c>
      <c r="R108" s="70">
        <f t="shared" si="40"/>
        <v>0.40546510810816438</v>
      </c>
      <c r="S108" s="70">
        <f t="shared" si="41"/>
        <v>0.40546510810816438</v>
      </c>
      <c r="T108" s="70">
        <f t="shared" si="42"/>
        <v>0.37472688982746521</v>
      </c>
      <c r="U108" s="70">
        <f t="shared" si="43"/>
        <v>0.37472688982746521</v>
      </c>
      <c r="V108" s="70">
        <f t="shared" si="44"/>
        <v>0.91287092917527679</v>
      </c>
      <c r="W108" s="70">
        <f t="shared" si="45"/>
        <v>0.91287092917527679</v>
      </c>
      <c r="X108" s="70">
        <f t="shared" si="46"/>
        <v>0</v>
      </c>
      <c r="Y108" s="70">
        <f t="shared" si="47"/>
        <v>1.2909944487358056</v>
      </c>
      <c r="Z108" s="70">
        <f t="shared" si="51"/>
        <v>0</v>
      </c>
      <c r="AA108" s="69" t="str">
        <f t="shared" si="52"/>
        <v>Negligible</v>
      </c>
      <c r="AB108" s="69" t="str">
        <f t="shared" si="50"/>
        <v>Tidak Ada Indikasi Bias</v>
      </c>
    </row>
    <row r="109" spans="1:28" ht="25" x14ac:dyDescent="0.35">
      <c r="A109" s="98" t="str">
        <f>'IMR (Soal Baru)'!A103</f>
        <v>99. Materi pembelajaran pendidikan profesi diutamakan untuk …</v>
      </c>
      <c r="B109" s="69">
        <f>'IMR (Soal Baru)'!B103</f>
        <v>1</v>
      </c>
      <c r="C109" s="69">
        <f>'IMR (Soal Baru)'!C103</f>
        <v>0</v>
      </c>
      <c r="D109" s="69">
        <f>'IMR (Soal Baru)'!D103</f>
        <v>1</v>
      </c>
      <c r="E109" s="69">
        <f>'IMR (Soal Baru)'!E103</f>
        <v>1</v>
      </c>
      <c r="F109" s="69">
        <f>'IMR (Soal Baru)'!F103</f>
        <v>1</v>
      </c>
      <c r="G109" s="69">
        <f>'IMR (Soal Baru)'!G103</f>
        <v>1</v>
      </c>
      <c r="H109" s="69">
        <f>'IMR (Soal Baru)'!H103</f>
        <v>1</v>
      </c>
      <c r="I109" s="69">
        <f>'IMR (Soal Baru)'!I103</f>
        <v>0</v>
      </c>
      <c r="J109" s="69">
        <f>'IMR (Soal Baru)'!J103</f>
        <v>0</v>
      </c>
      <c r="K109" s="69">
        <f>'IMR (Soal Baru)'!K103</f>
        <v>0</v>
      </c>
      <c r="L109" s="69">
        <f t="shared" si="34"/>
        <v>5</v>
      </c>
      <c r="M109" s="69">
        <f t="shared" si="35"/>
        <v>5</v>
      </c>
      <c r="N109" s="69">
        <f t="shared" si="36"/>
        <v>3</v>
      </c>
      <c r="O109" s="69">
        <f t="shared" si="37"/>
        <v>3</v>
      </c>
      <c r="P109" s="69">
        <f t="shared" si="38"/>
        <v>3</v>
      </c>
      <c r="Q109" s="69">
        <f t="shared" si="39"/>
        <v>3</v>
      </c>
      <c r="R109" s="70">
        <f t="shared" si="40"/>
        <v>-0.40546510810816444</v>
      </c>
      <c r="S109" s="70">
        <f t="shared" si="41"/>
        <v>-0.40546510810816444</v>
      </c>
      <c r="T109" s="70">
        <f t="shared" si="42"/>
        <v>-0.43620332638886361</v>
      </c>
      <c r="U109" s="70">
        <f t="shared" si="43"/>
        <v>-0.43620332638886361</v>
      </c>
      <c r="V109" s="70">
        <f t="shared" si="44"/>
        <v>0.91287092917527679</v>
      </c>
      <c r="W109" s="70">
        <f t="shared" si="45"/>
        <v>0.91287092917527679</v>
      </c>
      <c r="X109" s="70">
        <f t="shared" si="46"/>
        <v>0</v>
      </c>
      <c r="Y109" s="70">
        <f t="shared" si="47"/>
        <v>1.2909944487358056</v>
      </c>
      <c r="Z109" s="70">
        <f t="shared" si="51"/>
        <v>0</v>
      </c>
      <c r="AA109" s="69" t="str">
        <f t="shared" si="52"/>
        <v>Negligible</v>
      </c>
      <c r="AB109" s="69" t="str">
        <f t="shared" si="50"/>
        <v>Tidak Ada Indikasi Bias</v>
      </c>
    </row>
    <row r="110" spans="1:28" ht="62.5" customHeight="1" x14ac:dyDescent="0.35">
      <c r="A110" s="98" t="str">
        <f>'IMR (Soal Baru)'!A104</f>
        <v>100. Sumber belajar yang dimiliki organisasi pendidikan, minimum harus…</v>
      </c>
      <c r="B110" s="69">
        <f>'IMR (Soal Baru)'!B104</f>
        <v>0</v>
      </c>
      <c r="C110" s="69">
        <f>'IMR (Soal Baru)'!C104</f>
        <v>0</v>
      </c>
      <c r="D110" s="69">
        <f>'IMR (Soal Baru)'!D104</f>
        <v>0</v>
      </c>
      <c r="E110" s="69">
        <f>'IMR (Soal Baru)'!E104</f>
        <v>1</v>
      </c>
      <c r="F110" s="69">
        <f>'IMR (Soal Baru)'!F104</f>
        <v>0</v>
      </c>
      <c r="G110" s="69">
        <f>'IMR (Soal Baru)'!G104</f>
        <v>1</v>
      </c>
      <c r="H110" s="69">
        <f>'IMR (Soal Baru)'!H104</f>
        <v>1</v>
      </c>
      <c r="I110" s="69">
        <f>'IMR (Soal Baru)'!I104</f>
        <v>1</v>
      </c>
      <c r="J110" s="69">
        <f>'IMR (Soal Baru)'!J104</f>
        <v>1</v>
      </c>
      <c r="K110" s="69">
        <f>'IMR (Soal Baru)'!K104</f>
        <v>1</v>
      </c>
      <c r="L110" s="69">
        <f t="shared" si="34"/>
        <v>5</v>
      </c>
      <c r="M110" s="69">
        <f t="shared" si="35"/>
        <v>5</v>
      </c>
      <c r="N110" s="69">
        <f t="shared" si="36"/>
        <v>3</v>
      </c>
      <c r="O110" s="69">
        <f t="shared" si="37"/>
        <v>3</v>
      </c>
      <c r="P110" s="69">
        <f t="shared" si="38"/>
        <v>3</v>
      </c>
      <c r="Q110" s="69">
        <f t="shared" si="39"/>
        <v>3</v>
      </c>
      <c r="R110" s="70">
        <f t="shared" si="40"/>
        <v>-0.40546510810816444</v>
      </c>
      <c r="S110" s="70">
        <f t="shared" si="41"/>
        <v>-0.40546510810816444</v>
      </c>
      <c r="T110" s="70">
        <f t="shared" si="42"/>
        <v>-0.43620332638886361</v>
      </c>
      <c r="U110" s="70">
        <f t="shared" si="43"/>
        <v>-0.43620332638886361</v>
      </c>
      <c r="V110" s="70">
        <f t="shared" si="44"/>
        <v>0.91287092917527679</v>
      </c>
      <c r="W110" s="70">
        <f t="shared" si="45"/>
        <v>0.91287092917527679</v>
      </c>
      <c r="X110" s="70">
        <f t="shared" si="46"/>
        <v>0</v>
      </c>
      <c r="Y110" s="70">
        <f t="shared" si="47"/>
        <v>1.2909944487358056</v>
      </c>
      <c r="Z110" s="70">
        <f t="shared" si="51"/>
        <v>0</v>
      </c>
      <c r="AA110" s="69" t="str">
        <f t="shared" si="52"/>
        <v>Negligible</v>
      </c>
      <c r="AB110" s="69" t="str">
        <f t="shared" si="50"/>
        <v>Tidak Ada Indikasi Bias</v>
      </c>
    </row>
    <row r="111" spans="1:28" x14ac:dyDescent="0.35">
      <c r="A111" s="67"/>
      <c r="B111" s="68">
        <f t="shared" ref="B111:K111" si="53">SUM(B11:B110)</f>
        <v>45</v>
      </c>
      <c r="C111" s="68">
        <f t="shared" si="53"/>
        <v>47</v>
      </c>
      <c r="D111" s="68">
        <f t="shared" si="53"/>
        <v>48</v>
      </c>
      <c r="E111" s="68">
        <f t="shared" si="53"/>
        <v>50</v>
      </c>
      <c r="F111" s="68">
        <f t="shared" si="53"/>
        <v>38</v>
      </c>
      <c r="G111" s="68">
        <f t="shared" si="53"/>
        <v>58</v>
      </c>
      <c r="H111" s="68">
        <f t="shared" si="53"/>
        <v>48</v>
      </c>
      <c r="I111" s="68">
        <f t="shared" si="53"/>
        <v>48</v>
      </c>
      <c r="J111" s="68">
        <f t="shared" si="53"/>
        <v>55</v>
      </c>
      <c r="K111" s="68">
        <f t="shared" si="53"/>
        <v>55</v>
      </c>
      <c r="L111" s="67"/>
      <c r="M111" s="67"/>
      <c r="N111" s="67"/>
      <c r="O111" s="67"/>
      <c r="P111" s="67"/>
      <c r="Q111" s="67"/>
      <c r="R111" s="67"/>
      <c r="S111" s="67"/>
      <c r="T111" s="67"/>
      <c r="U111" s="67"/>
      <c r="V111" s="67"/>
      <c r="W111" s="67"/>
      <c r="X111" s="67"/>
      <c r="Y111" s="67"/>
      <c r="Z111" s="67"/>
      <c r="AA111" s="67"/>
      <c r="AB111" s="67"/>
    </row>
    <row r="112" spans="1:28" x14ac:dyDescent="0.35">
      <c r="A112" s="1"/>
      <c r="L112"/>
    </row>
  </sheetData>
  <mergeCells count="28">
    <mergeCell ref="AB9:AB10"/>
    <mergeCell ref="R9:R10"/>
    <mergeCell ref="S9:S10"/>
    <mergeCell ref="T9:T10"/>
    <mergeCell ref="U9:U10"/>
    <mergeCell ref="V9:V10"/>
    <mergeCell ref="X9:X10"/>
    <mergeCell ref="Y9:Y10"/>
    <mergeCell ref="Z9:Z10"/>
    <mergeCell ref="AA9:AA10"/>
    <mergeCell ref="W9:W10"/>
    <mergeCell ref="A1:AC1"/>
    <mergeCell ref="P3:S3"/>
    <mergeCell ref="K4:M4"/>
    <mergeCell ref="P4:R4"/>
    <mergeCell ref="K5:M5"/>
    <mergeCell ref="P5:S5"/>
    <mergeCell ref="K6:M6"/>
    <mergeCell ref="P6:S6"/>
    <mergeCell ref="A9:A10"/>
    <mergeCell ref="B9:K9"/>
    <mergeCell ref="L9:L10"/>
    <mergeCell ref="M9:M10"/>
    <mergeCell ref="N9:N10"/>
    <mergeCell ref="O9:O10"/>
    <mergeCell ref="J7:AA7"/>
    <mergeCell ref="P9:P10"/>
    <mergeCell ref="Q9:Q10"/>
  </mergeCells>
  <pageMargins left="0.26" right="0.16" top="0.6" bottom="0.36" header="0.3" footer="0.3"/>
  <pageSetup scale="59"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87A3D-8289-4286-8878-90E48F3A3414}">
  <dimension ref="A1:AE113"/>
  <sheetViews>
    <sheetView view="pageBreakPreview" topLeftCell="A99" zoomScale="48" zoomScaleNormal="50" zoomScaleSheetLayoutView="48" workbookViewId="0">
      <selection activeCell="L21" sqref="L21"/>
    </sheetView>
  </sheetViews>
  <sheetFormatPr defaultColWidth="9.08984375" defaultRowHeight="14" x14ac:dyDescent="0.3"/>
  <cols>
    <col min="1" max="1" width="39.08984375" style="4" customWidth="1"/>
    <col min="2" max="11" width="5.453125" style="7" customWidth="1"/>
    <col min="12" max="12" width="12.08984375" style="6" customWidth="1"/>
    <col min="13" max="13" width="8.6328125" style="6" customWidth="1"/>
    <col min="14" max="14" width="10.54296875" style="6" customWidth="1"/>
    <col min="15" max="15" width="17" style="6" customWidth="1"/>
    <col min="16" max="16" width="8.54296875" style="6" customWidth="1"/>
    <col min="17" max="17" width="13.6328125" style="6" customWidth="1"/>
    <col min="18" max="27" width="7.90625" style="6" customWidth="1"/>
    <col min="28" max="28" width="8.54296875" style="6" customWidth="1"/>
    <col min="29" max="16384" width="9.08984375" style="6"/>
  </cols>
  <sheetData>
    <row r="1" spans="1:31" ht="15" x14ac:dyDescent="0.3">
      <c r="A1" s="111" t="s">
        <v>790</v>
      </c>
      <c r="B1" s="112"/>
      <c r="C1" s="112"/>
      <c r="D1" s="112"/>
      <c r="E1" s="112"/>
      <c r="F1" s="112"/>
      <c r="G1" s="112"/>
      <c r="H1" s="112"/>
      <c r="I1" s="112"/>
      <c r="J1" s="112"/>
      <c r="K1" s="112"/>
      <c r="L1" s="112"/>
      <c r="M1" s="112"/>
      <c r="N1" s="112"/>
      <c r="O1" s="112"/>
      <c r="P1" s="33"/>
      <c r="Q1" s="33"/>
      <c r="R1" s="33"/>
      <c r="S1" s="33"/>
      <c r="T1" s="33"/>
      <c r="U1" s="33"/>
      <c r="V1" s="33"/>
      <c r="W1" s="33"/>
      <c r="X1" s="33"/>
      <c r="Y1" s="33"/>
      <c r="Z1" s="33"/>
      <c r="AA1" s="33"/>
      <c r="AB1" s="33"/>
      <c r="AC1" s="33"/>
      <c r="AD1" s="33"/>
      <c r="AE1" s="33"/>
    </row>
    <row r="2" spans="1:31" ht="42" x14ac:dyDescent="0.3">
      <c r="A2" s="21" t="s">
        <v>756</v>
      </c>
      <c r="B2" s="101" t="s">
        <v>757</v>
      </c>
      <c r="C2" s="101" t="s">
        <v>757</v>
      </c>
      <c r="D2" s="101" t="s">
        <v>758</v>
      </c>
      <c r="E2" s="101" t="s">
        <v>758</v>
      </c>
      <c r="F2" s="101" t="s">
        <v>758</v>
      </c>
      <c r="G2" s="101" t="s">
        <v>757</v>
      </c>
      <c r="H2" s="101" t="s">
        <v>757</v>
      </c>
      <c r="I2" s="101" t="s">
        <v>757</v>
      </c>
      <c r="J2" s="101" t="s">
        <v>758</v>
      </c>
      <c r="K2" s="101" t="s">
        <v>758</v>
      </c>
      <c r="L2" s="33"/>
      <c r="M2" s="33"/>
      <c r="N2" s="33"/>
      <c r="O2" s="33"/>
      <c r="P2" s="33"/>
      <c r="Q2" s="33"/>
      <c r="R2" s="33"/>
      <c r="S2" s="33"/>
      <c r="T2" s="33"/>
      <c r="U2" s="33"/>
      <c r="V2" s="33"/>
      <c r="W2" s="33"/>
      <c r="X2" s="33"/>
      <c r="Y2" s="33"/>
      <c r="Z2" s="33"/>
      <c r="AA2" s="33"/>
      <c r="AB2" s="33"/>
      <c r="AC2" s="33"/>
      <c r="AD2" s="33"/>
      <c r="AE2" s="33"/>
    </row>
    <row r="3" spans="1:31" ht="15" customHeight="1" x14ac:dyDescent="0.3">
      <c r="A3" s="114" t="s">
        <v>0</v>
      </c>
      <c r="B3" s="114" t="s">
        <v>633</v>
      </c>
      <c r="C3" s="114"/>
      <c r="D3" s="114"/>
      <c r="E3" s="114"/>
      <c r="F3" s="114"/>
      <c r="G3" s="114"/>
      <c r="H3" s="114"/>
      <c r="I3" s="114"/>
      <c r="J3" s="114"/>
      <c r="K3" s="114"/>
      <c r="L3" s="114" t="s">
        <v>101</v>
      </c>
      <c r="M3" s="114" t="s">
        <v>102</v>
      </c>
      <c r="N3" s="114" t="s">
        <v>103</v>
      </c>
      <c r="O3" s="114" t="s">
        <v>102</v>
      </c>
      <c r="P3" s="33"/>
      <c r="Q3" s="49" t="s">
        <v>106</v>
      </c>
      <c r="R3" s="33"/>
      <c r="S3" s="33"/>
      <c r="T3" s="33"/>
      <c r="U3" s="33"/>
      <c r="V3" s="33"/>
      <c r="W3" s="33"/>
      <c r="X3" s="33"/>
      <c r="Y3" s="33"/>
      <c r="Z3" s="33"/>
      <c r="AA3" s="33"/>
      <c r="AB3" s="33"/>
      <c r="AC3" s="33"/>
      <c r="AD3" s="33"/>
      <c r="AE3" s="33"/>
    </row>
    <row r="4" spans="1:31" ht="15" customHeight="1" x14ac:dyDescent="0.3">
      <c r="A4" s="114"/>
      <c r="B4" s="23">
        <v>1</v>
      </c>
      <c r="C4" s="23">
        <v>2</v>
      </c>
      <c r="D4" s="23">
        <v>3</v>
      </c>
      <c r="E4" s="23">
        <v>4</v>
      </c>
      <c r="F4" s="23">
        <v>5</v>
      </c>
      <c r="G4" s="23">
        <v>6</v>
      </c>
      <c r="H4" s="23">
        <v>7</v>
      </c>
      <c r="I4" s="23">
        <v>8</v>
      </c>
      <c r="J4" s="23">
        <v>9</v>
      </c>
      <c r="K4" s="23">
        <v>10</v>
      </c>
      <c r="L4" s="114"/>
      <c r="M4" s="114"/>
      <c r="N4" s="114"/>
      <c r="O4" s="114"/>
      <c r="P4" s="33"/>
      <c r="Q4" s="109" t="s">
        <v>108</v>
      </c>
      <c r="R4" s="113" t="s">
        <v>633</v>
      </c>
      <c r="S4" s="113"/>
      <c r="T4" s="113"/>
      <c r="U4" s="113"/>
      <c r="V4" s="113"/>
      <c r="W4" s="113"/>
      <c r="X4" s="113"/>
      <c r="Y4" s="113"/>
      <c r="Z4" s="113"/>
      <c r="AA4" s="113"/>
      <c r="AB4" s="109" t="s">
        <v>107</v>
      </c>
      <c r="AC4" s="109" t="s">
        <v>109</v>
      </c>
      <c r="AD4" s="109" t="s">
        <v>110</v>
      </c>
      <c r="AE4" s="33"/>
    </row>
    <row r="5" spans="1:31" ht="84" x14ac:dyDescent="0.3">
      <c r="A5" s="24" t="s">
        <v>331</v>
      </c>
      <c r="B5" s="25">
        <v>1</v>
      </c>
      <c r="C5" s="25">
        <v>1</v>
      </c>
      <c r="D5" s="25">
        <v>1</v>
      </c>
      <c r="E5" s="25">
        <v>0</v>
      </c>
      <c r="F5" s="25">
        <v>1</v>
      </c>
      <c r="G5" s="25">
        <v>0</v>
      </c>
      <c r="H5" s="25">
        <v>0</v>
      </c>
      <c r="I5" s="25">
        <v>0</v>
      </c>
      <c r="J5" s="25">
        <v>0</v>
      </c>
      <c r="K5" s="25">
        <v>0</v>
      </c>
      <c r="L5" s="3">
        <f>SUM(B5:K5)/10</f>
        <v>0.4</v>
      </c>
      <c r="M5" s="26" t="str">
        <f>IF(L5&lt;0.31,"sukar",IF(L5&lt;0.71,"sedang","mudah"))</f>
        <v>sedang</v>
      </c>
      <c r="N5" s="3">
        <f>ABS((SUM(B5:F5)-SUM(G5:K5))*2/10)</f>
        <v>0.8</v>
      </c>
      <c r="O5" s="26" t="str">
        <f>IF(N5&lt;0.2,"soal dibuang",IF(N5&lt;0.3,"soal diperbaiki",IF(N5&lt;0.4,"soal diterima tapi perlu diperbaiki","soal diterima baik")))</f>
        <v>soal diterima baik</v>
      </c>
      <c r="P5" s="33"/>
      <c r="Q5" s="109"/>
      <c r="R5" s="27">
        <v>1</v>
      </c>
      <c r="S5" s="27">
        <v>2</v>
      </c>
      <c r="T5" s="27">
        <v>3</v>
      </c>
      <c r="U5" s="27">
        <v>4</v>
      </c>
      <c r="V5" s="27">
        <v>5</v>
      </c>
      <c r="W5" s="27">
        <v>6</v>
      </c>
      <c r="X5" s="27">
        <v>7</v>
      </c>
      <c r="Y5" s="27">
        <v>8</v>
      </c>
      <c r="Z5" s="27">
        <v>9</v>
      </c>
      <c r="AA5" s="27">
        <v>10</v>
      </c>
      <c r="AB5" s="109"/>
      <c r="AC5" s="109"/>
      <c r="AD5" s="109"/>
      <c r="AE5" s="33"/>
    </row>
    <row r="6" spans="1:31" ht="28" x14ac:dyDescent="0.3">
      <c r="A6" s="30" t="s">
        <v>332</v>
      </c>
      <c r="B6" s="25">
        <v>0</v>
      </c>
      <c r="C6" s="25">
        <v>0</v>
      </c>
      <c r="D6" s="25">
        <v>0</v>
      </c>
      <c r="E6" s="25">
        <v>0</v>
      </c>
      <c r="F6" s="25">
        <v>1</v>
      </c>
      <c r="G6" s="25">
        <v>1</v>
      </c>
      <c r="H6" s="25">
        <v>1</v>
      </c>
      <c r="I6" s="25">
        <v>1</v>
      </c>
      <c r="J6" s="25">
        <v>1</v>
      </c>
      <c r="K6" s="25">
        <v>1</v>
      </c>
      <c r="L6" s="3">
        <f t="shared" ref="L6:L69" si="0">SUM(B6:K6)/10</f>
        <v>0.6</v>
      </c>
      <c r="M6" s="26" t="str">
        <f t="shared" ref="M6:M69" si="1">IF(L6&lt;0.31,"sukar",IF(L6&lt;0.71,"sedang","mudah"))</f>
        <v>sedang</v>
      </c>
      <c r="N6" s="3">
        <f t="shared" ref="N6:N69" si="2">ABS((SUM(B6:F6)-SUM(G6:K6))*2/10)</f>
        <v>0.8</v>
      </c>
      <c r="O6" s="26" t="str">
        <f t="shared" ref="O6:O69" si="3">IF(N6&lt;0.2,"soal dibuang",IF(N6&lt;0.3,"soal diperbaiki",IF(N6&lt;0.4,"soal diterima tapi perlu diperbaiki","soal diterima baik")))</f>
        <v>soal diterima baik</v>
      </c>
      <c r="P6" s="33"/>
      <c r="Q6" s="26">
        <v>1</v>
      </c>
      <c r="R6" s="25">
        <f>B5</f>
        <v>1</v>
      </c>
      <c r="S6" s="25">
        <f t="shared" ref="S6:AA21" si="4">C5</f>
        <v>1</v>
      </c>
      <c r="T6" s="25">
        <f t="shared" si="4"/>
        <v>1</v>
      </c>
      <c r="U6" s="25">
        <f t="shared" si="4"/>
        <v>0</v>
      </c>
      <c r="V6" s="25">
        <f t="shared" si="4"/>
        <v>1</v>
      </c>
      <c r="W6" s="25">
        <f t="shared" si="4"/>
        <v>0</v>
      </c>
      <c r="X6" s="25">
        <f t="shared" si="4"/>
        <v>0</v>
      </c>
      <c r="Y6" s="25">
        <f t="shared" si="4"/>
        <v>0</v>
      </c>
      <c r="Z6" s="25">
        <f t="shared" si="4"/>
        <v>0</v>
      </c>
      <c r="AA6" s="25">
        <f t="shared" si="4"/>
        <v>0</v>
      </c>
      <c r="AB6" s="3">
        <f>SUM(R6:AA6)/COUNT(R6:AA6)</f>
        <v>0.4</v>
      </c>
      <c r="AC6" s="3">
        <f>1-AB6</f>
        <v>0.6</v>
      </c>
      <c r="AD6" s="3">
        <f>AB6*AC6</f>
        <v>0.24</v>
      </c>
      <c r="AE6" s="33"/>
    </row>
    <row r="7" spans="1:31" ht="42" x14ac:dyDescent="0.3">
      <c r="A7" s="28" t="s">
        <v>333</v>
      </c>
      <c r="B7" s="25">
        <v>0</v>
      </c>
      <c r="C7" s="25">
        <v>0</v>
      </c>
      <c r="D7" s="25">
        <v>0</v>
      </c>
      <c r="E7" s="25">
        <v>1</v>
      </c>
      <c r="F7" s="25">
        <v>0</v>
      </c>
      <c r="G7" s="25">
        <v>1</v>
      </c>
      <c r="H7" s="25">
        <v>0</v>
      </c>
      <c r="I7" s="25">
        <v>1</v>
      </c>
      <c r="J7" s="25">
        <v>0</v>
      </c>
      <c r="K7" s="25">
        <v>1</v>
      </c>
      <c r="L7" s="3">
        <f t="shared" si="0"/>
        <v>0.4</v>
      </c>
      <c r="M7" s="26" t="str">
        <f t="shared" si="1"/>
        <v>sedang</v>
      </c>
      <c r="N7" s="3">
        <f t="shared" si="2"/>
        <v>0.4</v>
      </c>
      <c r="O7" s="26" t="str">
        <f t="shared" si="3"/>
        <v>soal diterima baik</v>
      </c>
      <c r="P7" s="33"/>
      <c r="Q7" s="26">
        <v>2</v>
      </c>
      <c r="R7" s="25">
        <f t="shared" ref="R7:AA45" si="5">B6</f>
        <v>0</v>
      </c>
      <c r="S7" s="25">
        <f t="shared" si="4"/>
        <v>0</v>
      </c>
      <c r="T7" s="25">
        <f t="shared" si="4"/>
        <v>0</v>
      </c>
      <c r="U7" s="25">
        <f t="shared" si="4"/>
        <v>0</v>
      </c>
      <c r="V7" s="25">
        <f t="shared" si="4"/>
        <v>1</v>
      </c>
      <c r="W7" s="25">
        <f t="shared" si="4"/>
        <v>1</v>
      </c>
      <c r="X7" s="25">
        <f t="shared" si="4"/>
        <v>1</v>
      </c>
      <c r="Y7" s="25">
        <f t="shared" si="4"/>
        <v>1</v>
      </c>
      <c r="Z7" s="25">
        <f t="shared" si="4"/>
        <v>1</v>
      </c>
      <c r="AA7" s="25">
        <f t="shared" si="4"/>
        <v>1</v>
      </c>
      <c r="AB7" s="3">
        <f t="shared" ref="AB7:AB70" si="6">SUM(R7:AA7)/COUNT(R7:AA7)</f>
        <v>0.6</v>
      </c>
      <c r="AC7" s="3">
        <f t="shared" ref="AC7:AC70" si="7">1-AB7</f>
        <v>0.4</v>
      </c>
      <c r="AD7" s="3">
        <f t="shared" ref="AD7:AD70" si="8">AB7*AC7</f>
        <v>0.24</v>
      </c>
      <c r="AE7" s="33"/>
    </row>
    <row r="8" spans="1:31" ht="42" x14ac:dyDescent="0.3">
      <c r="A8" s="24" t="s">
        <v>334</v>
      </c>
      <c r="B8" s="25">
        <v>0</v>
      </c>
      <c r="C8" s="25">
        <v>1</v>
      </c>
      <c r="D8" s="25">
        <v>1</v>
      </c>
      <c r="E8" s="25">
        <v>1</v>
      </c>
      <c r="F8" s="25">
        <v>0</v>
      </c>
      <c r="G8" s="25">
        <v>0</v>
      </c>
      <c r="H8" s="25">
        <v>0</v>
      </c>
      <c r="I8" s="25">
        <v>1</v>
      </c>
      <c r="J8" s="25">
        <v>0</v>
      </c>
      <c r="K8" s="25">
        <v>0</v>
      </c>
      <c r="L8" s="3">
        <f t="shared" si="0"/>
        <v>0.4</v>
      </c>
      <c r="M8" s="26" t="str">
        <f t="shared" si="1"/>
        <v>sedang</v>
      </c>
      <c r="N8" s="3">
        <f t="shared" si="2"/>
        <v>0.4</v>
      </c>
      <c r="O8" s="26" t="str">
        <f t="shared" si="3"/>
        <v>soal diterima baik</v>
      </c>
      <c r="P8" s="33"/>
      <c r="Q8" s="26">
        <v>3</v>
      </c>
      <c r="R8" s="25">
        <f t="shared" si="5"/>
        <v>0</v>
      </c>
      <c r="S8" s="25">
        <f t="shared" si="4"/>
        <v>0</v>
      </c>
      <c r="T8" s="25">
        <f t="shared" si="4"/>
        <v>0</v>
      </c>
      <c r="U8" s="25">
        <f t="shared" si="4"/>
        <v>1</v>
      </c>
      <c r="V8" s="25">
        <f t="shared" si="4"/>
        <v>0</v>
      </c>
      <c r="W8" s="25">
        <f t="shared" si="4"/>
        <v>1</v>
      </c>
      <c r="X8" s="25">
        <f t="shared" si="4"/>
        <v>0</v>
      </c>
      <c r="Y8" s="25">
        <f t="shared" si="4"/>
        <v>1</v>
      </c>
      <c r="Z8" s="25">
        <f t="shared" si="4"/>
        <v>0</v>
      </c>
      <c r="AA8" s="25">
        <f t="shared" si="4"/>
        <v>1</v>
      </c>
      <c r="AB8" s="3">
        <f t="shared" si="6"/>
        <v>0.4</v>
      </c>
      <c r="AC8" s="3">
        <f t="shared" si="7"/>
        <v>0.6</v>
      </c>
      <c r="AD8" s="3">
        <f t="shared" si="8"/>
        <v>0.24</v>
      </c>
      <c r="AE8" s="33"/>
    </row>
    <row r="9" spans="1:31" ht="42" x14ac:dyDescent="0.3">
      <c r="A9" s="30" t="s">
        <v>335</v>
      </c>
      <c r="B9" s="25">
        <v>0</v>
      </c>
      <c r="C9" s="25">
        <v>0</v>
      </c>
      <c r="D9" s="25">
        <v>1</v>
      </c>
      <c r="E9" s="25">
        <v>1</v>
      </c>
      <c r="F9" s="25">
        <v>0</v>
      </c>
      <c r="G9" s="25">
        <v>1</v>
      </c>
      <c r="H9" s="25">
        <v>1</v>
      </c>
      <c r="I9" s="25">
        <v>1</v>
      </c>
      <c r="J9" s="25">
        <v>0</v>
      </c>
      <c r="K9" s="25">
        <v>1</v>
      </c>
      <c r="L9" s="3">
        <f t="shared" si="0"/>
        <v>0.6</v>
      </c>
      <c r="M9" s="26" t="str">
        <f t="shared" si="1"/>
        <v>sedang</v>
      </c>
      <c r="N9" s="3">
        <f t="shared" si="2"/>
        <v>0.4</v>
      </c>
      <c r="O9" s="26" t="str">
        <f t="shared" si="3"/>
        <v>soal diterima baik</v>
      </c>
      <c r="P9" s="33"/>
      <c r="Q9" s="26">
        <v>4</v>
      </c>
      <c r="R9" s="25">
        <f t="shared" si="5"/>
        <v>0</v>
      </c>
      <c r="S9" s="25">
        <f t="shared" si="4"/>
        <v>1</v>
      </c>
      <c r="T9" s="25">
        <f t="shared" si="4"/>
        <v>1</v>
      </c>
      <c r="U9" s="25">
        <f t="shared" si="4"/>
        <v>1</v>
      </c>
      <c r="V9" s="25">
        <f t="shared" si="4"/>
        <v>0</v>
      </c>
      <c r="W9" s="25">
        <f t="shared" si="4"/>
        <v>0</v>
      </c>
      <c r="X9" s="25">
        <f t="shared" si="4"/>
        <v>0</v>
      </c>
      <c r="Y9" s="25">
        <f t="shared" si="4"/>
        <v>1</v>
      </c>
      <c r="Z9" s="25">
        <f t="shared" si="4"/>
        <v>0</v>
      </c>
      <c r="AA9" s="25">
        <f t="shared" si="4"/>
        <v>0</v>
      </c>
      <c r="AB9" s="3">
        <f t="shared" si="6"/>
        <v>0.4</v>
      </c>
      <c r="AC9" s="3">
        <f t="shared" si="7"/>
        <v>0.6</v>
      </c>
      <c r="AD9" s="3">
        <f t="shared" si="8"/>
        <v>0.24</v>
      </c>
      <c r="AE9" s="33"/>
    </row>
    <row r="10" spans="1:31" ht="28" x14ac:dyDescent="0.3">
      <c r="A10" s="30" t="s">
        <v>336</v>
      </c>
      <c r="B10" s="25">
        <v>0</v>
      </c>
      <c r="C10" s="25">
        <v>0</v>
      </c>
      <c r="D10" s="25">
        <v>1</v>
      </c>
      <c r="E10" s="25">
        <v>0</v>
      </c>
      <c r="F10" s="25">
        <v>1</v>
      </c>
      <c r="G10" s="25">
        <v>1</v>
      </c>
      <c r="H10" s="25">
        <v>1</v>
      </c>
      <c r="I10" s="25">
        <v>1</v>
      </c>
      <c r="J10" s="25">
        <v>0</v>
      </c>
      <c r="K10" s="25">
        <v>1</v>
      </c>
      <c r="L10" s="3">
        <f t="shared" si="0"/>
        <v>0.6</v>
      </c>
      <c r="M10" s="26" t="str">
        <f t="shared" si="1"/>
        <v>sedang</v>
      </c>
      <c r="N10" s="3">
        <f t="shared" si="2"/>
        <v>0.4</v>
      </c>
      <c r="O10" s="26" t="str">
        <f t="shared" si="3"/>
        <v>soal diterima baik</v>
      </c>
      <c r="P10" s="33"/>
      <c r="Q10" s="26">
        <v>5</v>
      </c>
      <c r="R10" s="25">
        <f t="shared" si="5"/>
        <v>0</v>
      </c>
      <c r="S10" s="25">
        <f t="shared" si="4"/>
        <v>0</v>
      </c>
      <c r="T10" s="25">
        <f t="shared" si="4"/>
        <v>1</v>
      </c>
      <c r="U10" s="25">
        <f t="shared" si="4"/>
        <v>1</v>
      </c>
      <c r="V10" s="25">
        <f t="shared" si="4"/>
        <v>0</v>
      </c>
      <c r="W10" s="25">
        <f t="shared" si="4"/>
        <v>1</v>
      </c>
      <c r="X10" s="25">
        <f t="shared" si="4"/>
        <v>1</v>
      </c>
      <c r="Y10" s="25">
        <f t="shared" si="4"/>
        <v>1</v>
      </c>
      <c r="Z10" s="25">
        <f t="shared" si="4"/>
        <v>0</v>
      </c>
      <c r="AA10" s="25">
        <f t="shared" si="4"/>
        <v>1</v>
      </c>
      <c r="AB10" s="3">
        <f t="shared" si="6"/>
        <v>0.6</v>
      </c>
      <c r="AC10" s="3">
        <f t="shared" si="7"/>
        <v>0.4</v>
      </c>
      <c r="AD10" s="3">
        <f t="shared" si="8"/>
        <v>0.24</v>
      </c>
      <c r="AE10" s="33"/>
    </row>
    <row r="11" spans="1:31" ht="28" x14ac:dyDescent="0.3">
      <c r="A11" s="28" t="s">
        <v>337</v>
      </c>
      <c r="B11" s="25">
        <v>0</v>
      </c>
      <c r="C11" s="25">
        <v>0</v>
      </c>
      <c r="D11" s="25">
        <v>1</v>
      </c>
      <c r="E11" s="25">
        <v>1</v>
      </c>
      <c r="F11" s="25">
        <v>0</v>
      </c>
      <c r="G11" s="25">
        <v>1</v>
      </c>
      <c r="H11" s="25">
        <v>1</v>
      </c>
      <c r="I11" s="25">
        <v>1</v>
      </c>
      <c r="J11" s="25">
        <v>0</v>
      </c>
      <c r="K11" s="25">
        <v>1</v>
      </c>
      <c r="L11" s="3">
        <f t="shared" si="0"/>
        <v>0.6</v>
      </c>
      <c r="M11" s="26" t="str">
        <f t="shared" si="1"/>
        <v>sedang</v>
      </c>
      <c r="N11" s="3">
        <f t="shared" si="2"/>
        <v>0.4</v>
      </c>
      <c r="O11" s="26" t="str">
        <f t="shared" si="3"/>
        <v>soal diterima baik</v>
      </c>
      <c r="P11" s="33"/>
      <c r="Q11" s="26">
        <v>6</v>
      </c>
      <c r="R11" s="25">
        <f t="shared" si="5"/>
        <v>0</v>
      </c>
      <c r="S11" s="25">
        <f t="shared" si="4"/>
        <v>0</v>
      </c>
      <c r="T11" s="25">
        <f t="shared" si="4"/>
        <v>1</v>
      </c>
      <c r="U11" s="25">
        <f t="shared" si="4"/>
        <v>0</v>
      </c>
      <c r="V11" s="25">
        <f t="shared" si="4"/>
        <v>1</v>
      </c>
      <c r="W11" s="25">
        <f t="shared" si="4"/>
        <v>1</v>
      </c>
      <c r="X11" s="25">
        <f t="shared" si="4"/>
        <v>1</v>
      </c>
      <c r="Y11" s="25">
        <f t="shared" si="4"/>
        <v>1</v>
      </c>
      <c r="Z11" s="25">
        <f t="shared" si="4"/>
        <v>0</v>
      </c>
      <c r="AA11" s="25">
        <f t="shared" si="4"/>
        <v>1</v>
      </c>
      <c r="AB11" s="3">
        <f t="shared" si="6"/>
        <v>0.6</v>
      </c>
      <c r="AC11" s="3">
        <f t="shared" si="7"/>
        <v>0.4</v>
      </c>
      <c r="AD11" s="3">
        <f t="shared" si="8"/>
        <v>0.24</v>
      </c>
      <c r="AE11" s="33"/>
    </row>
    <row r="12" spans="1:31" ht="42" x14ac:dyDescent="0.3">
      <c r="A12" s="28" t="s">
        <v>338</v>
      </c>
      <c r="B12" s="25">
        <v>1</v>
      </c>
      <c r="C12" s="25">
        <v>1</v>
      </c>
      <c r="D12" s="25">
        <v>1</v>
      </c>
      <c r="E12" s="25">
        <v>1</v>
      </c>
      <c r="F12" s="25">
        <v>0</v>
      </c>
      <c r="G12" s="25">
        <v>0</v>
      </c>
      <c r="H12" s="25">
        <v>0</v>
      </c>
      <c r="I12" s="25">
        <v>0</v>
      </c>
      <c r="J12" s="25">
        <v>0</v>
      </c>
      <c r="K12" s="25">
        <v>0</v>
      </c>
      <c r="L12" s="3">
        <f t="shared" si="0"/>
        <v>0.4</v>
      </c>
      <c r="M12" s="26" t="str">
        <f t="shared" si="1"/>
        <v>sedang</v>
      </c>
      <c r="N12" s="3">
        <f t="shared" si="2"/>
        <v>0.8</v>
      </c>
      <c r="O12" s="26" t="str">
        <f t="shared" si="3"/>
        <v>soal diterima baik</v>
      </c>
      <c r="P12" s="33"/>
      <c r="Q12" s="26">
        <v>7</v>
      </c>
      <c r="R12" s="25">
        <f t="shared" si="5"/>
        <v>0</v>
      </c>
      <c r="S12" s="25">
        <f t="shared" si="4"/>
        <v>0</v>
      </c>
      <c r="T12" s="25">
        <f t="shared" si="4"/>
        <v>1</v>
      </c>
      <c r="U12" s="25">
        <f t="shared" si="4"/>
        <v>1</v>
      </c>
      <c r="V12" s="25">
        <f t="shared" si="4"/>
        <v>0</v>
      </c>
      <c r="W12" s="25">
        <f t="shared" si="4"/>
        <v>1</v>
      </c>
      <c r="X12" s="25">
        <f t="shared" si="4"/>
        <v>1</v>
      </c>
      <c r="Y12" s="25">
        <f t="shared" si="4"/>
        <v>1</v>
      </c>
      <c r="Z12" s="25">
        <f t="shared" si="4"/>
        <v>0</v>
      </c>
      <c r="AA12" s="25">
        <f t="shared" si="4"/>
        <v>1</v>
      </c>
      <c r="AB12" s="3">
        <f t="shared" si="6"/>
        <v>0.6</v>
      </c>
      <c r="AC12" s="3">
        <f t="shared" si="7"/>
        <v>0.4</v>
      </c>
      <c r="AD12" s="3">
        <f t="shared" si="8"/>
        <v>0.24</v>
      </c>
      <c r="AE12" s="33"/>
    </row>
    <row r="13" spans="1:31" ht="42" x14ac:dyDescent="0.3">
      <c r="A13" s="24" t="s">
        <v>339</v>
      </c>
      <c r="B13" s="25">
        <v>1</v>
      </c>
      <c r="C13" s="25">
        <v>0</v>
      </c>
      <c r="D13" s="25">
        <v>1</v>
      </c>
      <c r="E13" s="25">
        <v>1</v>
      </c>
      <c r="F13" s="25">
        <v>0</v>
      </c>
      <c r="G13" s="25">
        <v>1</v>
      </c>
      <c r="H13" s="25">
        <v>1</v>
      </c>
      <c r="I13" s="25">
        <v>1</v>
      </c>
      <c r="J13" s="25">
        <v>1</v>
      </c>
      <c r="K13" s="25">
        <v>1</v>
      </c>
      <c r="L13" s="3">
        <f t="shared" si="0"/>
        <v>0.8</v>
      </c>
      <c r="M13" s="26" t="str">
        <f t="shared" si="1"/>
        <v>mudah</v>
      </c>
      <c r="N13" s="3">
        <f t="shared" si="2"/>
        <v>0.4</v>
      </c>
      <c r="O13" s="26" t="str">
        <f t="shared" si="3"/>
        <v>soal diterima baik</v>
      </c>
      <c r="P13" s="33"/>
      <c r="Q13" s="26">
        <v>8</v>
      </c>
      <c r="R13" s="25">
        <f t="shared" si="5"/>
        <v>1</v>
      </c>
      <c r="S13" s="25">
        <f t="shared" si="4"/>
        <v>1</v>
      </c>
      <c r="T13" s="25">
        <f t="shared" si="4"/>
        <v>1</v>
      </c>
      <c r="U13" s="25">
        <f t="shared" si="4"/>
        <v>1</v>
      </c>
      <c r="V13" s="25">
        <f t="shared" si="4"/>
        <v>0</v>
      </c>
      <c r="W13" s="25">
        <f t="shared" si="4"/>
        <v>0</v>
      </c>
      <c r="X13" s="25">
        <f t="shared" si="4"/>
        <v>0</v>
      </c>
      <c r="Y13" s="25">
        <f t="shared" si="4"/>
        <v>0</v>
      </c>
      <c r="Z13" s="25">
        <f t="shared" si="4"/>
        <v>0</v>
      </c>
      <c r="AA13" s="25">
        <f t="shared" si="4"/>
        <v>0</v>
      </c>
      <c r="AB13" s="3">
        <f t="shared" si="6"/>
        <v>0.4</v>
      </c>
      <c r="AC13" s="3">
        <f t="shared" si="7"/>
        <v>0.6</v>
      </c>
      <c r="AD13" s="3">
        <f t="shared" si="8"/>
        <v>0.24</v>
      </c>
      <c r="AE13" s="33"/>
    </row>
    <row r="14" spans="1:31" ht="28" x14ac:dyDescent="0.3">
      <c r="A14" s="24" t="s">
        <v>340</v>
      </c>
      <c r="B14" s="25">
        <v>1</v>
      </c>
      <c r="C14" s="25">
        <v>1</v>
      </c>
      <c r="D14" s="25">
        <v>1</v>
      </c>
      <c r="E14" s="25">
        <v>0</v>
      </c>
      <c r="F14" s="25">
        <v>1</v>
      </c>
      <c r="G14" s="25">
        <v>0</v>
      </c>
      <c r="H14" s="25">
        <v>0</v>
      </c>
      <c r="I14" s="25">
        <v>0</v>
      </c>
      <c r="J14" s="25">
        <v>0</v>
      </c>
      <c r="K14" s="25">
        <v>0</v>
      </c>
      <c r="L14" s="3">
        <f t="shared" si="0"/>
        <v>0.4</v>
      </c>
      <c r="M14" s="26" t="str">
        <f t="shared" si="1"/>
        <v>sedang</v>
      </c>
      <c r="N14" s="3">
        <f t="shared" si="2"/>
        <v>0.8</v>
      </c>
      <c r="O14" s="26" t="str">
        <f t="shared" si="3"/>
        <v>soal diterima baik</v>
      </c>
      <c r="P14" s="33"/>
      <c r="Q14" s="26">
        <v>9</v>
      </c>
      <c r="R14" s="25">
        <f t="shared" si="5"/>
        <v>1</v>
      </c>
      <c r="S14" s="25">
        <f t="shared" si="4"/>
        <v>0</v>
      </c>
      <c r="T14" s="25">
        <f t="shared" si="4"/>
        <v>1</v>
      </c>
      <c r="U14" s="25">
        <f t="shared" si="4"/>
        <v>1</v>
      </c>
      <c r="V14" s="25">
        <f t="shared" si="4"/>
        <v>0</v>
      </c>
      <c r="W14" s="25">
        <f t="shared" si="4"/>
        <v>1</v>
      </c>
      <c r="X14" s="25">
        <f t="shared" si="4"/>
        <v>1</v>
      </c>
      <c r="Y14" s="25">
        <f t="shared" si="4"/>
        <v>1</v>
      </c>
      <c r="Z14" s="25">
        <f t="shared" si="4"/>
        <v>1</v>
      </c>
      <c r="AA14" s="25">
        <f t="shared" si="4"/>
        <v>1</v>
      </c>
      <c r="AB14" s="3">
        <f t="shared" si="6"/>
        <v>0.8</v>
      </c>
      <c r="AC14" s="3">
        <f t="shared" si="7"/>
        <v>0.19999999999999996</v>
      </c>
      <c r="AD14" s="3">
        <f t="shared" si="8"/>
        <v>0.15999999999999998</v>
      </c>
      <c r="AE14" s="33"/>
    </row>
    <row r="15" spans="1:31" ht="42" x14ac:dyDescent="0.3">
      <c r="A15" s="30" t="s">
        <v>341</v>
      </c>
      <c r="B15" s="25">
        <v>0</v>
      </c>
      <c r="C15" s="25">
        <v>0</v>
      </c>
      <c r="D15" s="25">
        <v>0</v>
      </c>
      <c r="E15" s="25">
        <v>0</v>
      </c>
      <c r="F15" s="25">
        <v>0</v>
      </c>
      <c r="G15" s="25">
        <v>0</v>
      </c>
      <c r="H15" s="25">
        <v>1</v>
      </c>
      <c r="I15" s="25">
        <v>1</v>
      </c>
      <c r="J15" s="25">
        <v>1</v>
      </c>
      <c r="K15" s="25">
        <v>1</v>
      </c>
      <c r="L15" s="3">
        <f t="shared" si="0"/>
        <v>0.4</v>
      </c>
      <c r="M15" s="26" t="str">
        <f t="shared" si="1"/>
        <v>sedang</v>
      </c>
      <c r="N15" s="3">
        <f t="shared" si="2"/>
        <v>0.8</v>
      </c>
      <c r="O15" s="26" t="str">
        <f t="shared" si="3"/>
        <v>soal diterima baik</v>
      </c>
      <c r="P15" s="33"/>
      <c r="Q15" s="26">
        <v>10</v>
      </c>
      <c r="R15" s="25">
        <f t="shared" si="5"/>
        <v>1</v>
      </c>
      <c r="S15" s="25">
        <f t="shared" si="4"/>
        <v>1</v>
      </c>
      <c r="T15" s="25">
        <f t="shared" si="4"/>
        <v>1</v>
      </c>
      <c r="U15" s="25">
        <f t="shared" si="4"/>
        <v>0</v>
      </c>
      <c r="V15" s="25">
        <f t="shared" si="4"/>
        <v>1</v>
      </c>
      <c r="W15" s="25">
        <f t="shared" si="4"/>
        <v>0</v>
      </c>
      <c r="X15" s="25">
        <f t="shared" si="4"/>
        <v>0</v>
      </c>
      <c r="Y15" s="25">
        <f t="shared" si="4"/>
        <v>0</v>
      </c>
      <c r="Z15" s="25">
        <f t="shared" si="4"/>
        <v>0</v>
      </c>
      <c r="AA15" s="25">
        <f t="shared" si="4"/>
        <v>0</v>
      </c>
      <c r="AB15" s="3">
        <f t="shared" si="6"/>
        <v>0.4</v>
      </c>
      <c r="AC15" s="3">
        <f t="shared" si="7"/>
        <v>0.6</v>
      </c>
      <c r="AD15" s="3">
        <f t="shared" si="8"/>
        <v>0.24</v>
      </c>
      <c r="AE15" s="33"/>
    </row>
    <row r="16" spans="1:31" x14ac:dyDescent="0.3">
      <c r="A16" s="30" t="s">
        <v>342</v>
      </c>
      <c r="B16" s="25">
        <v>1</v>
      </c>
      <c r="C16" s="25">
        <v>0</v>
      </c>
      <c r="D16" s="25">
        <v>0</v>
      </c>
      <c r="E16" s="25">
        <v>1</v>
      </c>
      <c r="F16" s="25">
        <v>0</v>
      </c>
      <c r="G16" s="25">
        <v>0</v>
      </c>
      <c r="H16" s="25">
        <v>0</v>
      </c>
      <c r="I16" s="25">
        <v>0</v>
      </c>
      <c r="J16" s="25">
        <v>0</v>
      </c>
      <c r="K16" s="25">
        <v>0</v>
      </c>
      <c r="L16" s="3">
        <f t="shared" si="0"/>
        <v>0.2</v>
      </c>
      <c r="M16" s="26" t="str">
        <f t="shared" si="1"/>
        <v>sukar</v>
      </c>
      <c r="N16" s="3">
        <f t="shared" si="2"/>
        <v>0.4</v>
      </c>
      <c r="O16" s="26" t="str">
        <f t="shared" si="3"/>
        <v>soal diterima baik</v>
      </c>
      <c r="P16" s="33"/>
      <c r="Q16" s="26">
        <v>11</v>
      </c>
      <c r="R16" s="25">
        <f t="shared" si="5"/>
        <v>0</v>
      </c>
      <c r="S16" s="25">
        <f t="shared" si="4"/>
        <v>0</v>
      </c>
      <c r="T16" s="25">
        <f t="shared" si="4"/>
        <v>0</v>
      </c>
      <c r="U16" s="25">
        <f t="shared" si="4"/>
        <v>0</v>
      </c>
      <c r="V16" s="25">
        <f t="shared" si="4"/>
        <v>0</v>
      </c>
      <c r="W16" s="25">
        <f t="shared" si="4"/>
        <v>0</v>
      </c>
      <c r="X16" s="25">
        <f t="shared" si="4"/>
        <v>1</v>
      </c>
      <c r="Y16" s="25">
        <f t="shared" si="4"/>
        <v>1</v>
      </c>
      <c r="Z16" s="25">
        <f t="shared" si="4"/>
        <v>1</v>
      </c>
      <c r="AA16" s="25">
        <f t="shared" si="4"/>
        <v>1</v>
      </c>
      <c r="AB16" s="3">
        <f t="shared" si="6"/>
        <v>0.4</v>
      </c>
      <c r="AC16" s="3">
        <f t="shared" si="7"/>
        <v>0.6</v>
      </c>
      <c r="AD16" s="3">
        <f t="shared" si="8"/>
        <v>0.24</v>
      </c>
      <c r="AE16" s="33"/>
    </row>
    <row r="17" spans="1:31" ht="42" x14ac:dyDescent="0.3">
      <c r="A17" s="30" t="s">
        <v>343</v>
      </c>
      <c r="B17" s="25">
        <v>0</v>
      </c>
      <c r="C17" s="25">
        <v>0</v>
      </c>
      <c r="D17" s="25">
        <v>1</v>
      </c>
      <c r="E17" s="25">
        <v>1</v>
      </c>
      <c r="F17" s="25">
        <v>0</v>
      </c>
      <c r="G17" s="25">
        <v>1</v>
      </c>
      <c r="H17" s="25">
        <v>1</v>
      </c>
      <c r="I17" s="25">
        <v>1</v>
      </c>
      <c r="J17" s="25">
        <v>0</v>
      </c>
      <c r="K17" s="25">
        <v>1</v>
      </c>
      <c r="L17" s="3">
        <f t="shared" si="0"/>
        <v>0.6</v>
      </c>
      <c r="M17" s="26" t="str">
        <f t="shared" si="1"/>
        <v>sedang</v>
      </c>
      <c r="N17" s="3">
        <f t="shared" si="2"/>
        <v>0.4</v>
      </c>
      <c r="O17" s="26" t="str">
        <f t="shared" si="3"/>
        <v>soal diterima baik</v>
      </c>
      <c r="P17" s="33"/>
      <c r="Q17" s="26">
        <v>12</v>
      </c>
      <c r="R17" s="25">
        <f t="shared" si="5"/>
        <v>1</v>
      </c>
      <c r="S17" s="25">
        <f t="shared" si="4"/>
        <v>0</v>
      </c>
      <c r="T17" s="25">
        <f t="shared" si="4"/>
        <v>0</v>
      </c>
      <c r="U17" s="25">
        <f t="shared" si="4"/>
        <v>1</v>
      </c>
      <c r="V17" s="25">
        <f t="shared" si="4"/>
        <v>0</v>
      </c>
      <c r="W17" s="25">
        <f t="shared" si="4"/>
        <v>0</v>
      </c>
      <c r="X17" s="25">
        <f t="shared" si="4"/>
        <v>0</v>
      </c>
      <c r="Y17" s="25">
        <f t="shared" si="4"/>
        <v>0</v>
      </c>
      <c r="Z17" s="25">
        <f t="shared" si="4"/>
        <v>0</v>
      </c>
      <c r="AA17" s="25">
        <f t="shared" si="4"/>
        <v>0</v>
      </c>
      <c r="AB17" s="3">
        <f t="shared" si="6"/>
        <v>0.2</v>
      </c>
      <c r="AC17" s="3">
        <f t="shared" si="7"/>
        <v>0.8</v>
      </c>
      <c r="AD17" s="3">
        <f t="shared" si="8"/>
        <v>0.16000000000000003</v>
      </c>
      <c r="AE17" s="33"/>
    </row>
    <row r="18" spans="1:31" ht="42" x14ac:dyDescent="0.3">
      <c r="A18" s="24" t="s">
        <v>344</v>
      </c>
      <c r="B18" s="25">
        <v>0</v>
      </c>
      <c r="C18" s="25">
        <v>0</v>
      </c>
      <c r="D18" s="25">
        <v>1</v>
      </c>
      <c r="E18" s="25">
        <v>0</v>
      </c>
      <c r="F18" s="25">
        <v>0</v>
      </c>
      <c r="G18" s="25">
        <v>1</v>
      </c>
      <c r="H18" s="25">
        <v>0</v>
      </c>
      <c r="I18" s="25">
        <v>1</v>
      </c>
      <c r="J18" s="25">
        <v>0</v>
      </c>
      <c r="K18" s="25">
        <v>1</v>
      </c>
      <c r="L18" s="3">
        <f t="shared" si="0"/>
        <v>0.4</v>
      </c>
      <c r="M18" s="26" t="str">
        <f t="shared" si="1"/>
        <v>sedang</v>
      </c>
      <c r="N18" s="3">
        <f t="shared" si="2"/>
        <v>0.4</v>
      </c>
      <c r="O18" s="26" t="str">
        <f t="shared" si="3"/>
        <v>soal diterima baik</v>
      </c>
      <c r="P18" s="33"/>
      <c r="Q18" s="26">
        <v>13</v>
      </c>
      <c r="R18" s="25">
        <f t="shared" si="5"/>
        <v>0</v>
      </c>
      <c r="S18" s="25">
        <f t="shared" si="4"/>
        <v>0</v>
      </c>
      <c r="T18" s="25">
        <f t="shared" si="4"/>
        <v>1</v>
      </c>
      <c r="U18" s="25">
        <f t="shared" si="4"/>
        <v>1</v>
      </c>
      <c r="V18" s="25">
        <f t="shared" si="4"/>
        <v>0</v>
      </c>
      <c r="W18" s="25">
        <f t="shared" si="4"/>
        <v>1</v>
      </c>
      <c r="X18" s="25">
        <f t="shared" si="4"/>
        <v>1</v>
      </c>
      <c r="Y18" s="25">
        <f t="shared" si="4"/>
        <v>1</v>
      </c>
      <c r="Z18" s="25">
        <f t="shared" si="4"/>
        <v>0</v>
      </c>
      <c r="AA18" s="25">
        <f t="shared" si="4"/>
        <v>1</v>
      </c>
      <c r="AB18" s="3">
        <f t="shared" si="6"/>
        <v>0.6</v>
      </c>
      <c r="AC18" s="3">
        <f t="shared" si="7"/>
        <v>0.4</v>
      </c>
      <c r="AD18" s="3">
        <f t="shared" si="8"/>
        <v>0.24</v>
      </c>
      <c r="AE18" s="33"/>
    </row>
    <row r="19" spans="1:31" ht="42" x14ac:dyDescent="0.3">
      <c r="A19" s="24" t="s">
        <v>345</v>
      </c>
      <c r="B19" s="25">
        <v>0</v>
      </c>
      <c r="C19" s="25">
        <v>1</v>
      </c>
      <c r="D19" s="25">
        <v>0</v>
      </c>
      <c r="E19" s="25">
        <v>0</v>
      </c>
      <c r="F19" s="25">
        <v>1</v>
      </c>
      <c r="G19" s="25">
        <v>1</v>
      </c>
      <c r="H19" s="25">
        <v>0</v>
      </c>
      <c r="I19" s="25">
        <v>1</v>
      </c>
      <c r="J19" s="25">
        <v>1</v>
      </c>
      <c r="K19" s="25">
        <v>1</v>
      </c>
      <c r="L19" s="3">
        <f t="shared" si="0"/>
        <v>0.6</v>
      </c>
      <c r="M19" s="26" t="str">
        <f t="shared" si="1"/>
        <v>sedang</v>
      </c>
      <c r="N19" s="3">
        <f t="shared" si="2"/>
        <v>0.4</v>
      </c>
      <c r="O19" s="26" t="str">
        <f t="shared" si="3"/>
        <v>soal diterima baik</v>
      </c>
      <c r="P19" s="33"/>
      <c r="Q19" s="26">
        <v>14</v>
      </c>
      <c r="R19" s="25">
        <f t="shared" si="5"/>
        <v>0</v>
      </c>
      <c r="S19" s="25">
        <f t="shared" si="4"/>
        <v>0</v>
      </c>
      <c r="T19" s="25">
        <f t="shared" si="4"/>
        <v>1</v>
      </c>
      <c r="U19" s="25">
        <f t="shared" si="4"/>
        <v>0</v>
      </c>
      <c r="V19" s="25">
        <f t="shared" si="4"/>
        <v>0</v>
      </c>
      <c r="W19" s="25">
        <f t="shared" si="4"/>
        <v>1</v>
      </c>
      <c r="X19" s="25">
        <f t="shared" si="4"/>
        <v>0</v>
      </c>
      <c r="Y19" s="25">
        <f t="shared" si="4"/>
        <v>1</v>
      </c>
      <c r="Z19" s="25">
        <f t="shared" si="4"/>
        <v>0</v>
      </c>
      <c r="AA19" s="25">
        <f t="shared" si="4"/>
        <v>1</v>
      </c>
      <c r="AB19" s="3">
        <f t="shared" si="6"/>
        <v>0.4</v>
      </c>
      <c r="AC19" s="3">
        <f t="shared" si="7"/>
        <v>0.6</v>
      </c>
      <c r="AD19" s="3">
        <f t="shared" si="8"/>
        <v>0.24</v>
      </c>
      <c r="AE19" s="33"/>
    </row>
    <row r="20" spans="1:31" ht="42" x14ac:dyDescent="0.3">
      <c r="A20" s="30" t="s">
        <v>346</v>
      </c>
      <c r="B20" s="25">
        <v>0</v>
      </c>
      <c r="C20" s="25">
        <v>0</v>
      </c>
      <c r="D20" s="25">
        <v>1</v>
      </c>
      <c r="E20" s="25">
        <v>0</v>
      </c>
      <c r="F20" s="25">
        <v>0</v>
      </c>
      <c r="G20" s="25">
        <v>0</v>
      </c>
      <c r="H20" s="25">
        <v>1</v>
      </c>
      <c r="I20" s="25">
        <v>1</v>
      </c>
      <c r="J20" s="25">
        <v>1</v>
      </c>
      <c r="K20" s="25">
        <v>0</v>
      </c>
      <c r="L20" s="3">
        <f t="shared" si="0"/>
        <v>0.4</v>
      </c>
      <c r="M20" s="26" t="str">
        <f t="shared" si="1"/>
        <v>sedang</v>
      </c>
      <c r="N20" s="3">
        <f t="shared" si="2"/>
        <v>0.4</v>
      </c>
      <c r="O20" s="26" t="str">
        <f t="shared" si="3"/>
        <v>soal diterima baik</v>
      </c>
      <c r="P20" s="33"/>
      <c r="Q20" s="26">
        <v>15</v>
      </c>
      <c r="R20" s="25">
        <f t="shared" si="5"/>
        <v>0</v>
      </c>
      <c r="S20" s="25">
        <f t="shared" si="4"/>
        <v>1</v>
      </c>
      <c r="T20" s="25">
        <f t="shared" si="4"/>
        <v>0</v>
      </c>
      <c r="U20" s="25">
        <f t="shared" si="4"/>
        <v>0</v>
      </c>
      <c r="V20" s="25">
        <f t="shared" si="4"/>
        <v>1</v>
      </c>
      <c r="W20" s="25">
        <f t="shared" si="4"/>
        <v>1</v>
      </c>
      <c r="X20" s="25">
        <f t="shared" si="4"/>
        <v>0</v>
      </c>
      <c r="Y20" s="25">
        <f t="shared" si="4"/>
        <v>1</v>
      </c>
      <c r="Z20" s="25">
        <f t="shared" si="4"/>
        <v>1</v>
      </c>
      <c r="AA20" s="25">
        <f t="shared" si="4"/>
        <v>1</v>
      </c>
      <c r="AB20" s="3">
        <f t="shared" si="6"/>
        <v>0.6</v>
      </c>
      <c r="AC20" s="3">
        <f t="shared" si="7"/>
        <v>0.4</v>
      </c>
      <c r="AD20" s="3">
        <f t="shared" si="8"/>
        <v>0.24</v>
      </c>
      <c r="AE20" s="33"/>
    </row>
    <row r="21" spans="1:31" ht="42" x14ac:dyDescent="0.3">
      <c r="A21" s="28" t="s">
        <v>347</v>
      </c>
      <c r="B21" s="25">
        <v>0</v>
      </c>
      <c r="C21" s="25">
        <v>0</v>
      </c>
      <c r="D21" s="25">
        <v>0</v>
      </c>
      <c r="E21" s="25">
        <v>0</v>
      </c>
      <c r="F21" s="25">
        <v>0</v>
      </c>
      <c r="G21" s="25">
        <v>0</v>
      </c>
      <c r="H21" s="25">
        <v>1</v>
      </c>
      <c r="I21" s="25">
        <v>1</v>
      </c>
      <c r="J21" s="25">
        <v>1</v>
      </c>
      <c r="K21" s="25">
        <v>1</v>
      </c>
      <c r="L21" s="3">
        <f t="shared" si="0"/>
        <v>0.4</v>
      </c>
      <c r="M21" s="26" t="str">
        <f t="shared" si="1"/>
        <v>sedang</v>
      </c>
      <c r="N21" s="3">
        <f t="shared" si="2"/>
        <v>0.8</v>
      </c>
      <c r="O21" s="26" t="str">
        <f t="shared" si="3"/>
        <v>soal diterima baik</v>
      </c>
      <c r="P21" s="33"/>
      <c r="Q21" s="26">
        <v>16</v>
      </c>
      <c r="R21" s="25">
        <f t="shared" si="5"/>
        <v>0</v>
      </c>
      <c r="S21" s="25">
        <f t="shared" si="4"/>
        <v>0</v>
      </c>
      <c r="T21" s="25">
        <f t="shared" si="4"/>
        <v>1</v>
      </c>
      <c r="U21" s="25">
        <f t="shared" si="4"/>
        <v>0</v>
      </c>
      <c r="V21" s="25">
        <f t="shared" si="4"/>
        <v>0</v>
      </c>
      <c r="W21" s="25">
        <f t="shared" si="4"/>
        <v>0</v>
      </c>
      <c r="X21" s="25">
        <f t="shared" si="4"/>
        <v>1</v>
      </c>
      <c r="Y21" s="25">
        <f t="shared" si="4"/>
        <v>1</v>
      </c>
      <c r="Z21" s="25">
        <f t="shared" si="4"/>
        <v>1</v>
      </c>
      <c r="AA21" s="25">
        <f t="shared" si="4"/>
        <v>0</v>
      </c>
      <c r="AB21" s="3">
        <f t="shared" si="6"/>
        <v>0.4</v>
      </c>
      <c r="AC21" s="3">
        <f t="shared" si="7"/>
        <v>0.6</v>
      </c>
      <c r="AD21" s="3">
        <f t="shared" si="8"/>
        <v>0.24</v>
      </c>
      <c r="AE21" s="33"/>
    </row>
    <row r="22" spans="1:31" ht="42" x14ac:dyDescent="0.3">
      <c r="A22" s="30" t="s">
        <v>348</v>
      </c>
      <c r="B22" s="25">
        <v>1</v>
      </c>
      <c r="C22" s="25">
        <v>1</v>
      </c>
      <c r="D22" s="25">
        <v>1</v>
      </c>
      <c r="E22" s="25">
        <v>0</v>
      </c>
      <c r="F22" s="25">
        <v>1</v>
      </c>
      <c r="G22" s="25">
        <v>0</v>
      </c>
      <c r="H22" s="25">
        <v>1</v>
      </c>
      <c r="I22" s="25">
        <v>0</v>
      </c>
      <c r="J22" s="25">
        <v>0</v>
      </c>
      <c r="K22" s="25">
        <v>1</v>
      </c>
      <c r="L22" s="3">
        <f t="shared" si="0"/>
        <v>0.6</v>
      </c>
      <c r="M22" s="26" t="str">
        <f t="shared" si="1"/>
        <v>sedang</v>
      </c>
      <c r="N22" s="3">
        <f t="shared" si="2"/>
        <v>0.4</v>
      </c>
      <c r="O22" s="26" t="str">
        <f t="shared" si="3"/>
        <v>soal diterima baik</v>
      </c>
      <c r="P22" s="33"/>
      <c r="Q22" s="26">
        <v>17</v>
      </c>
      <c r="R22" s="25">
        <f t="shared" si="5"/>
        <v>0</v>
      </c>
      <c r="S22" s="25">
        <f t="shared" si="5"/>
        <v>0</v>
      </c>
      <c r="T22" s="25">
        <f t="shared" si="5"/>
        <v>0</v>
      </c>
      <c r="U22" s="25">
        <f t="shared" si="5"/>
        <v>0</v>
      </c>
      <c r="V22" s="25">
        <f t="shared" si="5"/>
        <v>0</v>
      </c>
      <c r="W22" s="25">
        <f t="shared" si="5"/>
        <v>0</v>
      </c>
      <c r="X22" s="25">
        <f t="shared" si="5"/>
        <v>1</v>
      </c>
      <c r="Y22" s="25">
        <f t="shared" si="5"/>
        <v>1</v>
      </c>
      <c r="Z22" s="25">
        <f t="shared" si="5"/>
        <v>1</v>
      </c>
      <c r="AA22" s="25">
        <f t="shared" si="5"/>
        <v>1</v>
      </c>
      <c r="AB22" s="3">
        <f t="shared" si="6"/>
        <v>0.4</v>
      </c>
      <c r="AC22" s="3">
        <f t="shared" si="7"/>
        <v>0.6</v>
      </c>
      <c r="AD22" s="3">
        <f t="shared" si="8"/>
        <v>0.24</v>
      </c>
      <c r="AE22" s="33"/>
    </row>
    <row r="23" spans="1:31" ht="28" x14ac:dyDescent="0.3">
      <c r="A23" s="28" t="s">
        <v>349</v>
      </c>
      <c r="B23" s="25">
        <v>1</v>
      </c>
      <c r="C23" s="25">
        <v>0</v>
      </c>
      <c r="D23" s="25">
        <v>1</v>
      </c>
      <c r="E23" s="25">
        <v>1</v>
      </c>
      <c r="F23" s="25">
        <v>1</v>
      </c>
      <c r="G23" s="25">
        <v>0</v>
      </c>
      <c r="H23" s="25">
        <v>1</v>
      </c>
      <c r="I23" s="25">
        <v>1</v>
      </c>
      <c r="J23" s="25">
        <v>0</v>
      </c>
      <c r="K23" s="25">
        <v>0</v>
      </c>
      <c r="L23" s="3">
        <f t="shared" si="0"/>
        <v>0.6</v>
      </c>
      <c r="M23" s="26" t="str">
        <f t="shared" si="1"/>
        <v>sedang</v>
      </c>
      <c r="N23" s="3">
        <f t="shared" si="2"/>
        <v>0.4</v>
      </c>
      <c r="O23" s="26" t="str">
        <f t="shared" si="3"/>
        <v>soal diterima baik</v>
      </c>
      <c r="P23" s="33"/>
      <c r="Q23" s="26">
        <v>18</v>
      </c>
      <c r="R23" s="25">
        <f t="shared" si="5"/>
        <v>1</v>
      </c>
      <c r="S23" s="25">
        <f t="shared" si="5"/>
        <v>1</v>
      </c>
      <c r="T23" s="25">
        <f t="shared" si="5"/>
        <v>1</v>
      </c>
      <c r="U23" s="25">
        <f t="shared" si="5"/>
        <v>0</v>
      </c>
      <c r="V23" s="25">
        <f t="shared" si="5"/>
        <v>1</v>
      </c>
      <c r="W23" s="25">
        <f t="shared" si="5"/>
        <v>0</v>
      </c>
      <c r="X23" s="25">
        <f t="shared" si="5"/>
        <v>1</v>
      </c>
      <c r="Y23" s="25">
        <f t="shared" si="5"/>
        <v>0</v>
      </c>
      <c r="Z23" s="25">
        <f t="shared" si="5"/>
        <v>0</v>
      </c>
      <c r="AA23" s="25">
        <f t="shared" si="5"/>
        <v>1</v>
      </c>
      <c r="AB23" s="3">
        <f t="shared" si="6"/>
        <v>0.6</v>
      </c>
      <c r="AC23" s="3">
        <f t="shared" si="7"/>
        <v>0.4</v>
      </c>
      <c r="AD23" s="3">
        <f t="shared" si="8"/>
        <v>0.24</v>
      </c>
      <c r="AE23" s="33"/>
    </row>
    <row r="24" spans="1:31" ht="28" x14ac:dyDescent="0.3">
      <c r="A24" s="24" t="s">
        <v>350</v>
      </c>
      <c r="B24" s="25">
        <v>1</v>
      </c>
      <c r="C24" s="25">
        <v>1</v>
      </c>
      <c r="D24" s="25">
        <v>0</v>
      </c>
      <c r="E24" s="25">
        <v>1</v>
      </c>
      <c r="F24" s="25">
        <v>1</v>
      </c>
      <c r="G24" s="25">
        <v>0</v>
      </c>
      <c r="H24" s="25">
        <v>0</v>
      </c>
      <c r="I24" s="25">
        <v>1</v>
      </c>
      <c r="J24" s="25">
        <v>0</v>
      </c>
      <c r="K24" s="25">
        <v>1</v>
      </c>
      <c r="L24" s="3">
        <f t="shared" si="0"/>
        <v>0.6</v>
      </c>
      <c r="M24" s="26" t="str">
        <f t="shared" si="1"/>
        <v>sedang</v>
      </c>
      <c r="N24" s="3">
        <f t="shared" si="2"/>
        <v>0.4</v>
      </c>
      <c r="O24" s="26" t="str">
        <f t="shared" si="3"/>
        <v>soal diterima baik</v>
      </c>
      <c r="P24" s="33"/>
      <c r="Q24" s="26">
        <v>19</v>
      </c>
      <c r="R24" s="25">
        <f t="shared" si="5"/>
        <v>1</v>
      </c>
      <c r="S24" s="25">
        <f t="shared" si="5"/>
        <v>0</v>
      </c>
      <c r="T24" s="25">
        <f t="shared" si="5"/>
        <v>1</v>
      </c>
      <c r="U24" s="25">
        <f t="shared" si="5"/>
        <v>1</v>
      </c>
      <c r="V24" s="25">
        <f t="shared" si="5"/>
        <v>1</v>
      </c>
      <c r="W24" s="25">
        <f t="shared" si="5"/>
        <v>0</v>
      </c>
      <c r="X24" s="25">
        <f t="shared" si="5"/>
        <v>1</v>
      </c>
      <c r="Y24" s="25">
        <f t="shared" si="5"/>
        <v>1</v>
      </c>
      <c r="Z24" s="25">
        <f t="shared" si="5"/>
        <v>0</v>
      </c>
      <c r="AA24" s="25">
        <f t="shared" si="5"/>
        <v>0</v>
      </c>
      <c r="AB24" s="3">
        <f t="shared" si="6"/>
        <v>0.6</v>
      </c>
      <c r="AC24" s="3">
        <f t="shared" si="7"/>
        <v>0.4</v>
      </c>
      <c r="AD24" s="3">
        <f t="shared" si="8"/>
        <v>0.24</v>
      </c>
      <c r="AE24" s="33"/>
    </row>
    <row r="25" spans="1:31" ht="28" x14ac:dyDescent="0.3">
      <c r="A25" s="30" t="s">
        <v>351</v>
      </c>
      <c r="B25" s="25">
        <v>0</v>
      </c>
      <c r="C25" s="25">
        <v>0</v>
      </c>
      <c r="D25" s="25">
        <v>0</v>
      </c>
      <c r="E25" s="25">
        <v>0</v>
      </c>
      <c r="F25" s="25">
        <v>0</v>
      </c>
      <c r="G25" s="25">
        <v>1</v>
      </c>
      <c r="H25" s="25">
        <v>1</v>
      </c>
      <c r="I25" s="25">
        <v>0</v>
      </c>
      <c r="J25" s="25">
        <v>1</v>
      </c>
      <c r="K25" s="25">
        <v>1</v>
      </c>
      <c r="L25" s="3">
        <f t="shared" si="0"/>
        <v>0.4</v>
      </c>
      <c r="M25" s="26" t="str">
        <f t="shared" si="1"/>
        <v>sedang</v>
      </c>
      <c r="N25" s="3">
        <f t="shared" si="2"/>
        <v>0.8</v>
      </c>
      <c r="O25" s="26" t="str">
        <f t="shared" si="3"/>
        <v>soal diterima baik</v>
      </c>
      <c r="P25" s="33"/>
      <c r="Q25" s="26">
        <v>20</v>
      </c>
      <c r="R25" s="25">
        <f t="shared" si="5"/>
        <v>1</v>
      </c>
      <c r="S25" s="25">
        <f t="shared" si="5"/>
        <v>1</v>
      </c>
      <c r="T25" s="25">
        <f t="shared" si="5"/>
        <v>0</v>
      </c>
      <c r="U25" s="25">
        <f t="shared" si="5"/>
        <v>1</v>
      </c>
      <c r="V25" s="25">
        <f t="shared" si="5"/>
        <v>1</v>
      </c>
      <c r="W25" s="25">
        <f t="shared" si="5"/>
        <v>0</v>
      </c>
      <c r="X25" s="25">
        <f t="shared" si="5"/>
        <v>0</v>
      </c>
      <c r="Y25" s="25">
        <f t="shared" si="5"/>
        <v>1</v>
      </c>
      <c r="Z25" s="25">
        <f t="shared" si="5"/>
        <v>0</v>
      </c>
      <c r="AA25" s="25">
        <f t="shared" si="5"/>
        <v>1</v>
      </c>
      <c r="AB25" s="3">
        <f t="shared" si="6"/>
        <v>0.6</v>
      </c>
      <c r="AC25" s="3">
        <f t="shared" si="7"/>
        <v>0.4</v>
      </c>
      <c r="AD25" s="3">
        <f t="shared" si="8"/>
        <v>0.24</v>
      </c>
      <c r="AE25" s="33"/>
    </row>
    <row r="26" spans="1:31" ht="56" x14ac:dyDescent="0.3">
      <c r="A26" s="24" t="s">
        <v>352</v>
      </c>
      <c r="B26" s="25">
        <v>0</v>
      </c>
      <c r="C26" s="25">
        <v>0</v>
      </c>
      <c r="D26" s="25">
        <v>1</v>
      </c>
      <c r="E26" s="25">
        <v>0</v>
      </c>
      <c r="F26" s="25">
        <v>0</v>
      </c>
      <c r="G26" s="25">
        <v>1</v>
      </c>
      <c r="H26" s="25">
        <v>0</v>
      </c>
      <c r="I26" s="25">
        <v>1</v>
      </c>
      <c r="J26" s="25">
        <v>1</v>
      </c>
      <c r="K26" s="25">
        <v>0</v>
      </c>
      <c r="L26" s="3">
        <f t="shared" si="0"/>
        <v>0.4</v>
      </c>
      <c r="M26" s="26" t="str">
        <f t="shared" si="1"/>
        <v>sedang</v>
      </c>
      <c r="N26" s="3">
        <f t="shared" si="2"/>
        <v>0.4</v>
      </c>
      <c r="O26" s="26" t="str">
        <f t="shared" si="3"/>
        <v>soal diterima baik</v>
      </c>
      <c r="P26" s="33"/>
      <c r="Q26" s="26">
        <v>21</v>
      </c>
      <c r="R26" s="25">
        <f t="shared" si="5"/>
        <v>0</v>
      </c>
      <c r="S26" s="25">
        <f t="shared" si="5"/>
        <v>0</v>
      </c>
      <c r="T26" s="25">
        <f t="shared" si="5"/>
        <v>0</v>
      </c>
      <c r="U26" s="25">
        <f t="shared" si="5"/>
        <v>0</v>
      </c>
      <c r="V26" s="25">
        <f t="shared" si="5"/>
        <v>0</v>
      </c>
      <c r="W26" s="25">
        <f t="shared" si="5"/>
        <v>1</v>
      </c>
      <c r="X26" s="25">
        <f t="shared" si="5"/>
        <v>1</v>
      </c>
      <c r="Y26" s="25">
        <f t="shared" si="5"/>
        <v>0</v>
      </c>
      <c r="Z26" s="25">
        <f t="shared" si="5"/>
        <v>1</v>
      </c>
      <c r="AA26" s="25">
        <f t="shared" si="5"/>
        <v>1</v>
      </c>
      <c r="AB26" s="3">
        <f t="shared" si="6"/>
        <v>0.4</v>
      </c>
      <c r="AC26" s="3">
        <f t="shared" si="7"/>
        <v>0.6</v>
      </c>
      <c r="AD26" s="3">
        <f t="shared" si="8"/>
        <v>0.24</v>
      </c>
      <c r="AE26" s="33"/>
    </row>
    <row r="27" spans="1:31" ht="56" x14ac:dyDescent="0.3">
      <c r="A27" s="28" t="s">
        <v>353</v>
      </c>
      <c r="B27" s="25">
        <v>1</v>
      </c>
      <c r="C27" s="25">
        <v>0</v>
      </c>
      <c r="D27" s="25">
        <v>1</v>
      </c>
      <c r="E27" s="25">
        <v>0</v>
      </c>
      <c r="F27" s="25">
        <v>0</v>
      </c>
      <c r="G27" s="25">
        <v>0</v>
      </c>
      <c r="H27" s="25">
        <v>1</v>
      </c>
      <c r="I27" s="25">
        <v>1</v>
      </c>
      <c r="J27" s="25">
        <v>1</v>
      </c>
      <c r="K27" s="25">
        <v>1</v>
      </c>
      <c r="L27" s="3">
        <f t="shared" si="0"/>
        <v>0.6</v>
      </c>
      <c r="M27" s="26" t="str">
        <f t="shared" si="1"/>
        <v>sedang</v>
      </c>
      <c r="N27" s="3">
        <f t="shared" si="2"/>
        <v>0.4</v>
      </c>
      <c r="O27" s="26" t="str">
        <f t="shared" si="3"/>
        <v>soal diterima baik</v>
      </c>
      <c r="P27" s="33"/>
      <c r="Q27" s="26">
        <v>22</v>
      </c>
      <c r="R27" s="25">
        <f t="shared" si="5"/>
        <v>0</v>
      </c>
      <c r="S27" s="25">
        <f t="shared" si="5"/>
        <v>0</v>
      </c>
      <c r="T27" s="25">
        <f t="shared" si="5"/>
        <v>1</v>
      </c>
      <c r="U27" s="25">
        <f t="shared" si="5"/>
        <v>0</v>
      </c>
      <c r="V27" s="25">
        <f t="shared" si="5"/>
        <v>0</v>
      </c>
      <c r="W27" s="25">
        <f t="shared" si="5"/>
        <v>1</v>
      </c>
      <c r="X27" s="25">
        <f t="shared" si="5"/>
        <v>0</v>
      </c>
      <c r="Y27" s="25">
        <f t="shared" si="5"/>
        <v>1</v>
      </c>
      <c r="Z27" s="25">
        <f t="shared" si="5"/>
        <v>1</v>
      </c>
      <c r="AA27" s="25">
        <f t="shared" si="5"/>
        <v>0</v>
      </c>
      <c r="AB27" s="3">
        <f t="shared" si="6"/>
        <v>0.4</v>
      </c>
      <c r="AC27" s="3">
        <f t="shared" si="7"/>
        <v>0.6</v>
      </c>
      <c r="AD27" s="3">
        <f t="shared" si="8"/>
        <v>0.24</v>
      </c>
      <c r="AE27" s="33"/>
    </row>
    <row r="28" spans="1:31" ht="42" x14ac:dyDescent="0.3">
      <c r="A28" s="24" t="s">
        <v>354</v>
      </c>
      <c r="B28" s="25">
        <v>0</v>
      </c>
      <c r="C28" s="25">
        <v>0</v>
      </c>
      <c r="D28" s="25">
        <v>1</v>
      </c>
      <c r="E28" s="25">
        <v>0</v>
      </c>
      <c r="F28" s="25">
        <v>0</v>
      </c>
      <c r="G28" s="25">
        <v>0</v>
      </c>
      <c r="H28" s="25">
        <v>1</v>
      </c>
      <c r="I28" s="25">
        <v>1</v>
      </c>
      <c r="J28" s="25">
        <v>1</v>
      </c>
      <c r="K28" s="25">
        <v>0</v>
      </c>
      <c r="L28" s="3">
        <f t="shared" si="0"/>
        <v>0.4</v>
      </c>
      <c r="M28" s="26" t="str">
        <f t="shared" si="1"/>
        <v>sedang</v>
      </c>
      <c r="N28" s="3">
        <f t="shared" si="2"/>
        <v>0.4</v>
      </c>
      <c r="O28" s="26" t="str">
        <f t="shared" si="3"/>
        <v>soal diterima baik</v>
      </c>
      <c r="P28" s="33"/>
      <c r="Q28" s="26">
        <v>23</v>
      </c>
      <c r="R28" s="25">
        <f t="shared" si="5"/>
        <v>1</v>
      </c>
      <c r="S28" s="25">
        <f t="shared" si="5"/>
        <v>0</v>
      </c>
      <c r="T28" s="25">
        <f t="shared" si="5"/>
        <v>1</v>
      </c>
      <c r="U28" s="25">
        <f t="shared" si="5"/>
        <v>0</v>
      </c>
      <c r="V28" s="25">
        <f t="shared" si="5"/>
        <v>0</v>
      </c>
      <c r="W28" s="25">
        <f t="shared" si="5"/>
        <v>0</v>
      </c>
      <c r="X28" s="25">
        <f t="shared" si="5"/>
        <v>1</v>
      </c>
      <c r="Y28" s="25">
        <f t="shared" si="5"/>
        <v>1</v>
      </c>
      <c r="Z28" s="25">
        <f t="shared" si="5"/>
        <v>1</v>
      </c>
      <c r="AA28" s="25">
        <f t="shared" si="5"/>
        <v>1</v>
      </c>
      <c r="AB28" s="3">
        <f t="shared" si="6"/>
        <v>0.6</v>
      </c>
      <c r="AC28" s="3">
        <f t="shared" si="7"/>
        <v>0.4</v>
      </c>
      <c r="AD28" s="3">
        <f t="shared" si="8"/>
        <v>0.24</v>
      </c>
      <c r="AE28" s="33"/>
    </row>
    <row r="29" spans="1:31" ht="84" x14ac:dyDescent="0.3">
      <c r="A29" s="30" t="s">
        <v>355</v>
      </c>
      <c r="B29" s="25">
        <v>1</v>
      </c>
      <c r="C29" s="25">
        <v>1</v>
      </c>
      <c r="D29" s="25">
        <v>1</v>
      </c>
      <c r="E29" s="25">
        <v>0</v>
      </c>
      <c r="F29" s="25">
        <v>1</v>
      </c>
      <c r="G29" s="25">
        <v>0</v>
      </c>
      <c r="H29" s="25">
        <v>0</v>
      </c>
      <c r="I29" s="25">
        <v>0</v>
      </c>
      <c r="J29" s="25">
        <v>0</v>
      </c>
      <c r="K29" s="25">
        <v>0</v>
      </c>
      <c r="L29" s="3">
        <f t="shared" si="0"/>
        <v>0.4</v>
      </c>
      <c r="M29" s="26" t="str">
        <f t="shared" si="1"/>
        <v>sedang</v>
      </c>
      <c r="N29" s="3">
        <f t="shared" si="2"/>
        <v>0.8</v>
      </c>
      <c r="O29" s="26" t="str">
        <f t="shared" si="3"/>
        <v>soal diterima baik</v>
      </c>
      <c r="P29" s="33"/>
      <c r="Q29" s="26">
        <v>24</v>
      </c>
      <c r="R29" s="25">
        <f t="shared" si="5"/>
        <v>0</v>
      </c>
      <c r="S29" s="25">
        <f t="shared" si="5"/>
        <v>0</v>
      </c>
      <c r="T29" s="25">
        <f t="shared" si="5"/>
        <v>1</v>
      </c>
      <c r="U29" s="25">
        <f t="shared" si="5"/>
        <v>0</v>
      </c>
      <c r="V29" s="25">
        <f t="shared" si="5"/>
        <v>0</v>
      </c>
      <c r="W29" s="25">
        <f t="shared" si="5"/>
        <v>0</v>
      </c>
      <c r="X29" s="25">
        <f t="shared" si="5"/>
        <v>1</v>
      </c>
      <c r="Y29" s="25">
        <f t="shared" si="5"/>
        <v>1</v>
      </c>
      <c r="Z29" s="25">
        <f t="shared" si="5"/>
        <v>1</v>
      </c>
      <c r="AA29" s="25">
        <f t="shared" si="5"/>
        <v>0</v>
      </c>
      <c r="AB29" s="3">
        <f t="shared" si="6"/>
        <v>0.4</v>
      </c>
      <c r="AC29" s="3">
        <f t="shared" si="7"/>
        <v>0.6</v>
      </c>
      <c r="AD29" s="3">
        <f t="shared" si="8"/>
        <v>0.24</v>
      </c>
      <c r="AE29" s="33"/>
    </row>
    <row r="30" spans="1:31" ht="28" x14ac:dyDescent="0.3">
      <c r="A30" s="24" t="s">
        <v>356</v>
      </c>
      <c r="B30" s="25">
        <v>1</v>
      </c>
      <c r="C30" s="25">
        <v>0</v>
      </c>
      <c r="D30" s="25">
        <v>0</v>
      </c>
      <c r="E30" s="25">
        <v>0</v>
      </c>
      <c r="F30" s="25">
        <v>1</v>
      </c>
      <c r="G30" s="25">
        <v>0</v>
      </c>
      <c r="H30" s="25">
        <v>0</v>
      </c>
      <c r="I30" s="25">
        <v>0</v>
      </c>
      <c r="J30" s="25">
        <v>0</v>
      </c>
      <c r="K30" s="25">
        <v>0</v>
      </c>
      <c r="L30" s="3">
        <f t="shared" si="0"/>
        <v>0.2</v>
      </c>
      <c r="M30" s="26" t="str">
        <f t="shared" si="1"/>
        <v>sukar</v>
      </c>
      <c r="N30" s="3">
        <f t="shared" si="2"/>
        <v>0.4</v>
      </c>
      <c r="O30" s="26" t="str">
        <f t="shared" si="3"/>
        <v>soal diterima baik</v>
      </c>
      <c r="P30" s="33"/>
      <c r="Q30" s="26">
        <v>25</v>
      </c>
      <c r="R30" s="25">
        <f t="shared" si="5"/>
        <v>1</v>
      </c>
      <c r="S30" s="25">
        <f t="shared" si="5"/>
        <v>1</v>
      </c>
      <c r="T30" s="25">
        <f t="shared" si="5"/>
        <v>1</v>
      </c>
      <c r="U30" s="25">
        <f t="shared" si="5"/>
        <v>0</v>
      </c>
      <c r="V30" s="25">
        <f t="shared" si="5"/>
        <v>1</v>
      </c>
      <c r="W30" s="25">
        <f t="shared" si="5"/>
        <v>0</v>
      </c>
      <c r="X30" s="25">
        <f t="shared" si="5"/>
        <v>0</v>
      </c>
      <c r="Y30" s="25">
        <f t="shared" si="5"/>
        <v>0</v>
      </c>
      <c r="Z30" s="25">
        <f t="shared" si="5"/>
        <v>0</v>
      </c>
      <c r="AA30" s="25">
        <f t="shared" si="5"/>
        <v>0</v>
      </c>
      <c r="AB30" s="3">
        <f t="shared" si="6"/>
        <v>0.4</v>
      </c>
      <c r="AC30" s="3">
        <f t="shared" si="7"/>
        <v>0.6</v>
      </c>
      <c r="AD30" s="3">
        <f t="shared" si="8"/>
        <v>0.24</v>
      </c>
      <c r="AE30" s="33"/>
    </row>
    <row r="31" spans="1:31" ht="28" x14ac:dyDescent="0.3">
      <c r="A31" s="24" t="s">
        <v>357</v>
      </c>
      <c r="B31" s="25">
        <v>1</v>
      </c>
      <c r="C31" s="25">
        <v>1</v>
      </c>
      <c r="D31" s="25">
        <v>1</v>
      </c>
      <c r="E31" s="25">
        <v>1</v>
      </c>
      <c r="F31" s="25">
        <v>0</v>
      </c>
      <c r="G31" s="25">
        <v>1</v>
      </c>
      <c r="H31" s="25">
        <v>0</v>
      </c>
      <c r="I31" s="25">
        <v>0</v>
      </c>
      <c r="J31" s="25">
        <v>0</v>
      </c>
      <c r="K31" s="25">
        <v>1</v>
      </c>
      <c r="L31" s="3">
        <f t="shared" si="0"/>
        <v>0.6</v>
      </c>
      <c r="M31" s="26" t="str">
        <f t="shared" si="1"/>
        <v>sedang</v>
      </c>
      <c r="N31" s="3">
        <f t="shared" si="2"/>
        <v>0.4</v>
      </c>
      <c r="O31" s="26" t="str">
        <f t="shared" si="3"/>
        <v>soal diterima baik</v>
      </c>
      <c r="P31" s="33"/>
      <c r="Q31" s="26">
        <v>26</v>
      </c>
      <c r="R31" s="25">
        <f t="shared" si="5"/>
        <v>1</v>
      </c>
      <c r="S31" s="25">
        <f t="shared" si="5"/>
        <v>0</v>
      </c>
      <c r="T31" s="25">
        <f t="shared" si="5"/>
        <v>0</v>
      </c>
      <c r="U31" s="25">
        <f t="shared" si="5"/>
        <v>0</v>
      </c>
      <c r="V31" s="25">
        <f t="shared" si="5"/>
        <v>1</v>
      </c>
      <c r="W31" s="25">
        <f t="shared" si="5"/>
        <v>0</v>
      </c>
      <c r="X31" s="25">
        <f t="shared" si="5"/>
        <v>0</v>
      </c>
      <c r="Y31" s="25">
        <f t="shared" si="5"/>
        <v>0</v>
      </c>
      <c r="Z31" s="25">
        <f t="shared" si="5"/>
        <v>0</v>
      </c>
      <c r="AA31" s="25">
        <f t="shared" si="5"/>
        <v>0</v>
      </c>
      <c r="AB31" s="3">
        <f t="shared" si="6"/>
        <v>0.2</v>
      </c>
      <c r="AC31" s="3">
        <f t="shared" si="7"/>
        <v>0.8</v>
      </c>
      <c r="AD31" s="3">
        <f t="shared" si="8"/>
        <v>0.16000000000000003</v>
      </c>
      <c r="AE31" s="33"/>
    </row>
    <row r="32" spans="1:31" ht="42" x14ac:dyDescent="0.3">
      <c r="A32" s="28" t="s">
        <v>358</v>
      </c>
      <c r="B32" s="25">
        <v>1</v>
      </c>
      <c r="C32" s="25">
        <v>1</v>
      </c>
      <c r="D32" s="25">
        <v>0</v>
      </c>
      <c r="E32" s="25">
        <v>1</v>
      </c>
      <c r="F32" s="25">
        <v>1</v>
      </c>
      <c r="G32" s="25">
        <v>0</v>
      </c>
      <c r="H32" s="25">
        <v>1</v>
      </c>
      <c r="I32" s="25">
        <v>0</v>
      </c>
      <c r="J32" s="25">
        <v>1</v>
      </c>
      <c r="K32" s="25">
        <v>0</v>
      </c>
      <c r="L32" s="3">
        <f t="shared" si="0"/>
        <v>0.6</v>
      </c>
      <c r="M32" s="26" t="str">
        <f t="shared" si="1"/>
        <v>sedang</v>
      </c>
      <c r="N32" s="3">
        <f t="shared" si="2"/>
        <v>0.4</v>
      </c>
      <c r="O32" s="26" t="str">
        <f t="shared" si="3"/>
        <v>soal diterima baik</v>
      </c>
      <c r="P32" s="33"/>
      <c r="Q32" s="26">
        <v>27</v>
      </c>
      <c r="R32" s="25">
        <f t="shared" si="5"/>
        <v>1</v>
      </c>
      <c r="S32" s="25">
        <f t="shared" si="5"/>
        <v>1</v>
      </c>
      <c r="T32" s="25">
        <f t="shared" si="5"/>
        <v>1</v>
      </c>
      <c r="U32" s="25">
        <f t="shared" si="5"/>
        <v>1</v>
      </c>
      <c r="V32" s="25">
        <f t="shared" si="5"/>
        <v>0</v>
      </c>
      <c r="W32" s="25">
        <f t="shared" si="5"/>
        <v>1</v>
      </c>
      <c r="X32" s="25">
        <f t="shared" si="5"/>
        <v>0</v>
      </c>
      <c r="Y32" s="25">
        <f t="shared" si="5"/>
        <v>0</v>
      </c>
      <c r="Z32" s="25">
        <f t="shared" si="5"/>
        <v>0</v>
      </c>
      <c r="AA32" s="25">
        <f t="shared" si="5"/>
        <v>1</v>
      </c>
      <c r="AB32" s="3">
        <f t="shared" si="6"/>
        <v>0.6</v>
      </c>
      <c r="AC32" s="3">
        <f t="shared" si="7"/>
        <v>0.4</v>
      </c>
      <c r="AD32" s="3">
        <f t="shared" si="8"/>
        <v>0.24</v>
      </c>
      <c r="AE32" s="33"/>
    </row>
    <row r="33" spans="1:31" ht="28" x14ac:dyDescent="0.3">
      <c r="A33" s="30" t="s">
        <v>359</v>
      </c>
      <c r="B33" s="25">
        <v>1</v>
      </c>
      <c r="C33" s="25">
        <v>1</v>
      </c>
      <c r="D33" s="25">
        <v>1</v>
      </c>
      <c r="E33" s="25">
        <v>1</v>
      </c>
      <c r="F33" s="25">
        <v>1</v>
      </c>
      <c r="G33" s="25">
        <v>0</v>
      </c>
      <c r="H33" s="25">
        <v>1</v>
      </c>
      <c r="I33" s="25">
        <v>1</v>
      </c>
      <c r="J33" s="25">
        <v>1</v>
      </c>
      <c r="K33" s="25">
        <v>0</v>
      </c>
      <c r="L33" s="3">
        <f t="shared" si="0"/>
        <v>0.8</v>
      </c>
      <c r="M33" s="26" t="str">
        <f t="shared" si="1"/>
        <v>mudah</v>
      </c>
      <c r="N33" s="3">
        <f t="shared" si="2"/>
        <v>0.4</v>
      </c>
      <c r="O33" s="26" t="str">
        <f t="shared" si="3"/>
        <v>soal diterima baik</v>
      </c>
      <c r="P33" s="33"/>
      <c r="Q33" s="26">
        <v>28</v>
      </c>
      <c r="R33" s="25">
        <f t="shared" si="5"/>
        <v>1</v>
      </c>
      <c r="S33" s="25">
        <f t="shared" si="5"/>
        <v>1</v>
      </c>
      <c r="T33" s="25">
        <f t="shared" si="5"/>
        <v>0</v>
      </c>
      <c r="U33" s="25">
        <f t="shared" si="5"/>
        <v>1</v>
      </c>
      <c r="V33" s="25">
        <f t="shared" si="5"/>
        <v>1</v>
      </c>
      <c r="W33" s="25">
        <f t="shared" si="5"/>
        <v>0</v>
      </c>
      <c r="X33" s="25">
        <f t="shared" si="5"/>
        <v>1</v>
      </c>
      <c r="Y33" s="25">
        <f t="shared" si="5"/>
        <v>0</v>
      </c>
      <c r="Z33" s="25">
        <f t="shared" si="5"/>
        <v>1</v>
      </c>
      <c r="AA33" s="25">
        <f t="shared" si="5"/>
        <v>0</v>
      </c>
      <c r="AB33" s="3">
        <f t="shared" si="6"/>
        <v>0.6</v>
      </c>
      <c r="AC33" s="3">
        <f t="shared" si="7"/>
        <v>0.4</v>
      </c>
      <c r="AD33" s="3">
        <f t="shared" si="8"/>
        <v>0.24</v>
      </c>
      <c r="AE33" s="33"/>
    </row>
    <row r="34" spans="1:31" ht="112" x14ac:dyDescent="0.3">
      <c r="A34" s="24" t="s">
        <v>360</v>
      </c>
      <c r="B34" s="25">
        <v>0</v>
      </c>
      <c r="C34" s="25">
        <v>1</v>
      </c>
      <c r="D34" s="25">
        <v>1</v>
      </c>
      <c r="E34" s="25">
        <v>0</v>
      </c>
      <c r="F34" s="25">
        <v>0</v>
      </c>
      <c r="G34" s="25">
        <v>1</v>
      </c>
      <c r="H34" s="25">
        <v>0</v>
      </c>
      <c r="I34" s="25">
        <v>1</v>
      </c>
      <c r="J34" s="25">
        <v>1</v>
      </c>
      <c r="K34" s="25">
        <v>1</v>
      </c>
      <c r="L34" s="3">
        <f t="shared" si="0"/>
        <v>0.6</v>
      </c>
      <c r="M34" s="26" t="str">
        <f t="shared" si="1"/>
        <v>sedang</v>
      </c>
      <c r="N34" s="3">
        <f t="shared" si="2"/>
        <v>0.4</v>
      </c>
      <c r="O34" s="26" t="str">
        <f t="shared" si="3"/>
        <v>soal diterima baik</v>
      </c>
      <c r="P34" s="33"/>
      <c r="Q34" s="26">
        <v>29</v>
      </c>
      <c r="R34" s="25">
        <f t="shared" si="5"/>
        <v>1</v>
      </c>
      <c r="S34" s="25">
        <f t="shared" si="5"/>
        <v>1</v>
      </c>
      <c r="T34" s="25">
        <f t="shared" si="5"/>
        <v>1</v>
      </c>
      <c r="U34" s="25">
        <f t="shared" si="5"/>
        <v>1</v>
      </c>
      <c r="V34" s="25">
        <f t="shared" si="5"/>
        <v>1</v>
      </c>
      <c r="W34" s="25">
        <f t="shared" si="5"/>
        <v>0</v>
      </c>
      <c r="X34" s="25">
        <f t="shared" si="5"/>
        <v>1</v>
      </c>
      <c r="Y34" s="25">
        <f t="shared" si="5"/>
        <v>1</v>
      </c>
      <c r="Z34" s="25">
        <f t="shared" si="5"/>
        <v>1</v>
      </c>
      <c r="AA34" s="25">
        <f t="shared" si="5"/>
        <v>0</v>
      </c>
      <c r="AB34" s="3">
        <f t="shared" si="6"/>
        <v>0.8</v>
      </c>
      <c r="AC34" s="3">
        <f t="shared" si="7"/>
        <v>0.19999999999999996</v>
      </c>
      <c r="AD34" s="3">
        <f t="shared" si="8"/>
        <v>0.15999999999999998</v>
      </c>
      <c r="AE34" s="33"/>
    </row>
    <row r="35" spans="1:31" ht="56" x14ac:dyDescent="0.3">
      <c r="A35" s="30" t="s">
        <v>361</v>
      </c>
      <c r="B35" s="25">
        <v>1</v>
      </c>
      <c r="C35" s="25">
        <v>1</v>
      </c>
      <c r="D35" s="25">
        <v>1</v>
      </c>
      <c r="E35" s="25">
        <v>0</v>
      </c>
      <c r="F35" s="25">
        <v>1</v>
      </c>
      <c r="G35" s="25">
        <v>0</v>
      </c>
      <c r="H35" s="25">
        <v>0</v>
      </c>
      <c r="I35" s="25">
        <v>0</v>
      </c>
      <c r="J35" s="25">
        <v>0</v>
      </c>
      <c r="K35" s="25">
        <v>0</v>
      </c>
      <c r="L35" s="3">
        <f t="shared" si="0"/>
        <v>0.4</v>
      </c>
      <c r="M35" s="26" t="str">
        <f t="shared" si="1"/>
        <v>sedang</v>
      </c>
      <c r="N35" s="3">
        <f t="shared" si="2"/>
        <v>0.8</v>
      </c>
      <c r="O35" s="26" t="str">
        <f t="shared" si="3"/>
        <v>soal diterima baik</v>
      </c>
      <c r="P35" s="33"/>
      <c r="Q35" s="26">
        <v>30</v>
      </c>
      <c r="R35" s="25">
        <f t="shared" si="5"/>
        <v>0</v>
      </c>
      <c r="S35" s="25">
        <f t="shared" si="5"/>
        <v>1</v>
      </c>
      <c r="T35" s="25">
        <f t="shared" si="5"/>
        <v>1</v>
      </c>
      <c r="U35" s="25">
        <f t="shared" si="5"/>
        <v>0</v>
      </c>
      <c r="V35" s="25">
        <f t="shared" si="5"/>
        <v>0</v>
      </c>
      <c r="W35" s="25">
        <f t="shared" si="5"/>
        <v>1</v>
      </c>
      <c r="X35" s="25">
        <f t="shared" si="5"/>
        <v>0</v>
      </c>
      <c r="Y35" s="25">
        <f t="shared" si="5"/>
        <v>1</v>
      </c>
      <c r="Z35" s="25">
        <f t="shared" si="5"/>
        <v>1</v>
      </c>
      <c r="AA35" s="25">
        <f t="shared" si="5"/>
        <v>1</v>
      </c>
      <c r="AB35" s="3">
        <f t="shared" si="6"/>
        <v>0.6</v>
      </c>
      <c r="AC35" s="3">
        <f t="shared" si="7"/>
        <v>0.4</v>
      </c>
      <c r="AD35" s="3">
        <f t="shared" si="8"/>
        <v>0.24</v>
      </c>
      <c r="AE35" s="33"/>
    </row>
    <row r="36" spans="1:31" ht="42" x14ac:dyDescent="0.3">
      <c r="A36" s="24" t="s">
        <v>362</v>
      </c>
      <c r="B36" s="25">
        <v>0</v>
      </c>
      <c r="C36" s="25">
        <v>1</v>
      </c>
      <c r="D36" s="25">
        <v>0</v>
      </c>
      <c r="E36" s="25">
        <v>1</v>
      </c>
      <c r="F36" s="25">
        <v>0</v>
      </c>
      <c r="G36" s="25">
        <v>0</v>
      </c>
      <c r="H36" s="25">
        <v>1</v>
      </c>
      <c r="I36" s="25">
        <v>1</v>
      </c>
      <c r="J36" s="25">
        <v>1</v>
      </c>
      <c r="K36" s="25">
        <v>1</v>
      </c>
      <c r="L36" s="3">
        <f t="shared" si="0"/>
        <v>0.6</v>
      </c>
      <c r="M36" s="26" t="str">
        <f t="shared" si="1"/>
        <v>sedang</v>
      </c>
      <c r="N36" s="3">
        <f t="shared" si="2"/>
        <v>0.4</v>
      </c>
      <c r="O36" s="26" t="str">
        <f t="shared" si="3"/>
        <v>soal diterima baik</v>
      </c>
      <c r="P36" s="33"/>
      <c r="Q36" s="26">
        <v>31</v>
      </c>
      <c r="R36" s="25">
        <f t="shared" si="5"/>
        <v>1</v>
      </c>
      <c r="S36" s="25">
        <f t="shared" si="5"/>
        <v>1</v>
      </c>
      <c r="T36" s="25">
        <f t="shared" si="5"/>
        <v>1</v>
      </c>
      <c r="U36" s="25">
        <f t="shared" si="5"/>
        <v>0</v>
      </c>
      <c r="V36" s="25">
        <f t="shared" si="5"/>
        <v>1</v>
      </c>
      <c r="W36" s="25">
        <f t="shared" si="5"/>
        <v>0</v>
      </c>
      <c r="X36" s="25">
        <f t="shared" si="5"/>
        <v>0</v>
      </c>
      <c r="Y36" s="25">
        <f t="shared" si="5"/>
        <v>0</v>
      </c>
      <c r="Z36" s="25">
        <f t="shared" si="5"/>
        <v>0</v>
      </c>
      <c r="AA36" s="25">
        <f t="shared" si="5"/>
        <v>0</v>
      </c>
      <c r="AB36" s="3">
        <f t="shared" si="6"/>
        <v>0.4</v>
      </c>
      <c r="AC36" s="3">
        <f t="shared" si="7"/>
        <v>0.6</v>
      </c>
      <c r="AD36" s="3">
        <f t="shared" si="8"/>
        <v>0.24</v>
      </c>
      <c r="AE36" s="33"/>
    </row>
    <row r="37" spans="1:31" ht="56" x14ac:dyDescent="0.3">
      <c r="A37" s="24" t="s">
        <v>363</v>
      </c>
      <c r="B37" s="25">
        <v>1</v>
      </c>
      <c r="C37" s="25">
        <v>1</v>
      </c>
      <c r="D37" s="25">
        <v>0</v>
      </c>
      <c r="E37" s="25">
        <v>1</v>
      </c>
      <c r="F37" s="25">
        <v>1</v>
      </c>
      <c r="G37" s="25">
        <v>1</v>
      </c>
      <c r="H37" s="25">
        <v>0</v>
      </c>
      <c r="I37" s="25">
        <v>0</v>
      </c>
      <c r="J37" s="25">
        <v>0</v>
      </c>
      <c r="K37" s="25">
        <v>1</v>
      </c>
      <c r="L37" s="3">
        <f t="shared" si="0"/>
        <v>0.6</v>
      </c>
      <c r="M37" s="26" t="str">
        <f t="shared" si="1"/>
        <v>sedang</v>
      </c>
      <c r="N37" s="3">
        <f t="shared" si="2"/>
        <v>0.4</v>
      </c>
      <c r="O37" s="26" t="str">
        <f t="shared" si="3"/>
        <v>soal diterima baik</v>
      </c>
      <c r="P37" s="33"/>
      <c r="Q37" s="26">
        <v>32</v>
      </c>
      <c r="R37" s="25">
        <f t="shared" si="5"/>
        <v>0</v>
      </c>
      <c r="S37" s="25">
        <f t="shared" si="5"/>
        <v>1</v>
      </c>
      <c r="T37" s="25">
        <f t="shared" si="5"/>
        <v>0</v>
      </c>
      <c r="U37" s="25">
        <f t="shared" si="5"/>
        <v>1</v>
      </c>
      <c r="V37" s="25">
        <f t="shared" si="5"/>
        <v>0</v>
      </c>
      <c r="W37" s="25">
        <f t="shared" si="5"/>
        <v>0</v>
      </c>
      <c r="X37" s="25">
        <f t="shared" si="5"/>
        <v>1</v>
      </c>
      <c r="Y37" s="25">
        <f t="shared" si="5"/>
        <v>1</v>
      </c>
      <c r="Z37" s="25">
        <f t="shared" si="5"/>
        <v>1</v>
      </c>
      <c r="AA37" s="25">
        <f t="shared" si="5"/>
        <v>1</v>
      </c>
      <c r="AB37" s="3">
        <f t="shared" si="6"/>
        <v>0.6</v>
      </c>
      <c r="AC37" s="3">
        <f t="shared" si="7"/>
        <v>0.4</v>
      </c>
      <c r="AD37" s="3">
        <f t="shared" si="8"/>
        <v>0.24</v>
      </c>
      <c r="AE37" s="33"/>
    </row>
    <row r="38" spans="1:31" ht="28" x14ac:dyDescent="0.3">
      <c r="A38" s="24" t="s">
        <v>364</v>
      </c>
      <c r="B38" s="25">
        <v>1</v>
      </c>
      <c r="C38" s="25">
        <v>0</v>
      </c>
      <c r="D38" s="25">
        <v>1</v>
      </c>
      <c r="E38" s="25">
        <v>0</v>
      </c>
      <c r="F38" s="25">
        <v>0</v>
      </c>
      <c r="G38" s="25">
        <v>0</v>
      </c>
      <c r="H38" s="25">
        <v>0</v>
      </c>
      <c r="I38" s="25">
        <v>0</v>
      </c>
      <c r="J38" s="25">
        <v>0</v>
      </c>
      <c r="K38" s="25">
        <v>0</v>
      </c>
      <c r="L38" s="3">
        <f t="shared" si="0"/>
        <v>0.2</v>
      </c>
      <c r="M38" s="26" t="str">
        <f t="shared" si="1"/>
        <v>sukar</v>
      </c>
      <c r="N38" s="3">
        <f t="shared" si="2"/>
        <v>0.4</v>
      </c>
      <c r="O38" s="26" t="str">
        <f t="shared" si="3"/>
        <v>soal diterima baik</v>
      </c>
      <c r="P38" s="33"/>
      <c r="Q38" s="26">
        <v>33</v>
      </c>
      <c r="R38" s="25">
        <f t="shared" si="5"/>
        <v>1</v>
      </c>
      <c r="S38" s="25">
        <f t="shared" si="5"/>
        <v>1</v>
      </c>
      <c r="T38" s="25">
        <f t="shared" si="5"/>
        <v>0</v>
      </c>
      <c r="U38" s="25">
        <f t="shared" si="5"/>
        <v>1</v>
      </c>
      <c r="V38" s="25">
        <f t="shared" si="5"/>
        <v>1</v>
      </c>
      <c r="W38" s="25">
        <f t="shared" si="5"/>
        <v>1</v>
      </c>
      <c r="X38" s="25">
        <f t="shared" si="5"/>
        <v>0</v>
      </c>
      <c r="Y38" s="25">
        <f t="shared" si="5"/>
        <v>0</v>
      </c>
      <c r="Z38" s="25">
        <f t="shared" si="5"/>
        <v>0</v>
      </c>
      <c r="AA38" s="25">
        <f t="shared" si="5"/>
        <v>1</v>
      </c>
      <c r="AB38" s="3">
        <f t="shared" si="6"/>
        <v>0.6</v>
      </c>
      <c r="AC38" s="3">
        <f t="shared" si="7"/>
        <v>0.4</v>
      </c>
      <c r="AD38" s="3">
        <f t="shared" si="8"/>
        <v>0.24</v>
      </c>
      <c r="AE38" s="33"/>
    </row>
    <row r="39" spans="1:31" ht="28" x14ac:dyDescent="0.3">
      <c r="A39" s="30" t="s">
        <v>365</v>
      </c>
      <c r="B39" s="25">
        <v>0</v>
      </c>
      <c r="C39" s="25">
        <v>0</v>
      </c>
      <c r="D39" s="25">
        <v>1</v>
      </c>
      <c r="E39" s="25">
        <v>0</v>
      </c>
      <c r="F39" s="25">
        <v>0</v>
      </c>
      <c r="G39" s="25">
        <v>1</v>
      </c>
      <c r="H39" s="25">
        <v>1</v>
      </c>
      <c r="I39" s="25">
        <v>1</v>
      </c>
      <c r="J39" s="25">
        <v>1</v>
      </c>
      <c r="K39" s="25">
        <v>1</v>
      </c>
      <c r="L39" s="3">
        <f t="shared" si="0"/>
        <v>0.6</v>
      </c>
      <c r="M39" s="26" t="str">
        <f t="shared" si="1"/>
        <v>sedang</v>
      </c>
      <c r="N39" s="3">
        <f t="shared" si="2"/>
        <v>0.8</v>
      </c>
      <c r="O39" s="26" t="str">
        <f t="shared" si="3"/>
        <v>soal diterima baik</v>
      </c>
      <c r="P39" s="33"/>
      <c r="Q39" s="26">
        <v>34</v>
      </c>
      <c r="R39" s="25">
        <f t="shared" si="5"/>
        <v>1</v>
      </c>
      <c r="S39" s="25">
        <f t="shared" si="5"/>
        <v>0</v>
      </c>
      <c r="T39" s="25">
        <f t="shared" si="5"/>
        <v>1</v>
      </c>
      <c r="U39" s="25">
        <f t="shared" si="5"/>
        <v>0</v>
      </c>
      <c r="V39" s="25">
        <f t="shared" si="5"/>
        <v>0</v>
      </c>
      <c r="W39" s="25">
        <f t="shared" si="5"/>
        <v>0</v>
      </c>
      <c r="X39" s="25">
        <f t="shared" si="5"/>
        <v>0</v>
      </c>
      <c r="Y39" s="25">
        <f t="shared" si="5"/>
        <v>0</v>
      </c>
      <c r="Z39" s="25">
        <f t="shared" si="5"/>
        <v>0</v>
      </c>
      <c r="AA39" s="25">
        <f t="shared" si="5"/>
        <v>0</v>
      </c>
      <c r="AB39" s="3">
        <f t="shared" si="6"/>
        <v>0.2</v>
      </c>
      <c r="AC39" s="3">
        <f t="shared" si="7"/>
        <v>0.8</v>
      </c>
      <c r="AD39" s="3">
        <f t="shared" si="8"/>
        <v>0.16000000000000003</v>
      </c>
      <c r="AE39" s="33"/>
    </row>
    <row r="40" spans="1:31" ht="70" x14ac:dyDescent="0.3">
      <c r="A40" s="30" t="s">
        <v>366</v>
      </c>
      <c r="B40" s="25">
        <v>0</v>
      </c>
      <c r="C40" s="25">
        <v>1</v>
      </c>
      <c r="D40" s="25">
        <v>1</v>
      </c>
      <c r="E40" s="25">
        <v>1</v>
      </c>
      <c r="F40" s="25">
        <v>0</v>
      </c>
      <c r="G40" s="25">
        <v>0</v>
      </c>
      <c r="H40" s="25">
        <v>0</v>
      </c>
      <c r="I40" s="25">
        <v>1</v>
      </c>
      <c r="J40" s="25">
        <v>0</v>
      </c>
      <c r="K40" s="25">
        <v>0</v>
      </c>
      <c r="L40" s="3">
        <f t="shared" si="0"/>
        <v>0.4</v>
      </c>
      <c r="M40" s="26" t="str">
        <f t="shared" si="1"/>
        <v>sedang</v>
      </c>
      <c r="N40" s="3">
        <f t="shared" si="2"/>
        <v>0.4</v>
      </c>
      <c r="O40" s="26" t="str">
        <f t="shared" si="3"/>
        <v>soal diterima baik</v>
      </c>
      <c r="P40" s="33"/>
      <c r="Q40" s="26">
        <v>35</v>
      </c>
      <c r="R40" s="25">
        <f t="shared" si="5"/>
        <v>0</v>
      </c>
      <c r="S40" s="25">
        <f t="shared" si="5"/>
        <v>0</v>
      </c>
      <c r="T40" s="25">
        <f t="shared" si="5"/>
        <v>1</v>
      </c>
      <c r="U40" s="25">
        <f t="shared" si="5"/>
        <v>0</v>
      </c>
      <c r="V40" s="25">
        <f t="shared" si="5"/>
        <v>0</v>
      </c>
      <c r="W40" s="25">
        <f t="shared" si="5"/>
        <v>1</v>
      </c>
      <c r="X40" s="25">
        <f t="shared" si="5"/>
        <v>1</v>
      </c>
      <c r="Y40" s="25">
        <f t="shared" si="5"/>
        <v>1</v>
      </c>
      <c r="Z40" s="25">
        <f t="shared" si="5"/>
        <v>1</v>
      </c>
      <c r="AA40" s="25">
        <f t="shared" si="5"/>
        <v>1</v>
      </c>
      <c r="AB40" s="3">
        <f t="shared" si="6"/>
        <v>0.6</v>
      </c>
      <c r="AC40" s="3">
        <f t="shared" si="7"/>
        <v>0.4</v>
      </c>
      <c r="AD40" s="3">
        <f t="shared" si="8"/>
        <v>0.24</v>
      </c>
      <c r="AE40" s="33"/>
    </row>
    <row r="41" spans="1:31" ht="42" x14ac:dyDescent="0.3">
      <c r="A41" s="30" t="s">
        <v>367</v>
      </c>
      <c r="B41" s="25">
        <v>0</v>
      </c>
      <c r="C41" s="25">
        <v>1</v>
      </c>
      <c r="D41" s="25">
        <v>1</v>
      </c>
      <c r="E41" s="25">
        <v>1</v>
      </c>
      <c r="F41" s="25">
        <v>0</v>
      </c>
      <c r="G41" s="25">
        <v>0</v>
      </c>
      <c r="H41" s="25">
        <v>0</v>
      </c>
      <c r="I41" s="25">
        <v>1</v>
      </c>
      <c r="J41" s="25">
        <v>0</v>
      </c>
      <c r="K41" s="25">
        <v>0</v>
      </c>
      <c r="L41" s="3">
        <f t="shared" si="0"/>
        <v>0.4</v>
      </c>
      <c r="M41" s="26" t="str">
        <f t="shared" si="1"/>
        <v>sedang</v>
      </c>
      <c r="N41" s="3">
        <f t="shared" si="2"/>
        <v>0.4</v>
      </c>
      <c r="O41" s="26" t="str">
        <f t="shared" si="3"/>
        <v>soal diterima baik</v>
      </c>
      <c r="P41" s="33"/>
      <c r="Q41" s="26">
        <v>36</v>
      </c>
      <c r="R41" s="25">
        <f t="shared" si="5"/>
        <v>0</v>
      </c>
      <c r="S41" s="25">
        <f t="shared" si="5"/>
        <v>1</v>
      </c>
      <c r="T41" s="25">
        <f t="shared" si="5"/>
        <v>1</v>
      </c>
      <c r="U41" s="25">
        <f t="shared" si="5"/>
        <v>1</v>
      </c>
      <c r="V41" s="25">
        <f t="shared" si="5"/>
        <v>0</v>
      </c>
      <c r="W41" s="25">
        <f t="shared" si="5"/>
        <v>0</v>
      </c>
      <c r="X41" s="25">
        <f t="shared" si="5"/>
        <v>0</v>
      </c>
      <c r="Y41" s="25">
        <f t="shared" si="5"/>
        <v>1</v>
      </c>
      <c r="Z41" s="25">
        <f t="shared" si="5"/>
        <v>0</v>
      </c>
      <c r="AA41" s="25">
        <f t="shared" si="5"/>
        <v>0</v>
      </c>
      <c r="AB41" s="3">
        <f t="shared" si="6"/>
        <v>0.4</v>
      </c>
      <c r="AC41" s="3">
        <f t="shared" si="7"/>
        <v>0.6</v>
      </c>
      <c r="AD41" s="3">
        <f t="shared" si="8"/>
        <v>0.24</v>
      </c>
      <c r="AE41" s="33"/>
    </row>
    <row r="42" spans="1:31" ht="42" x14ac:dyDescent="0.3">
      <c r="A42" s="28" t="s">
        <v>368</v>
      </c>
      <c r="B42" s="25">
        <v>1</v>
      </c>
      <c r="C42" s="25">
        <v>1</v>
      </c>
      <c r="D42" s="25">
        <v>1</v>
      </c>
      <c r="E42" s="25">
        <v>0</v>
      </c>
      <c r="F42" s="25">
        <v>1</v>
      </c>
      <c r="G42" s="25">
        <v>0</v>
      </c>
      <c r="H42" s="25">
        <v>0</v>
      </c>
      <c r="I42" s="25">
        <v>1</v>
      </c>
      <c r="J42" s="25">
        <v>1</v>
      </c>
      <c r="K42" s="25">
        <v>0</v>
      </c>
      <c r="L42" s="3">
        <f t="shared" si="0"/>
        <v>0.6</v>
      </c>
      <c r="M42" s="26" t="str">
        <f t="shared" si="1"/>
        <v>sedang</v>
      </c>
      <c r="N42" s="3">
        <f t="shared" si="2"/>
        <v>0.4</v>
      </c>
      <c r="O42" s="26" t="str">
        <f t="shared" si="3"/>
        <v>soal diterima baik</v>
      </c>
      <c r="P42" s="33"/>
      <c r="Q42" s="26">
        <v>37</v>
      </c>
      <c r="R42" s="25">
        <f t="shared" si="5"/>
        <v>0</v>
      </c>
      <c r="S42" s="25">
        <f t="shared" si="5"/>
        <v>1</v>
      </c>
      <c r="T42" s="25">
        <f t="shared" si="5"/>
        <v>1</v>
      </c>
      <c r="U42" s="25">
        <f t="shared" si="5"/>
        <v>1</v>
      </c>
      <c r="V42" s="25">
        <f t="shared" si="5"/>
        <v>0</v>
      </c>
      <c r="W42" s="25">
        <f t="shared" si="5"/>
        <v>0</v>
      </c>
      <c r="X42" s="25">
        <f t="shared" si="5"/>
        <v>0</v>
      </c>
      <c r="Y42" s="25">
        <f t="shared" si="5"/>
        <v>1</v>
      </c>
      <c r="Z42" s="25">
        <f t="shared" si="5"/>
        <v>0</v>
      </c>
      <c r="AA42" s="25">
        <f t="shared" si="5"/>
        <v>0</v>
      </c>
      <c r="AB42" s="3">
        <f t="shared" si="6"/>
        <v>0.4</v>
      </c>
      <c r="AC42" s="3">
        <f t="shared" si="7"/>
        <v>0.6</v>
      </c>
      <c r="AD42" s="3">
        <f t="shared" si="8"/>
        <v>0.24</v>
      </c>
      <c r="AE42" s="33"/>
    </row>
    <row r="43" spans="1:31" ht="56" x14ac:dyDescent="0.3">
      <c r="A43" s="24" t="s">
        <v>369</v>
      </c>
      <c r="B43" s="25">
        <v>1</v>
      </c>
      <c r="C43" s="25">
        <v>1</v>
      </c>
      <c r="D43" s="25">
        <v>1</v>
      </c>
      <c r="E43" s="25">
        <v>1</v>
      </c>
      <c r="F43" s="25">
        <v>0</v>
      </c>
      <c r="G43" s="25">
        <v>1</v>
      </c>
      <c r="H43" s="25">
        <v>0</v>
      </c>
      <c r="I43" s="25">
        <v>0</v>
      </c>
      <c r="J43" s="25">
        <v>1</v>
      </c>
      <c r="K43" s="25">
        <v>0</v>
      </c>
      <c r="L43" s="3">
        <f t="shared" si="0"/>
        <v>0.6</v>
      </c>
      <c r="M43" s="26" t="str">
        <f t="shared" si="1"/>
        <v>sedang</v>
      </c>
      <c r="N43" s="3">
        <f t="shared" si="2"/>
        <v>0.4</v>
      </c>
      <c r="O43" s="26" t="str">
        <f t="shared" si="3"/>
        <v>soal diterima baik</v>
      </c>
      <c r="P43" s="33"/>
      <c r="Q43" s="26">
        <v>38</v>
      </c>
      <c r="R43" s="25">
        <f t="shared" si="5"/>
        <v>1</v>
      </c>
      <c r="S43" s="25">
        <f t="shared" si="5"/>
        <v>1</v>
      </c>
      <c r="T43" s="25">
        <f t="shared" si="5"/>
        <v>1</v>
      </c>
      <c r="U43" s="25">
        <f t="shared" si="5"/>
        <v>0</v>
      </c>
      <c r="V43" s="25">
        <f t="shared" si="5"/>
        <v>1</v>
      </c>
      <c r="W43" s="25">
        <f t="shared" si="5"/>
        <v>0</v>
      </c>
      <c r="X43" s="25">
        <f t="shared" si="5"/>
        <v>0</v>
      </c>
      <c r="Y43" s="25">
        <f t="shared" si="5"/>
        <v>1</v>
      </c>
      <c r="Z43" s="25">
        <f t="shared" si="5"/>
        <v>1</v>
      </c>
      <c r="AA43" s="25">
        <f t="shared" si="5"/>
        <v>0</v>
      </c>
      <c r="AB43" s="3">
        <f t="shared" si="6"/>
        <v>0.6</v>
      </c>
      <c r="AC43" s="3">
        <f t="shared" si="7"/>
        <v>0.4</v>
      </c>
      <c r="AD43" s="3">
        <f t="shared" si="8"/>
        <v>0.24</v>
      </c>
      <c r="AE43" s="33"/>
    </row>
    <row r="44" spans="1:31" ht="42" x14ac:dyDescent="0.3">
      <c r="A44" s="30" t="s">
        <v>370</v>
      </c>
      <c r="B44" s="25">
        <v>0</v>
      </c>
      <c r="C44" s="25">
        <v>1</v>
      </c>
      <c r="D44" s="25">
        <v>0</v>
      </c>
      <c r="E44" s="25">
        <v>1</v>
      </c>
      <c r="F44" s="25">
        <v>1</v>
      </c>
      <c r="G44" s="25">
        <v>1</v>
      </c>
      <c r="H44" s="25">
        <v>1</v>
      </c>
      <c r="I44" s="25">
        <v>1</v>
      </c>
      <c r="J44" s="25">
        <v>1</v>
      </c>
      <c r="K44" s="25">
        <v>1</v>
      </c>
      <c r="L44" s="3">
        <f t="shared" si="0"/>
        <v>0.8</v>
      </c>
      <c r="M44" s="26" t="str">
        <f t="shared" si="1"/>
        <v>mudah</v>
      </c>
      <c r="N44" s="3">
        <f t="shared" si="2"/>
        <v>0.4</v>
      </c>
      <c r="O44" s="26" t="str">
        <f t="shared" si="3"/>
        <v>soal diterima baik</v>
      </c>
      <c r="P44" s="33"/>
      <c r="Q44" s="26">
        <v>39</v>
      </c>
      <c r="R44" s="25">
        <f t="shared" si="5"/>
        <v>1</v>
      </c>
      <c r="S44" s="25">
        <f t="shared" si="5"/>
        <v>1</v>
      </c>
      <c r="T44" s="25">
        <f t="shared" si="5"/>
        <v>1</v>
      </c>
      <c r="U44" s="25">
        <f t="shared" si="5"/>
        <v>1</v>
      </c>
      <c r="V44" s="25">
        <f t="shared" si="5"/>
        <v>0</v>
      </c>
      <c r="W44" s="25">
        <f t="shared" si="5"/>
        <v>1</v>
      </c>
      <c r="X44" s="25">
        <f t="shared" si="5"/>
        <v>0</v>
      </c>
      <c r="Y44" s="25">
        <f t="shared" si="5"/>
        <v>0</v>
      </c>
      <c r="Z44" s="25">
        <f t="shared" si="5"/>
        <v>1</v>
      </c>
      <c r="AA44" s="25">
        <f t="shared" si="5"/>
        <v>0</v>
      </c>
      <c r="AB44" s="3">
        <f t="shared" si="6"/>
        <v>0.6</v>
      </c>
      <c r="AC44" s="3">
        <f t="shared" si="7"/>
        <v>0.4</v>
      </c>
      <c r="AD44" s="3">
        <f t="shared" si="8"/>
        <v>0.24</v>
      </c>
      <c r="AE44" s="33"/>
    </row>
    <row r="45" spans="1:31" ht="28" x14ac:dyDescent="0.3">
      <c r="A45" s="24" t="s">
        <v>371</v>
      </c>
      <c r="B45" s="25">
        <v>1</v>
      </c>
      <c r="C45" s="25">
        <v>1</v>
      </c>
      <c r="D45" s="25">
        <v>1</v>
      </c>
      <c r="E45" s="25">
        <v>1</v>
      </c>
      <c r="F45" s="25">
        <v>1</v>
      </c>
      <c r="G45" s="25">
        <v>0</v>
      </c>
      <c r="H45" s="25">
        <v>1</v>
      </c>
      <c r="I45" s="25">
        <v>1</v>
      </c>
      <c r="J45" s="25">
        <v>1</v>
      </c>
      <c r="K45" s="25">
        <v>0</v>
      </c>
      <c r="L45" s="3">
        <f t="shared" si="0"/>
        <v>0.8</v>
      </c>
      <c r="M45" s="26" t="str">
        <f t="shared" si="1"/>
        <v>mudah</v>
      </c>
      <c r="N45" s="3">
        <f t="shared" si="2"/>
        <v>0.4</v>
      </c>
      <c r="O45" s="26" t="str">
        <f t="shared" si="3"/>
        <v>soal diterima baik</v>
      </c>
      <c r="P45" s="33"/>
      <c r="Q45" s="26">
        <v>40</v>
      </c>
      <c r="R45" s="25">
        <f t="shared" si="5"/>
        <v>0</v>
      </c>
      <c r="S45" s="25">
        <f t="shared" si="5"/>
        <v>1</v>
      </c>
      <c r="T45" s="25">
        <f t="shared" si="5"/>
        <v>0</v>
      </c>
      <c r="U45" s="25">
        <f t="shared" si="5"/>
        <v>1</v>
      </c>
      <c r="V45" s="25">
        <f t="shared" si="5"/>
        <v>1</v>
      </c>
      <c r="W45" s="25">
        <f t="shared" si="5"/>
        <v>1</v>
      </c>
      <c r="X45" s="25">
        <f t="shared" si="5"/>
        <v>1</v>
      </c>
      <c r="Y45" s="25">
        <f t="shared" si="5"/>
        <v>1</v>
      </c>
      <c r="Z45" s="25">
        <f t="shared" si="5"/>
        <v>1</v>
      </c>
      <c r="AA45" s="25">
        <f t="shared" si="5"/>
        <v>1</v>
      </c>
      <c r="AB45" s="3">
        <f t="shared" si="6"/>
        <v>0.8</v>
      </c>
      <c r="AC45" s="3">
        <f t="shared" si="7"/>
        <v>0.19999999999999996</v>
      </c>
      <c r="AD45" s="3">
        <f t="shared" si="8"/>
        <v>0.15999999999999998</v>
      </c>
      <c r="AE45" s="33"/>
    </row>
    <row r="46" spans="1:31" ht="56" x14ac:dyDescent="0.3">
      <c r="A46" s="28" t="s">
        <v>372</v>
      </c>
      <c r="B46" s="25">
        <v>1</v>
      </c>
      <c r="C46" s="25">
        <v>0</v>
      </c>
      <c r="D46" s="25">
        <v>1</v>
      </c>
      <c r="E46" s="25">
        <v>1</v>
      </c>
      <c r="F46" s="25">
        <v>1</v>
      </c>
      <c r="G46" s="25">
        <v>1</v>
      </c>
      <c r="H46" s="25">
        <v>1</v>
      </c>
      <c r="I46" s="25">
        <v>0</v>
      </c>
      <c r="J46" s="25">
        <v>0</v>
      </c>
      <c r="K46" s="25">
        <v>0</v>
      </c>
      <c r="L46" s="3">
        <f t="shared" si="0"/>
        <v>0.6</v>
      </c>
      <c r="M46" s="26" t="str">
        <f t="shared" si="1"/>
        <v>sedang</v>
      </c>
      <c r="N46" s="3">
        <f t="shared" si="2"/>
        <v>0.4</v>
      </c>
      <c r="O46" s="26" t="str">
        <f t="shared" si="3"/>
        <v>soal diterima baik</v>
      </c>
      <c r="P46" s="33"/>
      <c r="Q46" s="26">
        <v>41</v>
      </c>
      <c r="R46" s="25">
        <f t="shared" ref="R46:AA71" si="9">B45</f>
        <v>1</v>
      </c>
      <c r="S46" s="25">
        <f t="shared" si="9"/>
        <v>1</v>
      </c>
      <c r="T46" s="25">
        <f t="shared" si="9"/>
        <v>1</v>
      </c>
      <c r="U46" s="25">
        <f t="shared" si="9"/>
        <v>1</v>
      </c>
      <c r="V46" s="25">
        <f t="shared" si="9"/>
        <v>1</v>
      </c>
      <c r="W46" s="25">
        <f t="shared" si="9"/>
        <v>0</v>
      </c>
      <c r="X46" s="25">
        <f t="shared" si="9"/>
        <v>1</v>
      </c>
      <c r="Y46" s="25">
        <f t="shared" si="9"/>
        <v>1</v>
      </c>
      <c r="Z46" s="25">
        <f t="shared" si="9"/>
        <v>1</v>
      </c>
      <c r="AA46" s="25">
        <f t="shared" si="9"/>
        <v>0</v>
      </c>
      <c r="AB46" s="3">
        <f t="shared" si="6"/>
        <v>0.8</v>
      </c>
      <c r="AC46" s="3">
        <f t="shared" si="7"/>
        <v>0.19999999999999996</v>
      </c>
      <c r="AD46" s="3">
        <f t="shared" si="8"/>
        <v>0.15999999999999998</v>
      </c>
      <c r="AE46" s="33"/>
    </row>
    <row r="47" spans="1:31" ht="42" x14ac:dyDescent="0.3">
      <c r="A47" s="28" t="s">
        <v>373</v>
      </c>
      <c r="B47" s="25">
        <v>1</v>
      </c>
      <c r="C47" s="25">
        <v>0</v>
      </c>
      <c r="D47" s="25">
        <v>0</v>
      </c>
      <c r="E47" s="25">
        <v>1</v>
      </c>
      <c r="F47" s="25">
        <v>1</v>
      </c>
      <c r="G47" s="25">
        <v>1</v>
      </c>
      <c r="H47" s="25">
        <v>1</v>
      </c>
      <c r="I47" s="25">
        <v>1</v>
      </c>
      <c r="J47" s="25">
        <v>1</v>
      </c>
      <c r="K47" s="25">
        <v>1</v>
      </c>
      <c r="L47" s="3">
        <f t="shared" si="0"/>
        <v>0.8</v>
      </c>
      <c r="M47" s="26" t="str">
        <f t="shared" si="1"/>
        <v>mudah</v>
      </c>
      <c r="N47" s="3">
        <f t="shared" si="2"/>
        <v>0.4</v>
      </c>
      <c r="O47" s="26" t="str">
        <f t="shared" si="3"/>
        <v>soal diterima baik</v>
      </c>
      <c r="P47" s="33"/>
      <c r="Q47" s="26">
        <v>42</v>
      </c>
      <c r="R47" s="25">
        <f t="shared" si="9"/>
        <v>1</v>
      </c>
      <c r="S47" s="25">
        <f t="shared" si="9"/>
        <v>0</v>
      </c>
      <c r="T47" s="25">
        <f t="shared" si="9"/>
        <v>1</v>
      </c>
      <c r="U47" s="25">
        <f t="shared" si="9"/>
        <v>1</v>
      </c>
      <c r="V47" s="25">
        <f t="shared" si="9"/>
        <v>1</v>
      </c>
      <c r="W47" s="25">
        <f t="shared" si="9"/>
        <v>1</v>
      </c>
      <c r="X47" s="25">
        <f t="shared" si="9"/>
        <v>1</v>
      </c>
      <c r="Y47" s="25">
        <f t="shared" si="9"/>
        <v>0</v>
      </c>
      <c r="Z47" s="25">
        <f t="shared" si="9"/>
        <v>0</v>
      </c>
      <c r="AA47" s="25">
        <f t="shared" si="9"/>
        <v>0</v>
      </c>
      <c r="AB47" s="3">
        <f t="shared" si="6"/>
        <v>0.6</v>
      </c>
      <c r="AC47" s="3">
        <f t="shared" si="7"/>
        <v>0.4</v>
      </c>
      <c r="AD47" s="3">
        <f t="shared" si="8"/>
        <v>0.24</v>
      </c>
      <c r="AE47" s="33"/>
    </row>
    <row r="48" spans="1:31" ht="70" x14ac:dyDescent="0.3">
      <c r="A48" s="30" t="s">
        <v>374</v>
      </c>
      <c r="B48" s="25">
        <v>0</v>
      </c>
      <c r="C48" s="25">
        <v>1</v>
      </c>
      <c r="D48" s="25">
        <v>0</v>
      </c>
      <c r="E48" s="25">
        <v>1</v>
      </c>
      <c r="F48" s="25">
        <v>1</v>
      </c>
      <c r="G48" s="25">
        <v>0</v>
      </c>
      <c r="H48" s="25">
        <v>0</v>
      </c>
      <c r="I48" s="25">
        <v>1</v>
      </c>
      <c r="J48" s="25">
        <v>0</v>
      </c>
      <c r="K48" s="25">
        <v>0</v>
      </c>
      <c r="L48" s="3">
        <f t="shared" si="0"/>
        <v>0.4</v>
      </c>
      <c r="M48" s="26" t="str">
        <f t="shared" si="1"/>
        <v>sedang</v>
      </c>
      <c r="N48" s="3">
        <f t="shared" si="2"/>
        <v>0.4</v>
      </c>
      <c r="O48" s="26" t="str">
        <f t="shared" si="3"/>
        <v>soal diterima baik</v>
      </c>
      <c r="P48" s="33"/>
      <c r="Q48" s="26">
        <v>43</v>
      </c>
      <c r="R48" s="25">
        <f t="shared" si="9"/>
        <v>1</v>
      </c>
      <c r="S48" s="25">
        <f t="shared" si="9"/>
        <v>0</v>
      </c>
      <c r="T48" s="25">
        <f t="shared" si="9"/>
        <v>0</v>
      </c>
      <c r="U48" s="25">
        <f t="shared" si="9"/>
        <v>1</v>
      </c>
      <c r="V48" s="25">
        <f t="shared" si="9"/>
        <v>1</v>
      </c>
      <c r="W48" s="25">
        <f t="shared" si="9"/>
        <v>1</v>
      </c>
      <c r="X48" s="25">
        <f t="shared" si="9"/>
        <v>1</v>
      </c>
      <c r="Y48" s="25">
        <f t="shared" si="9"/>
        <v>1</v>
      </c>
      <c r="Z48" s="25">
        <f t="shared" si="9"/>
        <v>1</v>
      </c>
      <c r="AA48" s="25">
        <f t="shared" si="9"/>
        <v>1</v>
      </c>
      <c r="AB48" s="3">
        <f t="shared" si="6"/>
        <v>0.8</v>
      </c>
      <c r="AC48" s="3">
        <f t="shared" si="7"/>
        <v>0.19999999999999996</v>
      </c>
      <c r="AD48" s="3">
        <f t="shared" si="8"/>
        <v>0.15999999999999998</v>
      </c>
      <c r="AE48" s="33"/>
    </row>
    <row r="49" spans="1:31" ht="56" x14ac:dyDescent="0.3">
      <c r="A49" s="24" t="s">
        <v>375</v>
      </c>
      <c r="B49" s="25">
        <v>0</v>
      </c>
      <c r="C49" s="25">
        <v>1</v>
      </c>
      <c r="D49" s="25">
        <v>0</v>
      </c>
      <c r="E49" s="25">
        <v>0</v>
      </c>
      <c r="F49" s="25">
        <v>0</v>
      </c>
      <c r="G49" s="25">
        <v>0</v>
      </c>
      <c r="H49" s="25">
        <v>0</v>
      </c>
      <c r="I49" s="25">
        <v>1</v>
      </c>
      <c r="J49" s="25">
        <v>1</v>
      </c>
      <c r="K49" s="25">
        <v>1</v>
      </c>
      <c r="L49" s="3">
        <f t="shared" si="0"/>
        <v>0.4</v>
      </c>
      <c r="M49" s="26" t="str">
        <f t="shared" si="1"/>
        <v>sedang</v>
      </c>
      <c r="N49" s="3">
        <f t="shared" si="2"/>
        <v>0.4</v>
      </c>
      <c r="O49" s="26" t="str">
        <f t="shared" si="3"/>
        <v>soal diterima baik</v>
      </c>
      <c r="P49" s="33"/>
      <c r="Q49" s="26">
        <v>44</v>
      </c>
      <c r="R49" s="25">
        <f t="shared" si="9"/>
        <v>0</v>
      </c>
      <c r="S49" s="25">
        <f t="shared" si="9"/>
        <v>1</v>
      </c>
      <c r="T49" s="25">
        <f t="shared" si="9"/>
        <v>0</v>
      </c>
      <c r="U49" s="25">
        <f t="shared" si="9"/>
        <v>1</v>
      </c>
      <c r="V49" s="25">
        <f t="shared" si="9"/>
        <v>1</v>
      </c>
      <c r="W49" s="25">
        <f t="shared" si="9"/>
        <v>0</v>
      </c>
      <c r="X49" s="25">
        <f t="shared" si="9"/>
        <v>0</v>
      </c>
      <c r="Y49" s="25">
        <f t="shared" si="9"/>
        <v>1</v>
      </c>
      <c r="Z49" s="25">
        <f t="shared" si="9"/>
        <v>0</v>
      </c>
      <c r="AA49" s="25">
        <f t="shared" si="9"/>
        <v>0</v>
      </c>
      <c r="AB49" s="3">
        <f t="shared" si="6"/>
        <v>0.4</v>
      </c>
      <c r="AC49" s="3">
        <f t="shared" si="7"/>
        <v>0.6</v>
      </c>
      <c r="AD49" s="3">
        <f t="shared" si="8"/>
        <v>0.24</v>
      </c>
      <c r="AE49" s="33"/>
    </row>
    <row r="50" spans="1:31" ht="42" x14ac:dyDescent="0.3">
      <c r="A50" s="28" t="s">
        <v>376</v>
      </c>
      <c r="B50" s="25">
        <v>1</v>
      </c>
      <c r="C50" s="25">
        <v>0</v>
      </c>
      <c r="D50" s="25">
        <v>0</v>
      </c>
      <c r="E50" s="25">
        <v>0</v>
      </c>
      <c r="F50" s="25">
        <v>0</v>
      </c>
      <c r="G50" s="25">
        <v>0</v>
      </c>
      <c r="H50" s="25">
        <v>0</v>
      </c>
      <c r="I50" s="25">
        <v>1</v>
      </c>
      <c r="J50" s="25">
        <v>1</v>
      </c>
      <c r="K50" s="25">
        <v>1</v>
      </c>
      <c r="L50" s="3">
        <f t="shared" si="0"/>
        <v>0.4</v>
      </c>
      <c r="M50" s="26" t="str">
        <f t="shared" si="1"/>
        <v>sedang</v>
      </c>
      <c r="N50" s="3">
        <f t="shared" si="2"/>
        <v>0.4</v>
      </c>
      <c r="O50" s="26" t="str">
        <f t="shared" si="3"/>
        <v>soal diterima baik</v>
      </c>
      <c r="P50" s="33"/>
      <c r="Q50" s="26">
        <v>45</v>
      </c>
      <c r="R50" s="25">
        <f t="shared" si="9"/>
        <v>0</v>
      </c>
      <c r="S50" s="25">
        <f t="shared" si="9"/>
        <v>1</v>
      </c>
      <c r="T50" s="25">
        <f t="shared" si="9"/>
        <v>0</v>
      </c>
      <c r="U50" s="25">
        <f t="shared" si="9"/>
        <v>0</v>
      </c>
      <c r="V50" s="25">
        <f t="shared" si="9"/>
        <v>0</v>
      </c>
      <c r="W50" s="25">
        <f t="shared" si="9"/>
        <v>0</v>
      </c>
      <c r="X50" s="25">
        <f t="shared" si="9"/>
        <v>0</v>
      </c>
      <c r="Y50" s="25">
        <f t="shared" si="9"/>
        <v>1</v>
      </c>
      <c r="Z50" s="25">
        <f t="shared" si="9"/>
        <v>1</v>
      </c>
      <c r="AA50" s="25">
        <f t="shared" si="9"/>
        <v>1</v>
      </c>
      <c r="AB50" s="3">
        <f t="shared" si="6"/>
        <v>0.4</v>
      </c>
      <c r="AC50" s="3">
        <f t="shared" si="7"/>
        <v>0.6</v>
      </c>
      <c r="AD50" s="3">
        <f t="shared" si="8"/>
        <v>0.24</v>
      </c>
      <c r="AE50" s="33"/>
    </row>
    <row r="51" spans="1:31" ht="42" x14ac:dyDescent="0.3">
      <c r="A51" s="28" t="s">
        <v>377</v>
      </c>
      <c r="B51" s="25">
        <v>0</v>
      </c>
      <c r="C51" s="25">
        <v>0</v>
      </c>
      <c r="D51" s="25">
        <v>0</v>
      </c>
      <c r="E51" s="25">
        <v>1</v>
      </c>
      <c r="F51" s="25">
        <v>0</v>
      </c>
      <c r="G51" s="25">
        <v>1</v>
      </c>
      <c r="H51" s="25">
        <v>0</v>
      </c>
      <c r="I51" s="25">
        <v>1</v>
      </c>
      <c r="J51" s="25">
        <v>1</v>
      </c>
      <c r="K51" s="25">
        <v>0</v>
      </c>
      <c r="L51" s="3">
        <f t="shared" si="0"/>
        <v>0.4</v>
      </c>
      <c r="M51" s="26" t="str">
        <f t="shared" si="1"/>
        <v>sedang</v>
      </c>
      <c r="N51" s="3">
        <f t="shared" si="2"/>
        <v>0.4</v>
      </c>
      <c r="O51" s="26" t="str">
        <f t="shared" si="3"/>
        <v>soal diterima baik</v>
      </c>
      <c r="P51" s="33"/>
      <c r="Q51" s="26">
        <v>46</v>
      </c>
      <c r="R51" s="25">
        <f t="shared" si="9"/>
        <v>1</v>
      </c>
      <c r="S51" s="25">
        <f t="shared" si="9"/>
        <v>0</v>
      </c>
      <c r="T51" s="25">
        <f t="shared" si="9"/>
        <v>0</v>
      </c>
      <c r="U51" s="25">
        <f t="shared" si="9"/>
        <v>0</v>
      </c>
      <c r="V51" s="25">
        <f t="shared" si="9"/>
        <v>0</v>
      </c>
      <c r="W51" s="25">
        <f t="shared" si="9"/>
        <v>0</v>
      </c>
      <c r="X51" s="25">
        <f t="shared" si="9"/>
        <v>0</v>
      </c>
      <c r="Y51" s="25">
        <f t="shared" si="9"/>
        <v>1</v>
      </c>
      <c r="Z51" s="25">
        <f t="shared" si="9"/>
        <v>1</v>
      </c>
      <c r="AA51" s="25">
        <f t="shared" si="9"/>
        <v>1</v>
      </c>
      <c r="AB51" s="3">
        <f t="shared" si="6"/>
        <v>0.4</v>
      </c>
      <c r="AC51" s="3">
        <f t="shared" si="7"/>
        <v>0.6</v>
      </c>
      <c r="AD51" s="3">
        <f t="shared" si="8"/>
        <v>0.24</v>
      </c>
      <c r="AE51" s="33"/>
    </row>
    <row r="52" spans="1:31" ht="56" x14ac:dyDescent="0.3">
      <c r="A52" s="24" t="s">
        <v>378</v>
      </c>
      <c r="B52" s="25">
        <v>1</v>
      </c>
      <c r="C52" s="25">
        <v>0</v>
      </c>
      <c r="D52" s="25">
        <v>1</v>
      </c>
      <c r="E52" s="25">
        <v>1</v>
      </c>
      <c r="F52" s="25">
        <v>1</v>
      </c>
      <c r="G52" s="25">
        <v>1</v>
      </c>
      <c r="H52" s="25">
        <v>0</v>
      </c>
      <c r="I52" s="25">
        <v>1</v>
      </c>
      <c r="J52" s="25">
        <v>0</v>
      </c>
      <c r="K52" s="25">
        <v>0</v>
      </c>
      <c r="L52" s="3">
        <f t="shared" si="0"/>
        <v>0.6</v>
      </c>
      <c r="M52" s="26" t="str">
        <f t="shared" si="1"/>
        <v>sedang</v>
      </c>
      <c r="N52" s="3">
        <f t="shared" si="2"/>
        <v>0.4</v>
      </c>
      <c r="O52" s="26" t="str">
        <f t="shared" si="3"/>
        <v>soal diterima baik</v>
      </c>
      <c r="P52" s="33"/>
      <c r="Q52" s="26">
        <v>47</v>
      </c>
      <c r="R52" s="25">
        <f t="shared" si="9"/>
        <v>0</v>
      </c>
      <c r="S52" s="25">
        <f t="shared" si="9"/>
        <v>0</v>
      </c>
      <c r="T52" s="25">
        <f t="shared" si="9"/>
        <v>0</v>
      </c>
      <c r="U52" s="25">
        <f t="shared" si="9"/>
        <v>1</v>
      </c>
      <c r="V52" s="25">
        <f t="shared" si="9"/>
        <v>0</v>
      </c>
      <c r="W52" s="25">
        <f t="shared" si="9"/>
        <v>1</v>
      </c>
      <c r="X52" s="25">
        <f t="shared" si="9"/>
        <v>0</v>
      </c>
      <c r="Y52" s="25">
        <f t="shared" si="9"/>
        <v>1</v>
      </c>
      <c r="Z52" s="25">
        <f t="shared" si="9"/>
        <v>1</v>
      </c>
      <c r="AA52" s="25">
        <f t="shared" si="9"/>
        <v>0</v>
      </c>
      <c r="AB52" s="3">
        <f t="shared" si="6"/>
        <v>0.4</v>
      </c>
      <c r="AC52" s="3">
        <f t="shared" si="7"/>
        <v>0.6</v>
      </c>
      <c r="AD52" s="3">
        <f t="shared" si="8"/>
        <v>0.24</v>
      </c>
      <c r="AE52" s="33"/>
    </row>
    <row r="53" spans="1:31" ht="42" x14ac:dyDescent="0.3">
      <c r="A53" s="24" t="s">
        <v>379</v>
      </c>
      <c r="B53" s="25">
        <v>0</v>
      </c>
      <c r="C53" s="25">
        <v>1</v>
      </c>
      <c r="D53" s="25">
        <v>1</v>
      </c>
      <c r="E53" s="25">
        <v>0</v>
      </c>
      <c r="F53" s="25">
        <v>1</v>
      </c>
      <c r="G53" s="25">
        <v>1</v>
      </c>
      <c r="H53" s="25">
        <v>1</v>
      </c>
      <c r="I53" s="25">
        <v>1</v>
      </c>
      <c r="J53" s="25">
        <v>1</v>
      </c>
      <c r="K53" s="25">
        <v>1</v>
      </c>
      <c r="L53" s="3">
        <f t="shared" si="0"/>
        <v>0.8</v>
      </c>
      <c r="M53" s="26" t="str">
        <f t="shared" si="1"/>
        <v>mudah</v>
      </c>
      <c r="N53" s="3">
        <f t="shared" si="2"/>
        <v>0.4</v>
      </c>
      <c r="O53" s="26" t="str">
        <f t="shared" si="3"/>
        <v>soal diterima baik</v>
      </c>
      <c r="P53" s="33"/>
      <c r="Q53" s="26">
        <v>48</v>
      </c>
      <c r="R53" s="25">
        <f t="shared" si="9"/>
        <v>1</v>
      </c>
      <c r="S53" s="25">
        <f t="shared" si="9"/>
        <v>0</v>
      </c>
      <c r="T53" s="25">
        <f t="shared" si="9"/>
        <v>1</v>
      </c>
      <c r="U53" s="25">
        <f t="shared" si="9"/>
        <v>1</v>
      </c>
      <c r="V53" s="25">
        <f t="shared" si="9"/>
        <v>1</v>
      </c>
      <c r="W53" s="25">
        <f t="shared" si="9"/>
        <v>1</v>
      </c>
      <c r="X53" s="25">
        <f t="shared" si="9"/>
        <v>0</v>
      </c>
      <c r="Y53" s="25">
        <f t="shared" si="9"/>
        <v>1</v>
      </c>
      <c r="Z53" s="25">
        <f t="shared" si="9"/>
        <v>0</v>
      </c>
      <c r="AA53" s="25">
        <f t="shared" si="9"/>
        <v>0</v>
      </c>
      <c r="AB53" s="3">
        <f t="shared" si="6"/>
        <v>0.6</v>
      </c>
      <c r="AC53" s="3">
        <f t="shared" si="7"/>
        <v>0.4</v>
      </c>
      <c r="AD53" s="3">
        <f t="shared" si="8"/>
        <v>0.24</v>
      </c>
      <c r="AE53" s="33"/>
    </row>
    <row r="54" spans="1:31" ht="42" x14ac:dyDescent="0.3">
      <c r="A54" s="30" t="s">
        <v>380</v>
      </c>
      <c r="B54" s="25">
        <v>1</v>
      </c>
      <c r="C54" s="25">
        <v>0</v>
      </c>
      <c r="D54" s="25">
        <v>0</v>
      </c>
      <c r="E54" s="25">
        <v>0</v>
      </c>
      <c r="F54" s="25">
        <v>0</v>
      </c>
      <c r="G54" s="25">
        <v>0</v>
      </c>
      <c r="H54" s="25">
        <v>1</v>
      </c>
      <c r="I54" s="25">
        <v>0</v>
      </c>
      <c r="J54" s="25">
        <v>1</v>
      </c>
      <c r="K54" s="25">
        <v>1</v>
      </c>
      <c r="L54" s="3">
        <f t="shared" si="0"/>
        <v>0.4</v>
      </c>
      <c r="M54" s="26" t="str">
        <f t="shared" si="1"/>
        <v>sedang</v>
      </c>
      <c r="N54" s="3">
        <f t="shared" si="2"/>
        <v>0.4</v>
      </c>
      <c r="O54" s="26" t="str">
        <f t="shared" si="3"/>
        <v>soal diterima baik</v>
      </c>
      <c r="P54" s="33"/>
      <c r="Q54" s="26">
        <v>49</v>
      </c>
      <c r="R54" s="25">
        <f t="shared" si="9"/>
        <v>0</v>
      </c>
      <c r="S54" s="25">
        <f t="shared" si="9"/>
        <v>1</v>
      </c>
      <c r="T54" s="25">
        <f t="shared" si="9"/>
        <v>1</v>
      </c>
      <c r="U54" s="25">
        <f t="shared" si="9"/>
        <v>0</v>
      </c>
      <c r="V54" s="25">
        <f t="shared" si="9"/>
        <v>1</v>
      </c>
      <c r="W54" s="25">
        <f t="shared" si="9"/>
        <v>1</v>
      </c>
      <c r="X54" s="25">
        <f t="shared" si="9"/>
        <v>1</v>
      </c>
      <c r="Y54" s="25">
        <f t="shared" si="9"/>
        <v>1</v>
      </c>
      <c r="Z54" s="25">
        <f t="shared" si="9"/>
        <v>1</v>
      </c>
      <c r="AA54" s="25">
        <f t="shared" si="9"/>
        <v>1</v>
      </c>
      <c r="AB54" s="3">
        <f t="shared" si="6"/>
        <v>0.8</v>
      </c>
      <c r="AC54" s="3">
        <f t="shared" si="7"/>
        <v>0.19999999999999996</v>
      </c>
      <c r="AD54" s="3">
        <f t="shared" si="8"/>
        <v>0.15999999999999998</v>
      </c>
      <c r="AE54" s="33"/>
    </row>
    <row r="55" spans="1:31" ht="56" x14ac:dyDescent="0.3">
      <c r="A55" s="28" t="s">
        <v>381</v>
      </c>
      <c r="B55" s="25">
        <v>1</v>
      </c>
      <c r="C55" s="25">
        <v>0</v>
      </c>
      <c r="D55" s="25">
        <v>0</v>
      </c>
      <c r="E55" s="25">
        <v>0</v>
      </c>
      <c r="F55" s="25">
        <v>0</v>
      </c>
      <c r="G55" s="25">
        <v>1</v>
      </c>
      <c r="H55" s="25">
        <v>0</v>
      </c>
      <c r="I55" s="25">
        <v>0</v>
      </c>
      <c r="J55" s="25">
        <v>1</v>
      </c>
      <c r="K55" s="25">
        <v>1</v>
      </c>
      <c r="L55" s="3">
        <f t="shared" si="0"/>
        <v>0.4</v>
      </c>
      <c r="M55" s="26" t="str">
        <f t="shared" si="1"/>
        <v>sedang</v>
      </c>
      <c r="N55" s="3">
        <f t="shared" si="2"/>
        <v>0.4</v>
      </c>
      <c r="O55" s="26" t="str">
        <f t="shared" si="3"/>
        <v>soal diterima baik</v>
      </c>
      <c r="P55" s="33"/>
      <c r="Q55" s="26">
        <v>50</v>
      </c>
      <c r="R55" s="25">
        <f t="shared" si="9"/>
        <v>1</v>
      </c>
      <c r="S55" s="25">
        <f t="shared" si="9"/>
        <v>0</v>
      </c>
      <c r="T55" s="25">
        <f t="shared" si="9"/>
        <v>0</v>
      </c>
      <c r="U55" s="25">
        <f t="shared" si="9"/>
        <v>0</v>
      </c>
      <c r="V55" s="25">
        <f t="shared" si="9"/>
        <v>0</v>
      </c>
      <c r="W55" s="25">
        <f t="shared" si="9"/>
        <v>0</v>
      </c>
      <c r="X55" s="25">
        <f t="shared" si="9"/>
        <v>1</v>
      </c>
      <c r="Y55" s="25">
        <f t="shared" si="9"/>
        <v>0</v>
      </c>
      <c r="Z55" s="25">
        <f t="shared" si="9"/>
        <v>1</v>
      </c>
      <c r="AA55" s="25">
        <f t="shared" si="9"/>
        <v>1</v>
      </c>
      <c r="AB55" s="3">
        <f t="shared" si="6"/>
        <v>0.4</v>
      </c>
      <c r="AC55" s="3">
        <f t="shared" si="7"/>
        <v>0.6</v>
      </c>
      <c r="AD55" s="3">
        <f t="shared" si="8"/>
        <v>0.24</v>
      </c>
      <c r="AE55" s="33"/>
    </row>
    <row r="56" spans="1:31" ht="56" x14ac:dyDescent="0.3">
      <c r="A56" s="28" t="s">
        <v>382</v>
      </c>
      <c r="B56" s="25">
        <v>1</v>
      </c>
      <c r="C56" s="25">
        <v>1</v>
      </c>
      <c r="D56" s="25">
        <v>0</v>
      </c>
      <c r="E56" s="25">
        <v>1</v>
      </c>
      <c r="F56" s="25">
        <v>1</v>
      </c>
      <c r="G56" s="25">
        <v>0</v>
      </c>
      <c r="H56" s="25">
        <v>0</v>
      </c>
      <c r="I56" s="25">
        <v>0</v>
      </c>
      <c r="J56" s="25">
        <v>0</v>
      </c>
      <c r="K56" s="25">
        <v>0</v>
      </c>
      <c r="L56" s="3">
        <f t="shared" si="0"/>
        <v>0.4</v>
      </c>
      <c r="M56" s="26" t="str">
        <f t="shared" si="1"/>
        <v>sedang</v>
      </c>
      <c r="N56" s="3">
        <f t="shared" si="2"/>
        <v>0.8</v>
      </c>
      <c r="O56" s="26" t="str">
        <f t="shared" si="3"/>
        <v>soal diterima baik</v>
      </c>
      <c r="P56" s="33"/>
      <c r="Q56" s="26">
        <v>51</v>
      </c>
      <c r="R56" s="25">
        <f t="shared" si="9"/>
        <v>1</v>
      </c>
      <c r="S56" s="25">
        <f t="shared" si="9"/>
        <v>0</v>
      </c>
      <c r="T56" s="25">
        <f t="shared" si="9"/>
        <v>0</v>
      </c>
      <c r="U56" s="25">
        <f t="shared" si="9"/>
        <v>0</v>
      </c>
      <c r="V56" s="25">
        <f t="shared" si="9"/>
        <v>0</v>
      </c>
      <c r="W56" s="25">
        <f t="shared" si="9"/>
        <v>1</v>
      </c>
      <c r="X56" s="25">
        <f t="shared" si="9"/>
        <v>0</v>
      </c>
      <c r="Y56" s="25">
        <f t="shared" si="9"/>
        <v>0</v>
      </c>
      <c r="Z56" s="25">
        <f t="shared" si="9"/>
        <v>1</v>
      </c>
      <c r="AA56" s="25">
        <f t="shared" si="9"/>
        <v>1</v>
      </c>
      <c r="AB56" s="3">
        <f t="shared" si="6"/>
        <v>0.4</v>
      </c>
      <c r="AC56" s="3">
        <f t="shared" si="7"/>
        <v>0.6</v>
      </c>
      <c r="AD56" s="3">
        <f t="shared" si="8"/>
        <v>0.24</v>
      </c>
      <c r="AE56" s="33"/>
    </row>
    <row r="57" spans="1:31" ht="42" x14ac:dyDescent="0.3">
      <c r="A57" s="24" t="s">
        <v>383</v>
      </c>
      <c r="B57" s="25">
        <v>0</v>
      </c>
      <c r="C57" s="25">
        <v>1</v>
      </c>
      <c r="D57" s="25">
        <v>1</v>
      </c>
      <c r="E57" s="25">
        <v>0</v>
      </c>
      <c r="F57" s="25">
        <v>1</v>
      </c>
      <c r="G57" s="25">
        <v>1</v>
      </c>
      <c r="H57" s="25">
        <v>1</v>
      </c>
      <c r="I57" s="25">
        <v>1</v>
      </c>
      <c r="J57" s="25">
        <v>1</v>
      </c>
      <c r="K57" s="25">
        <v>1</v>
      </c>
      <c r="L57" s="3">
        <f t="shared" si="0"/>
        <v>0.8</v>
      </c>
      <c r="M57" s="26" t="str">
        <f t="shared" si="1"/>
        <v>mudah</v>
      </c>
      <c r="N57" s="3">
        <f t="shared" si="2"/>
        <v>0.4</v>
      </c>
      <c r="O57" s="26" t="str">
        <f t="shared" si="3"/>
        <v>soal diterima baik</v>
      </c>
      <c r="P57" s="33"/>
      <c r="Q57" s="26">
        <v>52</v>
      </c>
      <c r="R57" s="25">
        <f t="shared" si="9"/>
        <v>1</v>
      </c>
      <c r="S57" s="25">
        <f t="shared" si="9"/>
        <v>1</v>
      </c>
      <c r="T57" s="25">
        <f t="shared" si="9"/>
        <v>0</v>
      </c>
      <c r="U57" s="25">
        <f t="shared" si="9"/>
        <v>1</v>
      </c>
      <c r="V57" s="25">
        <f t="shared" si="9"/>
        <v>1</v>
      </c>
      <c r="W57" s="25">
        <f t="shared" si="9"/>
        <v>0</v>
      </c>
      <c r="X57" s="25">
        <f t="shared" si="9"/>
        <v>0</v>
      </c>
      <c r="Y57" s="25">
        <f t="shared" si="9"/>
        <v>0</v>
      </c>
      <c r="Z57" s="25">
        <f t="shared" si="9"/>
        <v>0</v>
      </c>
      <c r="AA57" s="25">
        <f t="shared" si="9"/>
        <v>0</v>
      </c>
      <c r="AB57" s="3">
        <f t="shared" si="6"/>
        <v>0.4</v>
      </c>
      <c r="AC57" s="3">
        <f t="shared" si="7"/>
        <v>0.6</v>
      </c>
      <c r="AD57" s="3">
        <f t="shared" si="8"/>
        <v>0.24</v>
      </c>
      <c r="AE57" s="33"/>
    </row>
    <row r="58" spans="1:31" ht="28" x14ac:dyDescent="0.3">
      <c r="A58" s="30" t="s">
        <v>384</v>
      </c>
      <c r="B58" s="25">
        <v>1</v>
      </c>
      <c r="C58" s="25">
        <v>1</v>
      </c>
      <c r="D58" s="25">
        <v>1</v>
      </c>
      <c r="E58" s="25">
        <v>1</v>
      </c>
      <c r="F58" s="25">
        <v>1</v>
      </c>
      <c r="G58" s="25">
        <v>0</v>
      </c>
      <c r="H58" s="25">
        <v>0</v>
      </c>
      <c r="I58" s="25">
        <v>1</v>
      </c>
      <c r="J58" s="25">
        <v>0</v>
      </c>
      <c r="K58" s="25">
        <v>0</v>
      </c>
      <c r="L58" s="3">
        <f t="shared" si="0"/>
        <v>0.6</v>
      </c>
      <c r="M58" s="26" t="str">
        <f t="shared" si="1"/>
        <v>sedang</v>
      </c>
      <c r="N58" s="3">
        <f t="shared" si="2"/>
        <v>0.8</v>
      </c>
      <c r="O58" s="26" t="str">
        <f t="shared" si="3"/>
        <v>soal diterima baik</v>
      </c>
      <c r="P58" s="33"/>
      <c r="Q58" s="26">
        <v>53</v>
      </c>
      <c r="R58" s="25">
        <f t="shared" si="9"/>
        <v>0</v>
      </c>
      <c r="S58" s="25">
        <f t="shared" si="9"/>
        <v>1</v>
      </c>
      <c r="T58" s="25">
        <f t="shared" si="9"/>
        <v>1</v>
      </c>
      <c r="U58" s="25">
        <f t="shared" si="9"/>
        <v>0</v>
      </c>
      <c r="V58" s="25">
        <f t="shared" si="9"/>
        <v>1</v>
      </c>
      <c r="W58" s="25">
        <f t="shared" si="9"/>
        <v>1</v>
      </c>
      <c r="X58" s="25">
        <f t="shared" si="9"/>
        <v>1</v>
      </c>
      <c r="Y58" s="25">
        <f t="shared" si="9"/>
        <v>1</v>
      </c>
      <c r="Z58" s="25">
        <f t="shared" si="9"/>
        <v>1</v>
      </c>
      <c r="AA58" s="25">
        <f t="shared" si="9"/>
        <v>1</v>
      </c>
      <c r="AB58" s="3">
        <f t="shared" si="6"/>
        <v>0.8</v>
      </c>
      <c r="AC58" s="3">
        <f t="shared" si="7"/>
        <v>0.19999999999999996</v>
      </c>
      <c r="AD58" s="3">
        <f t="shared" si="8"/>
        <v>0.15999999999999998</v>
      </c>
      <c r="AE58" s="33"/>
    </row>
    <row r="59" spans="1:31" ht="28" x14ac:dyDescent="0.3">
      <c r="A59" s="28" t="s">
        <v>385</v>
      </c>
      <c r="B59" s="25">
        <v>0</v>
      </c>
      <c r="C59" s="25">
        <v>1</v>
      </c>
      <c r="D59" s="25">
        <v>0</v>
      </c>
      <c r="E59" s="25">
        <v>1</v>
      </c>
      <c r="F59" s="25">
        <v>1</v>
      </c>
      <c r="G59" s="25">
        <v>1</v>
      </c>
      <c r="H59" s="25">
        <v>0</v>
      </c>
      <c r="I59" s="25">
        <v>0</v>
      </c>
      <c r="J59" s="25">
        <v>0</v>
      </c>
      <c r="K59" s="25">
        <v>0</v>
      </c>
      <c r="L59" s="3">
        <f t="shared" si="0"/>
        <v>0.4</v>
      </c>
      <c r="M59" s="26" t="str">
        <f t="shared" si="1"/>
        <v>sedang</v>
      </c>
      <c r="N59" s="3">
        <f t="shared" si="2"/>
        <v>0.4</v>
      </c>
      <c r="O59" s="26" t="str">
        <f t="shared" si="3"/>
        <v>soal diterima baik</v>
      </c>
      <c r="P59" s="33"/>
      <c r="Q59" s="26">
        <v>54</v>
      </c>
      <c r="R59" s="25">
        <f t="shared" si="9"/>
        <v>1</v>
      </c>
      <c r="S59" s="25">
        <f t="shared" si="9"/>
        <v>1</v>
      </c>
      <c r="T59" s="25">
        <f t="shared" si="9"/>
        <v>1</v>
      </c>
      <c r="U59" s="25">
        <f t="shared" si="9"/>
        <v>1</v>
      </c>
      <c r="V59" s="25">
        <f t="shared" si="9"/>
        <v>1</v>
      </c>
      <c r="W59" s="25">
        <f t="shared" si="9"/>
        <v>0</v>
      </c>
      <c r="X59" s="25">
        <f t="shared" si="9"/>
        <v>0</v>
      </c>
      <c r="Y59" s="25">
        <f t="shared" si="9"/>
        <v>1</v>
      </c>
      <c r="Z59" s="25">
        <f t="shared" si="9"/>
        <v>0</v>
      </c>
      <c r="AA59" s="25">
        <f t="shared" si="9"/>
        <v>0</v>
      </c>
      <c r="AB59" s="3">
        <f t="shared" si="6"/>
        <v>0.6</v>
      </c>
      <c r="AC59" s="3">
        <f t="shared" si="7"/>
        <v>0.4</v>
      </c>
      <c r="AD59" s="3">
        <f t="shared" si="8"/>
        <v>0.24</v>
      </c>
      <c r="AE59" s="33"/>
    </row>
    <row r="60" spans="1:31" ht="42" x14ac:dyDescent="0.3">
      <c r="A60" s="24" t="s">
        <v>386</v>
      </c>
      <c r="B60" s="25">
        <v>0</v>
      </c>
      <c r="C60" s="25">
        <v>0</v>
      </c>
      <c r="D60" s="25">
        <v>1</v>
      </c>
      <c r="E60" s="25">
        <v>0</v>
      </c>
      <c r="F60" s="25">
        <v>0</v>
      </c>
      <c r="G60" s="25">
        <v>1</v>
      </c>
      <c r="H60" s="25">
        <v>1</v>
      </c>
      <c r="I60" s="25">
        <v>1</v>
      </c>
      <c r="J60" s="25">
        <v>1</v>
      </c>
      <c r="K60" s="25">
        <v>1</v>
      </c>
      <c r="L60" s="3">
        <f t="shared" si="0"/>
        <v>0.6</v>
      </c>
      <c r="M60" s="26" t="str">
        <f t="shared" si="1"/>
        <v>sedang</v>
      </c>
      <c r="N60" s="3">
        <f t="shared" si="2"/>
        <v>0.8</v>
      </c>
      <c r="O60" s="26" t="str">
        <f t="shared" si="3"/>
        <v>soal diterima baik</v>
      </c>
      <c r="P60" s="33"/>
      <c r="Q60" s="26">
        <v>55</v>
      </c>
      <c r="R60" s="25">
        <f t="shared" si="9"/>
        <v>0</v>
      </c>
      <c r="S60" s="25">
        <f t="shared" si="9"/>
        <v>1</v>
      </c>
      <c r="T60" s="25">
        <f t="shared" si="9"/>
        <v>0</v>
      </c>
      <c r="U60" s="25">
        <f t="shared" si="9"/>
        <v>1</v>
      </c>
      <c r="V60" s="25">
        <f t="shared" si="9"/>
        <v>1</v>
      </c>
      <c r="W60" s="25">
        <f t="shared" si="9"/>
        <v>1</v>
      </c>
      <c r="X60" s="25">
        <f t="shared" si="9"/>
        <v>0</v>
      </c>
      <c r="Y60" s="25">
        <f t="shared" si="9"/>
        <v>0</v>
      </c>
      <c r="Z60" s="25">
        <f t="shared" si="9"/>
        <v>0</v>
      </c>
      <c r="AA60" s="25">
        <f t="shared" si="9"/>
        <v>0</v>
      </c>
      <c r="AB60" s="3">
        <f t="shared" si="6"/>
        <v>0.4</v>
      </c>
      <c r="AC60" s="3">
        <f t="shared" si="7"/>
        <v>0.6</v>
      </c>
      <c r="AD60" s="3">
        <f t="shared" si="8"/>
        <v>0.24</v>
      </c>
      <c r="AE60" s="33"/>
    </row>
    <row r="61" spans="1:31" ht="28" x14ac:dyDescent="0.3">
      <c r="A61" s="30" t="s">
        <v>387</v>
      </c>
      <c r="B61" s="25">
        <v>1</v>
      </c>
      <c r="C61" s="25">
        <v>0</v>
      </c>
      <c r="D61" s="25">
        <v>0</v>
      </c>
      <c r="E61" s="25">
        <v>1</v>
      </c>
      <c r="F61" s="25">
        <v>1</v>
      </c>
      <c r="G61" s="25">
        <v>1</v>
      </c>
      <c r="H61" s="25">
        <v>1</v>
      </c>
      <c r="I61" s="25">
        <v>1</v>
      </c>
      <c r="J61" s="25">
        <v>1</v>
      </c>
      <c r="K61" s="25">
        <v>1</v>
      </c>
      <c r="L61" s="3">
        <f t="shared" si="0"/>
        <v>0.8</v>
      </c>
      <c r="M61" s="26" t="str">
        <f t="shared" si="1"/>
        <v>mudah</v>
      </c>
      <c r="N61" s="3">
        <f t="shared" si="2"/>
        <v>0.4</v>
      </c>
      <c r="O61" s="26" t="str">
        <f t="shared" si="3"/>
        <v>soal diterima baik</v>
      </c>
      <c r="P61" s="33"/>
      <c r="Q61" s="26">
        <v>56</v>
      </c>
      <c r="R61" s="25">
        <f t="shared" si="9"/>
        <v>0</v>
      </c>
      <c r="S61" s="25">
        <f t="shared" si="9"/>
        <v>0</v>
      </c>
      <c r="T61" s="25">
        <f t="shared" si="9"/>
        <v>1</v>
      </c>
      <c r="U61" s="25">
        <f t="shared" si="9"/>
        <v>0</v>
      </c>
      <c r="V61" s="25">
        <f t="shared" si="9"/>
        <v>0</v>
      </c>
      <c r="W61" s="25">
        <f t="shared" si="9"/>
        <v>1</v>
      </c>
      <c r="X61" s="25">
        <f t="shared" si="9"/>
        <v>1</v>
      </c>
      <c r="Y61" s="25">
        <f t="shared" si="9"/>
        <v>1</v>
      </c>
      <c r="Z61" s="25">
        <f t="shared" si="9"/>
        <v>1</v>
      </c>
      <c r="AA61" s="25">
        <f t="shared" si="9"/>
        <v>1</v>
      </c>
      <c r="AB61" s="3">
        <f t="shared" si="6"/>
        <v>0.6</v>
      </c>
      <c r="AC61" s="3">
        <f t="shared" si="7"/>
        <v>0.4</v>
      </c>
      <c r="AD61" s="3">
        <f t="shared" si="8"/>
        <v>0.24</v>
      </c>
      <c r="AE61" s="33"/>
    </row>
    <row r="62" spans="1:31" ht="42" x14ac:dyDescent="0.3">
      <c r="A62" s="28" t="s">
        <v>388</v>
      </c>
      <c r="B62" s="25">
        <v>0</v>
      </c>
      <c r="C62" s="25">
        <v>1</v>
      </c>
      <c r="D62" s="25">
        <v>0</v>
      </c>
      <c r="E62" s="25">
        <v>1</v>
      </c>
      <c r="F62" s="25">
        <v>0</v>
      </c>
      <c r="G62" s="25">
        <v>1</v>
      </c>
      <c r="H62" s="25">
        <v>0</v>
      </c>
      <c r="I62" s="25">
        <v>1</v>
      </c>
      <c r="J62" s="25">
        <v>1</v>
      </c>
      <c r="K62" s="25">
        <v>1</v>
      </c>
      <c r="L62" s="3">
        <f t="shared" si="0"/>
        <v>0.6</v>
      </c>
      <c r="M62" s="26" t="str">
        <f t="shared" si="1"/>
        <v>sedang</v>
      </c>
      <c r="N62" s="3">
        <f t="shared" si="2"/>
        <v>0.4</v>
      </c>
      <c r="O62" s="26" t="str">
        <f t="shared" si="3"/>
        <v>soal diterima baik</v>
      </c>
      <c r="P62" s="33"/>
      <c r="Q62" s="26">
        <v>57</v>
      </c>
      <c r="R62" s="25">
        <f t="shared" si="9"/>
        <v>1</v>
      </c>
      <c r="S62" s="25">
        <f t="shared" si="9"/>
        <v>0</v>
      </c>
      <c r="T62" s="25">
        <f t="shared" si="9"/>
        <v>0</v>
      </c>
      <c r="U62" s="25">
        <f t="shared" si="9"/>
        <v>1</v>
      </c>
      <c r="V62" s="25">
        <f t="shared" si="9"/>
        <v>1</v>
      </c>
      <c r="W62" s="25">
        <f t="shared" si="9"/>
        <v>1</v>
      </c>
      <c r="X62" s="25">
        <f t="shared" si="9"/>
        <v>1</v>
      </c>
      <c r="Y62" s="25">
        <f t="shared" si="9"/>
        <v>1</v>
      </c>
      <c r="Z62" s="25">
        <f t="shared" si="9"/>
        <v>1</v>
      </c>
      <c r="AA62" s="25">
        <f t="shared" si="9"/>
        <v>1</v>
      </c>
      <c r="AB62" s="3">
        <f t="shared" si="6"/>
        <v>0.8</v>
      </c>
      <c r="AC62" s="3">
        <f t="shared" si="7"/>
        <v>0.19999999999999996</v>
      </c>
      <c r="AD62" s="3">
        <f t="shared" si="8"/>
        <v>0.15999999999999998</v>
      </c>
      <c r="AE62" s="33"/>
    </row>
    <row r="63" spans="1:31" ht="28" x14ac:dyDescent="0.3">
      <c r="A63" s="24" t="s">
        <v>389</v>
      </c>
      <c r="B63" s="25">
        <v>1</v>
      </c>
      <c r="C63" s="25">
        <v>1</v>
      </c>
      <c r="D63" s="25">
        <v>1</v>
      </c>
      <c r="E63" s="25">
        <v>1</v>
      </c>
      <c r="F63" s="25">
        <v>1</v>
      </c>
      <c r="G63" s="25">
        <v>1</v>
      </c>
      <c r="H63" s="25">
        <v>0</v>
      </c>
      <c r="I63" s="25">
        <v>0</v>
      </c>
      <c r="J63" s="25">
        <v>0</v>
      </c>
      <c r="K63" s="25">
        <v>0</v>
      </c>
      <c r="L63" s="3">
        <f t="shared" si="0"/>
        <v>0.6</v>
      </c>
      <c r="M63" s="26" t="str">
        <f t="shared" si="1"/>
        <v>sedang</v>
      </c>
      <c r="N63" s="3">
        <f t="shared" si="2"/>
        <v>0.8</v>
      </c>
      <c r="O63" s="26" t="str">
        <f t="shared" si="3"/>
        <v>soal diterima baik</v>
      </c>
      <c r="P63" s="33"/>
      <c r="Q63" s="26">
        <v>58</v>
      </c>
      <c r="R63" s="25">
        <f t="shared" si="9"/>
        <v>0</v>
      </c>
      <c r="S63" s="25">
        <f t="shared" si="9"/>
        <v>1</v>
      </c>
      <c r="T63" s="25">
        <f t="shared" si="9"/>
        <v>0</v>
      </c>
      <c r="U63" s="25">
        <f t="shared" si="9"/>
        <v>1</v>
      </c>
      <c r="V63" s="25">
        <f t="shared" si="9"/>
        <v>0</v>
      </c>
      <c r="W63" s="25">
        <f t="shared" si="9"/>
        <v>1</v>
      </c>
      <c r="X63" s="25">
        <f t="shared" si="9"/>
        <v>0</v>
      </c>
      <c r="Y63" s="25">
        <f t="shared" si="9"/>
        <v>1</v>
      </c>
      <c r="Z63" s="25">
        <f t="shared" si="9"/>
        <v>1</v>
      </c>
      <c r="AA63" s="25">
        <f t="shared" si="9"/>
        <v>1</v>
      </c>
      <c r="AB63" s="3">
        <f t="shared" si="6"/>
        <v>0.6</v>
      </c>
      <c r="AC63" s="3">
        <f t="shared" si="7"/>
        <v>0.4</v>
      </c>
      <c r="AD63" s="3">
        <f t="shared" si="8"/>
        <v>0.24</v>
      </c>
      <c r="AE63" s="33"/>
    </row>
    <row r="64" spans="1:31" ht="42" x14ac:dyDescent="0.3">
      <c r="A64" s="24" t="s">
        <v>390</v>
      </c>
      <c r="B64" s="25">
        <v>0</v>
      </c>
      <c r="C64" s="25">
        <v>0</v>
      </c>
      <c r="D64" s="25">
        <v>0</v>
      </c>
      <c r="E64" s="25">
        <v>0</v>
      </c>
      <c r="F64" s="25">
        <v>0</v>
      </c>
      <c r="G64" s="25">
        <v>0</v>
      </c>
      <c r="H64" s="25">
        <v>0</v>
      </c>
      <c r="I64" s="25">
        <v>1</v>
      </c>
      <c r="J64" s="25">
        <v>1</v>
      </c>
      <c r="K64" s="25">
        <v>0</v>
      </c>
      <c r="L64" s="3">
        <f t="shared" si="0"/>
        <v>0.2</v>
      </c>
      <c r="M64" s="26" t="str">
        <f t="shared" si="1"/>
        <v>sukar</v>
      </c>
      <c r="N64" s="3">
        <f t="shared" si="2"/>
        <v>0.4</v>
      </c>
      <c r="O64" s="26" t="str">
        <f t="shared" si="3"/>
        <v>soal diterima baik</v>
      </c>
      <c r="P64" s="33"/>
      <c r="Q64" s="26">
        <v>59</v>
      </c>
      <c r="R64" s="25">
        <f t="shared" si="9"/>
        <v>1</v>
      </c>
      <c r="S64" s="25">
        <f t="shared" si="9"/>
        <v>1</v>
      </c>
      <c r="T64" s="25">
        <f t="shared" si="9"/>
        <v>1</v>
      </c>
      <c r="U64" s="25">
        <f t="shared" si="9"/>
        <v>1</v>
      </c>
      <c r="V64" s="25">
        <f t="shared" si="9"/>
        <v>1</v>
      </c>
      <c r="W64" s="25">
        <f t="shared" si="9"/>
        <v>1</v>
      </c>
      <c r="X64" s="25">
        <f t="shared" si="9"/>
        <v>0</v>
      </c>
      <c r="Y64" s="25">
        <f t="shared" si="9"/>
        <v>0</v>
      </c>
      <c r="Z64" s="25">
        <f t="shared" si="9"/>
        <v>0</v>
      </c>
      <c r="AA64" s="25">
        <f t="shared" si="9"/>
        <v>0</v>
      </c>
      <c r="AB64" s="3">
        <f t="shared" si="6"/>
        <v>0.6</v>
      </c>
      <c r="AC64" s="3">
        <f t="shared" si="7"/>
        <v>0.4</v>
      </c>
      <c r="AD64" s="3">
        <f t="shared" si="8"/>
        <v>0.24</v>
      </c>
      <c r="AE64" s="33"/>
    </row>
    <row r="65" spans="1:31" ht="42" x14ac:dyDescent="0.3">
      <c r="A65" s="24" t="s">
        <v>391</v>
      </c>
      <c r="B65" s="25">
        <v>1</v>
      </c>
      <c r="C65" s="25">
        <v>1</v>
      </c>
      <c r="D65" s="25">
        <v>0</v>
      </c>
      <c r="E65" s="25">
        <v>1</v>
      </c>
      <c r="F65" s="25">
        <v>0</v>
      </c>
      <c r="G65" s="25">
        <v>0</v>
      </c>
      <c r="H65" s="25">
        <v>0</v>
      </c>
      <c r="I65" s="25">
        <v>0</v>
      </c>
      <c r="J65" s="25">
        <v>1</v>
      </c>
      <c r="K65" s="25">
        <v>0</v>
      </c>
      <c r="L65" s="3">
        <f t="shared" si="0"/>
        <v>0.4</v>
      </c>
      <c r="M65" s="26" t="str">
        <f t="shared" si="1"/>
        <v>sedang</v>
      </c>
      <c r="N65" s="3">
        <f t="shared" si="2"/>
        <v>0.4</v>
      </c>
      <c r="O65" s="26" t="str">
        <f t="shared" si="3"/>
        <v>soal diterima baik</v>
      </c>
      <c r="P65" s="33"/>
      <c r="Q65" s="26">
        <v>60</v>
      </c>
      <c r="R65" s="25">
        <f t="shared" si="9"/>
        <v>0</v>
      </c>
      <c r="S65" s="25">
        <f t="shared" si="9"/>
        <v>0</v>
      </c>
      <c r="T65" s="25">
        <f t="shared" si="9"/>
        <v>0</v>
      </c>
      <c r="U65" s="25">
        <f t="shared" si="9"/>
        <v>0</v>
      </c>
      <c r="V65" s="25">
        <f t="shared" si="9"/>
        <v>0</v>
      </c>
      <c r="W65" s="25">
        <f t="shared" si="9"/>
        <v>0</v>
      </c>
      <c r="X65" s="25">
        <f t="shared" si="9"/>
        <v>0</v>
      </c>
      <c r="Y65" s="25">
        <f t="shared" si="9"/>
        <v>1</v>
      </c>
      <c r="Z65" s="25">
        <f t="shared" si="9"/>
        <v>1</v>
      </c>
      <c r="AA65" s="25">
        <f t="shared" si="9"/>
        <v>0</v>
      </c>
      <c r="AB65" s="3">
        <f t="shared" si="6"/>
        <v>0.2</v>
      </c>
      <c r="AC65" s="3">
        <f t="shared" si="7"/>
        <v>0.8</v>
      </c>
      <c r="AD65" s="3">
        <f t="shared" si="8"/>
        <v>0.16000000000000003</v>
      </c>
      <c r="AE65" s="33"/>
    </row>
    <row r="66" spans="1:31" ht="56" x14ac:dyDescent="0.3">
      <c r="A66" s="28" t="s">
        <v>392</v>
      </c>
      <c r="B66" s="25">
        <v>0</v>
      </c>
      <c r="C66" s="25">
        <v>1</v>
      </c>
      <c r="D66" s="25">
        <v>1</v>
      </c>
      <c r="E66" s="25">
        <v>0</v>
      </c>
      <c r="F66" s="25">
        <v>0</v>
      </c>
      <c r="G66" s="25">
        <v>0</v>
      </c>
      <c r="H66" s="25">
        <v>0</v>
      </c>
      <c r="I66" s="25">
        <v>0</v>
      </c>
      <c r="J66" s="25">
        <v>0</v>
      </c>
      <c r="K66" s="25">
        <v>0</v>
      </c>
      <c r="L66" s="3">
        <f t="shared" si="0"/>
        <v>0.2</v>
      </c>
      <c r="M66" s="26" t="str">
        <f t="shared" si="1"/>
        <v>sukar</v>
      </c>
      <c r="N66" s="3">
        <f t="shared" si="2"/>
        <v>0.4</v>
      </c>
      <c r="O66" s="26" t="str">
        <f t="shared" si="3"/>
        <v>soal diterima baik</v>
      </c>
      <c r="P66" s="33"/>
      <c r="Q66" s="26">
        <v>61</v>
      </c>
      <c r="R66" s="25">
        <f t="shared" si="9"/>
        <v>1</v>
      </c>
      <c r="S66" s="25">
        <f t="shared" si="9"/>
        <v>1</v>
      </c>
      <c r="T66" s="25">
        <f t="shared" si="9"/>
        <v>0</v>
      </c>
      <c r="U66" s="25">
        <f t="shared" si="9"/>
        <v>1</v>
      </c>
      <c r="V66" s="25">
        <f t="shared" si="9"/>
        <v>0</v>
      </c>
      <c r="W66" s="25">
        <f t="shared" si="9"/>
        <v>0</v>
      </c>
      <c r="X66" s="25">
        <f t="shared" si="9"/>
        <v>0</v>
      </c>
      <c r="Y66" s="25">
        <f t="shared" si="9"/>
        <v>0</v>
      </c>
      <c r="Z66" s="25">
        <f t="shared" si="9"/>
        <v>1</v>
      </c>
      <c r="AA66" s="25">
        <f t="shared" si="9"/>
        <v>0</v>
      </c>
      <c r="AB66" s="3">
        <f t="shared" si="6"/>
        <v>0.4</v>
      </c>
      <c r="AC66" s="3">
        <f t="shared" si="7"/>
        <v>0.6</v>
      </c>
      <c r="AD66" s="3">
        <f t="shared" si="8"/>
        <v>0.24</v>
      </c>
      <c r="AE66" s="33"/>
    </row>
    <row r="67" spans="1:31" ht="28" x14ac:dyDescent="0.3">
      <c r="A67" s="28" t="s">
        <v>393</v>
      </c>
      <c r="B67" s="25">
        <v>0</v>
      </c>
      <c r="C67" s="25">
        <v>1</v>
      </c>
      <c r="D67" s="25">
        <v>0</v>
      </c>
      <c r="E67" s="25">
        <v>0</v>
      </c>
      <c r="F67" s="25">
        <v>0</v>
      </c>
      <c r="G67" s="25">
        <v>0</v>
      </c>
      <c r="H67" s="25">
        <v>0</v>
      </c>
      <c r="I67" s="25">
        <v>1</v>
      </c>
      <c r="J67" s="25">
        <v>1</v>
      </c>
      <c r="K67" s="25">
        <v>1</v>
      </c>
      <c r="L67" s="3">
        <f t="shared" si="0"/>
        <v>0.4</v>
      </c>
      <c r="M67" s="26" t="str">
        <f t="shared" si="1"/>
        <v>sedang</v>
      </c>
      <c r="N67" s="3">
        <f t="shared" si="2"/>
        <v>0.4</v>
      </c>
      <c r="O67" s="26" t="str">
        <f t="shared" si="3"/>
        <v>soal diterima baik</v>
      </c>
      <c r="P67" s="33"/>
      <c r="Q67" s="26">
        <v>62</v>
      </c>
      <c r="R67" s="25">
        <f t="shared" si="9"/>
        <v>0</v>
      </c>
      <c r="S67" s="25">
        <f t="shared" si="9"/>
        <v>1</v>
      </c>
      <c r="T67" s="25">
        <f t="shared" si="9"/>
        <v>1</v>
      </c>
      <c r="U67" s="25">
        <f t="shared" si="9"/>
        <v>0</v>
      </c>
      <c r="V67" s="25">
        <f t="shared" si="9"/>
        <v>0</v>
      </c>
      <c r="W67" s="25">
        <f t="shared" si="9"/>
        <v>0</v>
      </c>
      <c r="X67" s="25">
        <f t="shared" si="9"/>
        <v>0</v>
      </c>
      <c r="Y67" s="25">
        <f t="shared" si="9"/>
        <v>0</v>
      </c>
      <c r="Z67" s="25">
        <f t="shared" si="9"/>
        <v>0</v>
      </c>
      <c r="AA67" s="25">
        <f t="shared" si="9"/>
        <v>0</v>
      </c>
      <c r="AB67" s="3">
        <f t="shared" si="6"/>
        <v>0.2</v>
      </c>
      <c r="AC67" s="3">
        <f t="shared" si="7"/>
        <v>0.8</v>
      </c>
      <c r="AD67" s="3">
        <f t="shared" si="8"/>
        <v>0.16000000000000003</v>
      </c>
      <c r="AE67" s="33"/>
    </row>
    <row r="68" spans="1:31" ht="42" x14ac:dyDescent="0.3">
      <c r="A68" s="30" t="s">
        <v>394</v>
      </c>
      <c r="B68" s="25">
        <v>0</v>
      </c>
      <c r="C68" s="25">
        <v>1</v>
      </c>
      <c r="D68" s="25">
        <v>0</v>
      </c>
      <c r="E68" s="25">
        <v>0</v>
      </c>
      <c r="F68" s="25">
        <v>0</v>
      </c>
      <c r="G68" s="25">
        <v>0</v>
      </c>
      <c r="H68" s="25">
        <v>0</v>
      </c>
      <c r="I68" s="25">
        <v>1</v>
      </c>
      <c r="J68" s="25">
        <v>1</v>
      </c>
      <c r="K68" s="25">
        <v>1</v>
      </c>
      <c r="L68" s="3">
        <f t="shared" si="0"/>
        <v>0.4</v>
      </c>
      <c r="M68" s="26" t="str">
        <f t="shared" si="1"/>
        <v>sedang</v>
      </c>
      <c r="N68" s="3">
        <f t="shared" si="2"/>
        <v>0.4</v>
      </c>
      <c r="O68" s="26" t="str">
        <f t="shared" si="3"/>
        <v>soal diterima baik</v>
      </c>
      <c r="P68" s="33"/>
      <c r="Q68" s="26">
        <v>63</v>
      </c>
      <c r="R68" s="25">
        <f t="shared" si="9"/>
        <v>0</v>
      </c>
      <c r="S68" s="25">
        <f t="shared" si="9"/>
        <v>1</v>
      </c>
      <c r="T68" s="25">
        <f t="shared" si="9"/>
        <v>0</v>
      </c>
      <c r="U68" s="25">
        <f t="shared" si="9"/>
        <v>0</v>
      </c>
      <c r="V68" s="25">
        <f t="shared" si="9"/>
        <v>0</v>
      </c>
      <c r="W68" s="25">
        <f t="shared" si="9"/>
        <v>0</v>
      </c>
      <c r="X68" s="25">
        <f t="shared" si="9"/>
        <v>0</v>
      </c>
      <c r="Y68" s="25">
        <f t="shared" si="9"/>
        <v>1</v>
      </c>
      <c r="Z68" s="25">
        <f t="shared" si="9"/>
        <v>1</v>
      </c>
      <c r="AA68" s="25">
        <f t="shared" si="9"/>
        <v>1</v>
      </c>
      <c r="AB68" s="3">
        <f t="shared" si="6"/>
        <v>0.4</v>
      </c>
      <c r="AC68" s="3">
        <f t="shared" si="7"/>
        <v>0.6</v>
      </c>
      <c r="AD68" s="3">
        <f t="shared" si="8"/>
        <v>0.24</v>
      </c>
      <c r="AE68" s="33"/>
    </row>
    <row r="69" spans="1:31" ht="42" x14ac:dyDescent="0.3">
      <c r="A69" s="28" t="s">
        <v>395</v>
      </c>
      <c r="B69" s="25">
        <v>1</v>
      </c>
      <c r="C69" s="25">
        <v>1</v>
      </c>
      <c r="D69" s="25">
        <v>1</v>
      </c>
      <c r="E69" s="25">
        <v>0</v>
      </c>
      <c r="F69" s="25">
        <v>0</v>
      </c>
      <c r="G69" s="25">
        <v>0</v>
      </c>
      <c r="H69" s="25">
        <v>0</v>
      </c>
      <c r="I69" s="25">
        <v>0</v>
      </c>
      <c r="J69" s="25">
        <v>1</v>
      </c>
      <c r="K69" s="25">
        <v>0</v>
      </c>
      <c r="L69" s="3">
        <f t="shared" si="0"/>
        <v>0.4</v>
      </c>
      <c r="M69" s="26" t="str">
        <f t="shared" si="1"/>
        <v>sedang</v>
      </c>
      <c r="N69" s="3">
        <f t="shared" si="2"/>
        <v>0.4</v>
      </c>
      <c r="O69" s="26" t="str">
        <f t="shared" si="3"/>
        <v>soal diterima baik</v>
      </c>
      <c r="P69" s="33"/>
      <c r="Q69" s="26">
        <v>64</v>
      </c>
      <c r="R69" s="25">
        <f t="shared" si="9"/>
        <v>0</v>
      </c>
      <c r="S69" s="25">
        <f t="shared" si="9"/>
        <v>1</v>
      </c>
      <c r="T69" s="25">
        <f t="shared" si="9"/>
        <v>0</v>
      </c>
      <c r="U69" s="25">
        <f t="shared" si="9"/>
        <v>0</v>
      </c>
      <c r="V69" s="25">
        <f t="shared" si="9"/>
        <v>0</v>
      </c>
      <c r="W69" s="25">
        <f t="shared" si="9"/>
        <v>0</v>
      </c>
      <c r="X69" s="25">
        <f t="shared" si="9"/>
        <v>0</v>
      </c>
      <c r="Y69" s="25">
        <f t="shared" si="9"/>
        <v>1</v>
      </c>
      <c r="Z69" s="25">
        <f t="shared" si="9"/>
        <v>1</v>
      </c>
      <c r="AA69" s="25">
        <f t="shared" si="9"/>
        <v>1</v>
      </c>
      <c r="AB69" s="3">
        <f t="shared" si="6"/>
        <v>0.4</v>
      </c>
      <c r="AC69" s="3">
        <f t="shared" si="7"/>
        <v>0.6</v>
      </c>
      <c r="AD69" s="3">
        <f t="shared" si="8"/>
        <v>0.24</v>
      </c>
      <c r="AE69" s="33"/>
    </row>
    <row r="70" spans="1:31" ht="56" x14ac:dyDescent="0.3">
      <c r="A70" s="24" t="s">
        <v>396</v>
      </c>
      <c r="B70" s="25">
        <v>0</v>
      </c>
      <c r="C70" s="25">
        <v>1</v>
      </c>
      <c r="D70" s="25">
        <v>0</v>
      </c>
      <c r="E70" s="25">
        <v>1</v>
      </c>
      <c r="F70" s="25">
        <v>0</v>
      </c>
      <c r="G70" s="25">
        <v>0</v>
      </c>
      <c r="H70" s="25">
        <v>0</v>
      </c>
      <c r="I70" s="25">
        <v>0</v>
      </c>
      <c r="J70" s="25">
        <v>0</v>
      </c>
      <c r="K70" s="25">
        <v>0</v>
      </c>
      <c r="L70" s="3">
        <f t="shared" ref="L70:L104" si="10">SUM(B70:K70)/10</f>
        <v>0.2</v>
      </c>
      <c r="M70" s="26" t="str">
        <f t="shared" ref="M70:M104" si="11">IF(L70&lt;0.31,"sukar",IF(L70&lt;0.71,"sedang","mudah"))</f>
        <v>sukar</v>
      </c>
      <c r="N70" s="3">
        <f t="shared" ref="N70:N104" si="12">ABS((SUM(B70:F70)-SUM(G70:K70))*2/10)</f>
        <v>0.4</v>
      </c>
      <c r="O70" s="26" t="str">
        <f t="shared" ref="O70:O104" si="13">IF(N70&lt;0.2,"soal dibuang",IF(N70&lt;0.3,"soal diperbaiki",IF(N70&lt;0.4,"soal diterima tapi perlu diperbaiki","soal diterima baik")))</f>
        <v>soal diterima baik</v>
      </c>
      <c r="P70" s="33"/>
      <c r="Q70" s="26">
        <v>65</v>
      </c>
      <c r="R70" s="25">
        <f t="shared" si="9"/>
        <v>1</v>
      </c>
      <c r="S70" s="25">
        <f t="shared" si="9"/>
        <v>1</v>
      </c>
      <c r="T70" s="25">
        <f t="shared" si="9"/>
        <v>1</v>
      </c>
      <c r="U70" s="25">
        <f t="shared" si="9"/>
        <v>0</v>
      </c>
      <c r="V70" s="25">
        <f t="shared" si="9"/>
        <v>0</v>
      </c>
      <c r="W70" s="25">
        <f t="shared" si="9"/>
        <v>0</v>
      </c>
      <c r="X70" s="25">
        <f t="shared" si="9"/>
        <v>0</v>
      </c>
      <c r="Y70" s="25">
        <f t="shared" si="9"/>
        <v>0</v>
      </c>
      <c r="Z70" s="25">
        <f t="shared" si="9"/>
        <v>1</v>
      </c>
      <c r="AA70" s="25">
        <f t="shared" si="9"/>
        <v>0</v>
      </c>
      <c r="AB70" s="3">
        <f t="shared" si="6"/>
        <v>0.4</v>
      </c>
      <c r="AC70" s="3">
        <f t="shared" si="7"/>
        <v>0.6</v>
      </c>
      <c r="AD70" s="3">
        <f t="shared" si="8"/>
        <v>0.24</v>
      </c>
      <c r="AE70" s="33"/>
    </row>
    <row r="71" spans="1:31" ht="42" x14ac:dyDescent="0.3">
      <c r="A71" s="28" t="s">
        <v>397</v>
      </c>
      <c r="B71" s="25">
        <v>0</v>
      </c>
      <c r="C71" s="25">
        <v>0</v>
      </c>
      <c r="D71" s="25">
        <v>1</v>
      </c>
      <c r="E71" s="25">
        <v>0</v>
      </c>
      <c r="F71" s="25">
        <v>0</v>
      </c>
      <c r="G71" s="25">
        <v>1</v>
      </c>
      <c r="H71" s="25">
        <v>0</v>
      </c>
      <c r="I71" s="25">
        <v>1</v>
      </c>
      <c r="J71" s="25">
        <v>0</v>
      </c>
      <c r="K71" s="25">
        <v>1</v>
      </c>
      <c r="L71" s="3">
        <f t="shared" si="10"/>
        <v>0.4</v>
      </c>
      <c r="M71" s="26" t="str">
        <f t="shared" si="11"/>
        <v>sedang</v>
      </c>
      <c r="N71" s="3">
        <f t="shared" si="12"/>
        <v>0.4</v>
      </c>
      <c r="O71" s="26" t="str">
        <f t="shared" si="13"/>
        <v>soal diterima baik</v>
      </c>
      <c r="P71" s="33"/>
      <c r="Q71" s="26">
        <v>66</v>
      </c>
      <c r="R71" s="25">
        <f t="shared" si="9"/>
        <v>0</v>
      </c>
      <c r="S71" s="25">
        <f t="shared" si="9"/>
        <v>1</v>
      </c>
      <c r="T71" s="25">
        <f t="shared" si="9"/>
        <v>0</v>
      </c>
      <c r="U71" s="25">
        <f t="shared" si="9"/>
        <v>1</v>
      </c>
      <c r="V71" s="25">
        <f t="shared" si="9"/>
        <v>0</v>
      </c>
      <c r="W71" s="25">
        <f t="shared" ref="W71:AA105" si="14">G70</f>
        <v>0</v>
      </c>
      <c r="X71" s="25">
        <f t="shared" si="14"/>
        <v>0</v>
      </c>
      <c r="Y71" s="25">
        <f t="shared" si="14"/>
        <v>0</v>
      </c>
      <c r="Z71" s="25">
        <f t="shared" si="14"/>
        <v>0</v>
      </c>
      <c r="AA71" s="25">
        <f t="shared" si="14"/>
        <v>0</v>
      </c>
      <c r="AB71" s="3">
        <f t="shared" ref="AB71:AB104" si="15">SUM(R71:AA71)/COUNT(R71:AA71)</f>
        <v>0.2</v>
      </c>
      <c r="AC71" s="3">
        <f t="shared" ref="AC71:AC105" si="16">1-AB71</f>
        <v>0.8</v>
      </c>
      <c r="AD71" s="3">
        <f t="shared" ref="AD71:AD105" si="17">AB71*AC71</f>
        <v>0.16000000000000003</v>
      </c>
      <c r="AE71" s="33"/>
    </row>
    <row r="72" spans="1:31" ht="98" x14ac:dyDescent="0.3">
      <c r="A72" s="30" t="s">
        <v>398</v>
      </c>
      <c r="B72" s="25">
        <v>1</v>
      </c>
      <c r="C72" s="25">
        <v>1</v>
      </c>
      <c r="D72" s="25">
        <v>1</v>
      </c>
      <c r="E72" s="25">
        <v>1</v>
      </c>
      <c r="F72" s="25">
        <v>1</v>
      </c>
      <c r="G72" s="25">
        <v>0</v>
      </c>
      <c r="H72" s="25">
        <v>0</v>
      </c>
      <c r="I72" s="25">
        <v>1</v>
      </c>
      <c r="J72" s="25">
        <v>0</v>
      </c>
      <c r="K72" s="25">
        <v>0</v>
      </c>
      <c r="L72" s="3">
        <f t="shared" si="10"/>
        <v>0.6</v>
      </c>
      <c r="M72" s="26" t="str">
        <f t="shared" si="11"/>
        <v>sedang</v>
      </c>
      <c r="N72" s="3">
        <f t="shared" si="12"/>
        <v>0.8</v>
      </c>
      <c r="O72" s="26" t="str">
        <f t="shared" si="13"/>
        <v>soal diterima baik</v>
      </c>
      <c r="P72" s="33"/>
      <c r="Q72" s="26">
        <v>67</v>
      </c>
      <c r="R72" s="25">
        <f t="shared" ref="R72:V105" si="18">B71</f>
        <v>0</v>
      </c>
      <c r="S72" s="25">
        <f t="shared" si="18"/>
        <v>0</v>
      </c>
      <c r="T72" s="25">
        <f t="shared" si="18"/>
        <v>1</v>
      </c>
      <c r="U72" s="25">
        <f t="shared" si="18"/>
        <v>0</v>
      </c>
      <c r="V72" s="25">
        <f t="shared" si="18"/>
        <v>0</v>
      </c>
      <c r="W72" s="25">
        <f t="shared" si="14"/>
        <v>1</v>
      </c>
      <c r="X72" s="25">
        <f t="shared" si="14"/>
        <v>0</v>
      </c>
      <c r="Y72" s="25">
        <f t="shared" si="14"/>
        <v>1</v>
      </c>
      <c r="Z72" s="25">
        <f t="shared" si="14"/>
        <v>0</v>
      </c>
      <c r="AA72" s="25">
        <f t="shared" si="14"/>
        <v>1</v>
      </c>
      <c r="AB72" s="3">
        <f t="shared" si="15"/>
        <v>0.4</v>
      </c>
      <c r="AC72" s="3">
        <f t="shared" si="16"/>
        <v>0.6</v>
      </c>
      <c r="AD72" s="3">
        <f t="shared" si="17"/>
        <v>0.24</v>
      </c>
      <c r="AE72" s="33"/>
    </row>
    <row r="73" spans="1:31" ht="28" x14ac:dyDescent="0.3">
      <c r="A73" s="24" t="s">
        <v>399</v>
      </c>
      <c r="B73" s="25">
        <v>1</v>
      </c>
      <c r="C73" s="25">
        <v>1</v>
      </c>
      <c r="D73" s="25">
        <v>0</v>
      </c>
      <c r="E73" s="25">
        <v>1</v>
      </c>
      <c r="F73" s="25">
        <v>1</v>
      </c>
      <c r="G73" s="25">
        <v>1</v>
      </c>
      <c r="H73" s="25">
        <v>0</v>
      </c>
      <c r="I73" s="25">
        <v>0</v>
      </c>
      <c r="J73" s="25">
        <v>0</v>
      </c>
      <c r="K73" s="25">
        <v>1</v>
      </c>
      <c r="L73" s="3">
        <f t="shared" si="10"/>
        <v>0.6</v>
      </c>
      <c r="M73" s="26" t="str">
        <f t="shared" si="11"/>
        <v>sedang</v>
      </c>
      <c r="N73" s="3">
        <f t="shared" si="12"/>
        <v>0.4</v>
      </c>
      <c r="O73" s="26" t="str">
        <f t="shared" si="13"/>
        <v>soal diterima baik</v>
      </c>
      <c r="P73" s="33"/>
      <c r="Q73" s="26">
        <v>68</v>
      </c>
      <c r="R73" s="25">
        <f t="shared" si="18"/>
        <v>1</v>
      </c>
      <c r="S73" s="25">
        <f t="shared" si="18"/>
        <v>1</v>
      </c>
      <c r="T73" s="25">
        <f t="shared" si="18"/>
        <v>1</v>
      </c>
      <c r="U73" s="25">
        <f t="shared" si="18"/>
        <v>1</v>
      </c>
      <c r="V73" s="25">
        <f t="shared" si="18"/>
        <v>1</v>
      </c>
      <c r="W73" s="25">
        <f t="shared" si="14"/>
        <v>0</v>
      </c>
      <c r="X73" s="25">
        <f t="shared" si="14"/>
        <v>0</v>
      </c>
      <c r="Y73" s="25">
        <f t="shared" si="14"/>
        <v>1</v>
      </c>
      <c r="Z73" s="25">
        <f t="shared" si="14"/>
        <v>0</v>
      </c>
      <c r="AA73" s="25">
        <f t="shared" si="14"/>
        <v>0</v>
      </c>
      <c r="AB73" s="3">
        <f t="shared" si="15"/>
        <v>0.6</v>
      </c>
      <c r="AC73" s="3">
        <f t="shared" si="16"/>
        <v>0.4</v>
      </c>
      <c r="AD73" s="3">
        <f t="shared" si="17"/>
        <v>0.24</v>
      </c>
      <c r="AE73" s="33"/>
    </row>
    <row r="74" spans="1:31" ht="42" x14ac:dyDescent="0.3">
      <c r="A74" s="28" t="s">
        <v>400</v>
      </c>
      <c r="B74" s="25">
        <v>1</v>
      </c>
      <c r="C74" s="25">
        <v>1</v>
      </c>
      <c r="D74" s="25">
        <v>1</v>
      </c>
      <c r="E74" s="25">
        <v>1</v>
      </c>
      <c r="F74" s="25">
        <v>1</v>
      </c>
      <c r="G74" s="25">
        <v>1</v>
      </c>
      <c r="H74" s="25">
        <v>1</v>
      </c>
      <c r="I74" s="25">
        <v>0</v>
      </c>
      <c r="J74" s="25">
        <v>0</v>
      </c>
      <c r="K74" s="25">
        <v>1</v>
      </c>
      <c r="L74" s="3">
        <f t="shared" si="10"/>
        <v>0.8</v>
      </c>
      <c r="M74" s="26" t="str">
        <f t="shared" si="11"/>
        <v>mudah</v>
      </c>
      <c r="N74" s="3">
        <f t="shared" si="12"/>
        <v>0.4</v>
      </c>
      <c r="O74" s="26" t="str">
        <f t="shared" si="13"/>
        <v>soal diterima baik</v>
      </c>
      <c r="P74" s="33"/>
      <c r="Q74" s="26">
        <v>69</v>
      </c>
      <c r="R74" s="25">
        <f t="shared" si="18"/>
        <v>1</v>
      </c>
      <c r="S74" s="25">
        <f t="shared" si="18"/>
        <v>1</v>
      </c>
      <c r="T74" s="25">
        <f t="shared" si="18"/>
        <v>0</v>
      </c>
      <c r="U74" s="25">
        <f t="shared" si="18"/>
        <v>1</v>
      </c>
      <c r="V74" s="25">
        <f t="shared" si="18"/>
        <v>1</v>
      </c>
      <c r="W74" s="25">
        <f t="shared" si="14"/>
        <v>1</v>
      </c>
      <c r="X74" s="25">
        <f t="shared" si="14"/>
        <v>0</v>
      </c>
      <c r="Y74" s="25">
        <f t="shared" si="14"/>
        <v>0</v>
      </c>
      <c r="Z74" s="25">
        <f t="shared" si="14"/>
        <v>0</v>
      </c>
      <c r="AA74" s="25">
        <f t="shared" si="14"/>
        <v>1</v>
      </c>
      <c r="AB74" s="3">
        <f t="shared" si="15"/>
        <v>0.6</v>
      </c>
      <c r="AC74" s="3">
        <f t="shared" si="16"/>
        <v>0.4</v>
      </c>
      <c r="AD74" s="3">
        <f t="shared" si="17"/>
        <v>0.24</v>
      </c>
      <c r="AE74" s="33"/>
    </row>
    <row r="75" spans="1:31" ht="70" x14ac:dyDescent="0.3">
      <c r="A75" s="24" t="s">
        <v>401</v>
      </c>
      <c r="B75" s="25">
        <v>1</v>
      </c>
      <c r="C75" s="25">
        <v>1</v>
      </c>
      <c r="D75" s="25">
        <v>1</v>
      </c>
      <c r="E75" s="25">
        <v>1</v>
      </c>
      <c r="F75" s="25">
        <v>1</v>
      </c>
      <c r="G75" s="25">
        <v>1</v>
      </c>
      <c r="H75" s="25">
        <v>0</v>
      </c>
      <c r="I75" s="25">
        <v>1</v>
      </c>
      <c r="J75" s="25">
        <v>0</v>
      </c>
      <c r="K75" s="25">
        <v>1</v>
      </c>
      <c r="L75" s="3">
        <f t="shared" si="10"/>
        <v>0.8</v>
      </c>
      <c r="M75" s="26" t="str">
        <f t="shared" si="11"/>
        <v>mudah</v>
      </c>
      <c r="N75" s="3">
        <f t="shared" si="12"/>
        <v>0.4</v>
      </c>
      <c r="O75" s="26" t="str">
        <f t="shared" si="13"/>
        <v>soal diterima baik</v>
      </c>
      <c r="P75" s="33"/>
      <c r="Q75" s="26">
        <v>70</v>
      </c>
      <c r="R75" s="25">
        <f t="shared" si="18"/>
        <v>1</v>
      </c>
      <c r="S75" s="25">
        <f t="shared" si="18"/>
        <v>1</v>
      </c>
      <c r="T75" s="25">
        <f t="shared" si="18"/>
        <v>1</v>
      </c>
      <c r="U75" s="25">
        <f t="shared" si="18"/>
        <v>1</v>
      </c>
      <c r="V75" s="25">
        <f t="shared" si="18"/>
        <v>1</v>
      </c>
      <c r="W75" s="25">
        <f t="shared" si="14"/>
        <v>1</v>
      </c>
      <c r="X75" s="25">
        <f t="shared" si="14"/>
        <v>1</v>
      </c>
      <c r="Y75" s="25">
        <f t="shared" si="14"/>
        <v>0</v>
      </c>
      <c r="Z75" s="25">
        <f t="shared" si="14"/>
        <v>0</v>
      </c>
      <c r="AA75" s="25">
        <f t="shared" si="14"/>
        <v>1</v>
      </c>
      <c r="AB75" s="3">
        <f t="shared" si="15"/>
        <v>0.8</v>
      </c>
      <c r="AC75" s="3">
        <f t="shared" si="16"/>
        <v>0.19999999999999996</v>
      </c>
      <c r="AD75" s="3">
        <f t="shared" si="17"/>
        <v>0.15999999999999998</v>
      </c>
      <c r="AE75" s="33"/>
    </row>
    <row r="76" spans="1:31" ht="42" x14ac:dyDescent="0.3">
      <c r="A76" s="30" t="s">
        <v>402</v>
      </c>
      <c r="B76" s="25">
        <v>1</v>
      </c>
      <c r="C76" s="25">
        <v>1</v>
      </c>
      <c r="D76" s="25">
        <v>1</v>
      </c>
      <c r="E76" s="25">
        <v>1</v>
      </c>
      <c r="F76" s="25">
        <v>0</v>
      </c>
      <c r="G76" s="25">
        <v>0</v>
      </c>
      <c r="H76" s="25">
        <v>1</v>
      </c>
      <c r="I76" s="25">
        <v>0</v>
      </c>
      <c r="J76" s="25">
        <v>0</v>
      </c>
      <c r="K76" s="25">
        <v>1</v>
      </c>
      <c r="L76" s="3">
        <f t="shared" si="10"/>
        <v>0.6</v>
      </c>
      <c r="M76" s="26" t="str">
        <f t="shared" si="11"/>
        <v>sedang</v>
      </c>
      <c r="N76" s="3">
        <f t="shared" si="12"/>
        <v>0.4</v>
      </c>
      <c r="O76" s="26" t="str">
        <f t="shared" si="13"/>
        <v>soal diterima baik</v>
      </c>
      <c r="P76" s="33"/>
      <c r="Q76" s="26">
        <v>71</v>
      </c>
      <c r="R76" s="25">
        <f t="shared" si="18"/>
        <v>1</v>
      </c>
      <c r="S76" s="25">
        <f t="shared" si="18"/>
        <v>1</v>
      </c>
      <c r="T76" s="25">
        <f t="shared" si="18"/>
        <v>1</v>
      </c>
      <c r="U76" s="25">
        <f t="shared" si="18"/>
        <v>1</v>
      </c>
      <c r="V76" s="25">
        <f t="shared" si="18"/>
        <v>1</v>
      </c>
      <c r="W76" s="25">
        <f t="shared" si="14"/>
        <v>1</v>
      </c>
      <c r="X76" s="25">
        <f t="shared" si="14"/>
        <v>0</v>
      </c>
      <c r="Y76" s="25">
        <f t="shared" si="14"/>
        <v>1</v>
      </c>
      <c r="Z76" s="25">
        <f t="shared" si="14"/>
        <v>0</v>
      </c>
      <c r="AA76" s="25">
        <f t="shared" si="14"/>
        <v>1</v>
      </c>
      <c r="AB76" s="3">
        <f t="shared" si="15"/>
        <v>0.8</v>
      </c>
      <c r="AC76" s="3">
        <f t="shared" si="16"/>
        <v>0.19999999999999996</v>
      </c>
      <c r="AD76" s="3">
        <f t="shared" si="17"/>
        <v>0.15999999999999998</v>
      </c>
      <c r="AE76" s="33"/>
    </row>
    <row r="77" spans="1:31" ht="56" x14ac:dyDescent="0.3">
      <c r="A77" s="30" t="s">
        <v>403</v>
      </c>
      <c r="B77" s="25">
        <v>1</v>
      </c>
      <c r="C77" s="25">
        <v>0</v>
      </c>
      <c r="D77" s="25">
        <v>1</v>
      </c>
      <c r="E77" s="25">
        <v>1</v>
      </c>
      <c r="F77" s="25">
        <v>1</v>
      </c>
      <c r="G77" s="25">
        <v>0</v>
      </c>
      <c r="H77" s="25">
        <v>1</v>
      </c>
      <c r="I77" s="25">
        <v>1</v>
      </c>
      <c r="J77" s="25">
        <v>0</v>
      </c>
      <c r="K77" s="25">
        <v>0</v>
      </c>
      <c r="L77" s="3">
        <f t="shared" si="10"/>
        <v>0.6</v>
      </c>
      <c r="M77" s="26" t="str">
        <f t="shared" si="11"/>
        <v>sedang</v>
      </c>
      <c r="N77" s="3">
        <f t="shared" si="12"/>
        <v>0.4</v>
      </c>
      <c r="O77" s="26" t="str">
        <f t="shared" si="13"/>
        <v>soal diterima baik</v>
      </c>
      <c r="P77" s="33"/>
      <c r="Q77" s="26">
        <v>72</v>
      </c>
      <c r="R77" s="25">
        <f t="shared" si="18"/>
        <v>1</v>
      </c>
      <c r="S77" s="25">
        <f t="shared" si="18"/>
        <v>1</v>
      </c>
      <c r="T77" s="25">
        <f t="shared" si="18"/>
        <v>1</v>
      </c>
      <c r="U77" s="25">
        <f t="shared" si="18"/>
        <v>1</v>
      </c>
      <c r="V77" s="25">
        <f t="shared" si="18"/>
        <v>0</v>
      </c>
      <c r="W77" s="25">
        <f t="shared" si="14"/>
        <v>0</v>
      </c>
      <c r="X77" s="25">
        <f t="shared" si="14"/>
        <v>1</v>
      </c>
      <c r="Y77" s="25">
        <f t="shared" si="14"/>
        <v>0</v>
      </c>
      <c r="Z77" s="25">
        <f t="shared" si="14"/>
        <v>0</v>
      </c>
      <c r="AA77" s="25">
        <f t="shared" si="14"/>
        <v>1</v>
      </c>
      <c r="AB77" s="3">
        <f t="shared" si="15"/>
        <v>0.6</v>
      </c>
      <c r="AC77" s="3">
        <f t="shared" si="16"/>
        <v>0.4</v>
      </c>
      <c r="AD77" s="3">
        <f t="shared" si="17"/>
        <v>0.24</v>
      </c>
      <c r="AE77" s="33"/>
    </row>
    <row r="78" spans="1:31" ht="56" x14ac:dyDescent="0.3">
      <c r="A78" s="30" t="s">
        <v>404</v>
      </c>
      <c r="B78" s="25">
        <v>1</v>
      </c>
      <c r="C78" s="25">
        <v>0</v>
      </c>
      <c r="D78" s="25">
        <v>1</v>
      </c>
      <c r="E78" s="25">
        <v>1</v>
      </c>
      <c r="F78" s="25">
        <v>1</v>
      </c>
      <c r="G78" s="25">
        <v>1</v>
      </c>
      <c r="H78" s="25">
        <v>1</v>
      </c>
      <c r="I78" s="25">
        <v>0</v>
      </c>
      <c r="J78" s="25">
        <v>0</v>
      </c>
      <c r="K78" s="25">
        <v>0</v>
      </c>
      <c r="L78" s="3">
        <f t="shared" si="10"/>
        <v>0.6</v>
      </c>
      <c r="M78" s="26" t="str">
        <f t="shared" si="11"/>
        <v>sedang</v>
      </c>
      <c r="N78" s="3">
        <f t="shared" si="12"/>
        <v>0.4</v>
      </c>
      <c r="O78" s="26" t="str">
        <f t="shared" si="13"/>
        <v>soal diterima baik</v>
      </c>
      <c r="P78" s="33"/>
      <c r="Q78" s="26">
        <v>73</v>
      </c>
      <c r="R78" s="25">
        <f t="shared" si="18"/>
        <v>1</v>
      </c>
      <c r="S78" s="25">
        <f t="shared" si="18"/>
        <v>0</v>
      </c>
      <c r="T78" s="25">
        <f t="shared" si="18"/>
        <v>1</v>
      </c>
      <c r="U78" s="25">
        <f t="shared" si="18"/>
        <v>1</v>
      </c>
      <c r="V78" s="25">
        <f t="shared" si="18"/>
        <v>1</v>
      </c>
      <c r="W78" s="25">
        <f t="shared" si="14"/>
        <v>0</v>
      </c>
      <c r="X78" s="25">
        <f t="shared" si="14"/>
        <v>1</v>
      </c>
      <c r="Y78" s="25">
        <f t="shared" si="14"/>
        <v>1</v>
      </c>
      <c r="Z78" s="25">
        <f t="shared" si="14"/>
        <v>0</v>
      </c>
      <c r="AA78" s="25">
        <f t="shared" si="14"/>
        <v>0</v>
      </c>
      <c r="AB78" s="3">
        <f t="shared" si="15"/>
        <v>0.6</v>
      </c>
      <c r="AC78" s="3">
        <f t="shared" si="16"/>
        <v>0.4</v>
      </c>
      <c r="AD78" s="3">
        <f t="shared" si="17"/>
        <v>0.24</v>
      </c>
      <c r="AE78" s="33"/>
    </row>
    <row r="79" spans="1:31" ht="112" x14ac:dyDescent="0.3">
      <c r="A79" s="28" t="s">
        <v>405</v>
      </c>
      <c r="B79" s="25">
        <v>1</v>
      </c>
      <c r="C79" s="25">
        <v>1</v>
      </c>
      <c r="D79" s="25">
        <v>1</v>
      </c>
      <c r="E79" s="25">
        <v>1</v>
      </c>
      <c r="F79" s="25">
        <v>1</v>
      </c>
      <c r="G79" s="25">
        <v>0</v>
      </c>
      <c r="H79" s="25">
        <v>1</v>
      </c>
      <c r="I79" s="25">
        <v>0</v>
      </c>
      <c r="J79" s="25">
        <v>0</v>
      </c>
      <c r="K79" s="25">
        <v>0</v>
      </c>
      <c r="L79" s="3">
        <f t="shared" si="10"/>
        <v>0.6</v>
      </c>
      <c r="M79" s="26" t="str">
        <f t="shared" si="11"/>
        <v>sedang</v>
      </c>
      <c r="N79" s="3">
        <f t="shared" si="12"/>
        <v>0.8</v>
      </c>
      <c r="O79" s="26" t="str">
        <f t="shared" si="13"/>
        <v>soal diterima baik</v>
      </c>
      <c r="P79" s="33"/>
      <c r="Q79" s="26">
        <v>74</v>
      </c>
      <c r="R79" s="25">
        <f t="shared" si="18"/>
        <v>1</v>
      </c>
      <c r="S79" s="25">
        <f t="shared" si="18"/>
        <v>0</v>
      </c>
      <c r="T79" s="25">
        <f t="shared" si="18"/>
        <v>1</v>
      </c>
      <c r="U79" s="25">
        <f t="shared" si="18"/>
        <v>1</v>
      </c>
      <c r="V79" s="25">
        <f t="shared" si="18"/>
        <v>1</v>
      </c>
      <c r="W79" s="25">
        <f t="shared" si="14"/>
        <v>1</v>
      </c>
      <c r="X79" s="25">
        <f t="shared" si="14"/>
        <v>1</v>
      </c>
      <c r="Y79" s="25">
        <f t="shared" si="14"/>
        <v>0</v>
      </c>
      <c r="Z79" s="25">
        <f t="shared" si="14"/>
        <v>0</v>
      </c>
      <c r="AA79" s="25">
        <f t="shared" si="14"/>
        <v>0</v>
      </c>
      <c r="AB79" s="3">
        <f t="shared" si="15"/>
        <v>0.6</v>
      </c>
      <c r="AC79" s="3">
        <f t="shared" si="16"/>
        <v>0.4</v>
      </c>
      <c r="AD79" s="3">
        <f t="shared" si="17"/>
        <v>0.24</v>
      </c>
      <c r="AE79" s="33"/>
    </row>
    <row r="80" spans="1:31" ht="28" x14ac:dyDescent="0.3">
      <c r="A80" s="24" t="s">
        <v>406</v>
      </c>
      <c r="B80" s="25">
        <v>1</v>
      </c>
      <c r="C80" s="25">
        <v>1</v>
      </c>
      <c r="D80" s="25">
        <v>0</v>
      </c>
      <c r="E80" s="25">
        <v>1</v>
      </c>
      <c r="F80" s="25">
        <v>1</v>
      </c>
      <c r="G80" s="25">
        <v>1</v>
      </c>
      <c r="H80" s="25">
        <v>0</v>
      </c>
      <c r="I80" s="25">
        <v>0</v>
      </c>
      <c r="J80" s="25">
        <v>1</v>
      </c>
      <c r="K80" s="25">
        <v>0</v>
      </c>
      <c r="L80" s="3">
        <f t="shared" si="10"/>
        <v>0.6</v>
      </c>
      <c r="M80" s="26" t="str">
        <f t="shared" si="11"/>
        <v>sedang</v>
      </c>
      <c r="N80" s="3">
        <f t="shared" si="12"/>
        <v>0.4</v>
      </c>
      <c r="O80" s="26" t="str">
        <f t="shared" si="13"/>
        <v>soal diterima baik</v>
      </c>
      <c r="P80" s="33"/>
      <c r="Q80" s="26">
        <v>75</v>
      </c>
      <c r="R80" s="25">
        <f t="shared" si="18"/>
        <v>1</v>
      </c>
      <c r="S80" s="25">
        <f t="shared" si="18"/>
        <v>1</v>
      </c>
      <c r="T80" s="25">
        <f t="shared" si="18"/>
        <v>1</v>
      </c>
      <c r="U80" s="25">
        <f t="shared" si="18"/>
        <v>1</v>
      </c>
      <c r="V80" s="25">
        <f t="shared" si="18"/>
        <v>1</v>
      </c>
      <c r="W80" s="25">
        <f t="shared" si="14"/>
        <v>0</v>
      </c>
      <c r="X80" s="25">
        <f t="shared" si="14"/>
        <v>1</v>
      </c>
      <c r="Y80" s="25">
        <f t="shared" si="14"/>
        <v>0</v>
      </c>
      <c r="Z80" s="25">
        <f t="shared" si="14"/>
        <v>0</v>
      </c>
      <c r="AA80" s="25">
        <f t="shared" si="14"/>
        <v>0</v>
      </c>
      <c r="AB80" s="3">
        <f t="shared" si="15"/>
        <v>0.6</v>
      </c>
      <c r="AC80" s="3">
        <f t="shared" si="16"/>
        <v>0.4</v>
      </c>
      <c r="AD80" s="3">
        <f t="shared" si="17"/>
        <v>0.24</v>
      </c>
      <c r="AE80" s="33"/>
    </row>
    <row r="81" spans="1:31" ht="42" x14ac:dyDescent="0.3">
      <c r="A81" s="24" t="s">
        <v>407</v>
      </c>
      <c r="B81" s="25">
        <v>0</v>
      </c>
      <c r="C81" s="25">
        <v>0</v>
      </c>
      <c r="D81" s="25">
        <v>0</v>
      </c>
      <c r="E81" s="25">
        <v>0</v>
      </c>
      <c r="F81" s="25">
        <v>0</v>
      </c>
      <c r="G81" s="25">
        <v>0</v>
      </c>
      <c r="H81" s="25">
        <v>0</v>
      </c>
      <c r="I81" s="25">
        <v>1</v>
      </c>
      <c r="J81" s="25">
        <v>0</v>
      </c>
      <c r="K81" s="25">
        <v>1</v>
      </c>
      <c r="L81" s="3">
        <f t="shared" si="10"/>
        <v>0.2</v>
      </c>
      <c r="M81" s="26" t="str">
        <f t="shared" si="11"/>
        <v>sukar</v>
      </c>
      <c r="N81" s="3">
        <f t="shared" si="12"/>
        <v>0.4</v>
      </c>
      <c r="O81" s="26" t="str">
        <f t="shared" si="13"/>
        <v>soal diterima baik</v>
      </c>
      <c r="P81" s="33"/>
      <c r="Q81" s="26">
        <v>76</v>
      </c>
      <c r="R81" s="25">
        <f t="shared" si="18"/>
        <v>1</v>
      </c>
      <c r="S81" s="25">
        <f t="shared" si="18"/>
        <v>1</v>
      </c>
      <c r="T81" s="25">
        <f t="shared" si="18"/>
        <v>0</v>
      </c>
      <c r="U81" s="25">
        <f t="shared" si="18"/>
        <v>1</v>
      </c>
      <c r="V81" s="25">
        <f t="shared" si="18"/>
        <v>1</v>
      </c>
      <c r="W81" s="25">
        <f t="shared" si="14"/>
        <v>1</v>
      </c>
      <c r="X81" s="25">
        <f t="shared" si="14"/>
        <v>0</v>
      </c>
      <c r="Y81" s="25">
        <f t="shared" si="14"/>
        <v>0</v>
      </c>
      <c r="Z81" s="25">
        <f t="shared" si="14"/>
        <v>1</v>
      </c>
      <c r="AA81" s="25">
        <f t="shared" si="14"/>
        <v>0</v>
      </c>
      <c r="AB81" s="3">
        <f t="shared" si="15"/>
        <v>0.6</v>
      </c>
      <c r="AC81" s="3">
        <f t="shared" si="16"/>
        <v>0.4</v>
      </c>
      <c r="AD81" s="3">
        <f t="shared" si="17"/>
        <v>0.24</v>
      </c>
      <c r="AE81" s="33"/>
    </row>
    <row r="82" spans="1:31" ht="42" x14ac:dyDescent="0.3">
      <c r="A82" s="28" t="s">
        <v>408</v>
      </c>
      <c r="B82" s="25">
        <v>1</v>
      </c>
      <c r="C82" s="25">
        <v>0</v>
      </c>
      <c r="D82" s="25">
        <v>1</v>
      </c>
      <c r="E82" s="25">
        <v>1</v>
      </c>
      <c r="F82" s="25">
        <v>1</v>
      </c>
      <c r="G82" s="25">
        <v>0</v>
      </c>
      <c r="H82" s="25">
        <v>1</v>
      </c>
      <c r="I82" s="25">
        <v>1</v>
      </c>
      <c r="J82" s="25">
        <v>0</v>
      </c>
      <c r="K82" s="25">
        <v>0</v>
      </c>
      <c r="L82" s="3">
        <f t="shared" si="10"/>
        <v>0.6</v>
      </c>
      <c r="M82" s="26" t="str">
        <f t="shared" si="11"/>
        <v>sedang</v>
      </c>
      <c r="N82" s="3">
        <f t="shared" si="12"/>
        <v>0.4</v>
      </c>
      <c r="O82" s="26" t="str">
        <f t="shared" si="13"/>
        <v>soal diterima baik</v>
      </c>
      <c r="P82" s="33"/>
      <c r="Q82" s="26">
        <v>77</v>
      </c>
      <c r="R82" s="25">
        <f t="shared" si="18"/>
        <v>0</v>
      </c>
      <c r="S82" s="25">
        <f t="shared" si="18"/>
        <v>0</v>
      </c>
      <c r="T82" s="25">
        <f t="shared" si="18"/>
        <v>0</v>
      </c>
      <c r="U82" s="25">
        <f t="shared" si="18"/>
        <v>0</v>
      </c>
      <c r="V82" s="25">
        <f t="shared" si="18"/>
        <v>0</v>
      </c>
      <c r="W82" s="25">
        <f t="shared" si="14"/>
        <v>0</v>
      </c>
      <c r="X82" s="25">
        <f t="shared" si="14"/>
        <v>0</v>
      </c>
      <c r="Y82" s="25">
        <f t="shared" si="14"/>
        <v>1</v>
      </c>
      <c r="Z82" s="25">
        <f t="shared" si="14"/>
        <v>0</v>
      </c>
      <c r="AA82" s="25">
        <f t="shared" si="14"/>
        <v>1</v>
      </c>
      <c r="AB82" s="3">
        <f t="shared" si="15"/>
        <v>0.2</v>
      </c>
      <c r="AC82" s="3">
        <f t="shared" si="16"/>
        <v>0.8</v>
      </c>
      <c r="AD82" s="3">
        <f t="shared" si="17"/>
        <v>0.16000000000000003</v>
      </c>
      <c r="AE82" s="33"/>
    </row>
    <row r="83" spans="1:31" ht="42" x14ac:dyDescent="0.3">
      <c r="A83" s="30" t="s">
        <v>409</v>
      </c>
      <c r="B83" s="25">
        <v>0</v>
      </c>
      <c r="C83" s="25">
        <v>1</v>
      </c>
      <c r="D83" s="25">
        <v>0</v>
      </c>
      <c r="E83" s="25">
        <v>1</v>
      </c>
      <c r="F83" s="25">
        <v>0</v>
      </c>
      <c r="G83" s="25">
        <v>1</v>
      </c>
      <c r="H83" s="25">
        <v>1</v>
      </c>
      <c r="I83" s="25">
        <v>0</v>
      </c>
      <c r="J83" s="25">
        <v>1</v>
      </c>
      <c r="K83" s="25">
        <v>1</v>
      </c>
      <c r="L83" s="3">
        <f t="shared" si="10"/>
        <v>0.6</v>
      </c>
      <c r="M83" s="26" t="str">
        <f t="shared" si="11"/>
        <v>sedang</v>
      </c>
      <c r="N83" s="3">
        <f t="shared" si="12"/>
        <v>0.4</v>
      </c>
      <c r="O83" s="26" t="str">
        <f t="shared" si="13"/>
        <v>soal diterima baik</v>
      </c>
      <c r="P83" s="33"/>
      <c r="Q83" s="26">
        <v>78</v>
      </c>
      <c r="R83" s="25">
        <f t="shared" si="18"/>
        <v>1</v>
      </c>
      <c r="S83" s="25">
        <f t="shared" si="18"/>
        <v>0</v>
      </c>
      <c r="T83" s="25">
        <f t="shared" si="18"/>
        <v>1</v>
      </c>
      <c r="U83" s="25">
        <f t="shared" si="18"/>
        <v>1</v>
      </c>
      <c r="V83" s="25">
        <f t="shared" si="18"/>
        <v>1</v>
      </c>
      <c r="W83" s="25">
        <f t="shared" si="14"/>
        <v>0</v>
      </c>
      <c r="X83" s="25">
        <f t="shared" si="14"/>
        <v>1</v>
      </c>
      <c r="Y83" s="25">
        <f t="shared" si="14"/>
        <v>1</v>
      </c>
      <c r="Z83" s="25">
        <f t="shared" si="14"/>
        <v>0</v>
      </c>
      <c r="AA83" s="25">
        <f t="shared" si="14"/>
        <v>0</v>
      </c>
      <c r="AB83" s="3">
        <f t="shared" si="15"/>
        <v>0.6</v>
      </c>
      <c r="AC83" s="3">
        <f t="shared" si="16"/>
        <v>0.4</v>
      </c>
      <c r="AD83" s="3">
        <f t="shared" si="17"/>
        <v>0.24</v>
      </c>
      <c r="AE83" s="33"/>
    </row>
    <row r="84" spans="1:31" ht="42" x14ac:dyDescent="0.3">
      <c r="A84" s="28" t="s">
        <v>410</v>
      </c>
      <c r="B84" s="25">
        <v>1</v>
      </c>
      <c r="C84" s="25">
        <v>1</v>
      </c>
      <c r="D84" s="25">
        <v>1</v>
      </c>
      <c r="E84" s="25">
        <v>1</v>
      </c>
      <c r="F84" s="25">
        <v>1</v>
      </c>
      <c r="G84" s="25">
        <v>1</v>
      </c>
      <c r="H84" s="25">
        <v>0</v>
      </c>
      <c r="I84" s="25">
        <v>1</v>
      </c>
      <c r="J84" s="25">
        <v>0</v>
      </c>
      <c r="K84" s="25">
        <v>1</v>
      </c>
      <c r="L84" s="3">
        <f t="shared" si="10"/>
        <v>0.8</v>
      </c>
      <c r="M84" s="26" t="str">
        <f t="shared" si="11"/>
        <v>mudah</v>
      </c>
      <c r="N84" s="3">
        <f t="shared" si="12"/>
        <v>0.4</v>
      </c>
      <c r="O84" s="26" t="str">
        <f t="shared" si="13"/>
        <v>soal diterima baik</v>
      </c>
      <c r="P84" s="33"/>
      <c r="Q84" s="26">
        <v>79</v>
      </c>
      <c r="R84" s="25">
        <f t="shared" si="18"/>
        <v>0</v>
      </c>
      <c r="S84" s="25">
        <f t="shared" si="18"/>
        <v>1</v>
      </c>
      <c r="T84" s="25">
        <f t="shared" si="18"/>
        <v>0</v>
      </c>
      <c r="U84" s="25">
        <f t="shared" si="18"/>
        <v>1</v>
      </c>
      <c r="V84" s="25">
        <f t="shared" si="18"/>
        <v>0</v>
      </c>
      <c r="W84" s="25">
        <f t="shared" si="14"/>
        <v>1</v>
      </c>
      <c r="X84" s="25">
        <f t="shared" si="14"/>
        <v>1</v>
      </c>
      <c r="Y84" s="25">
        <f t="shared" si="14"/>
        <v>0</v>
      </c>
      <c r="Z84" s="25">
        <f t="shared" si="14"/>
        <v>1</v>
      </c>
      <c r="AA84" s="25">
        <f t="shared" si="14"/>
        <v>1</v>
      </c>
      <c r="AB84" s="3">
        <f t="shared" si="15"/>
        <v>0.6</v>
      </c>
      <c r="AC84" s="3">
        <f t="shared" si="16"/>
        <v>0.4</v>
      </c>
      <c r="AD84" s="3">
        <f t="shared" si="17"/>
        <v>0.24</v>
      </c>
      <c r="AE84" s="33"/>
    </row>
    <row r="85" spans="1:31" ht="28" x14ac:dyDescent="0.3">
      <c r="A85" s="24" t="s">
        <v>411</v>
      </c>
      <c r="B85" s="25">
        <v>0</v>
      </c>
      <c r="C85" s="25">
        <v>1</v>
      </c>
      <c r="D85" s="25">
        <v>1</v>
      </c>
      <c r="E85" s="25">
        <v>1</v>
      </c>
      <c r="F85" s="25">
        <v>1</v>
      </c>
      <c r="G85" s="25">
        <v>1</v>
      </c>
      <c r="H85" s="25">
        <v>0</v>
      </c>
      <c r="I85" s="25">
        <v>1</v>
      </c>
      <c r="J85" s="25">
        <v>0</v>
      </c>
      <c r="K85" s="25">
        <v>0</v>
      </c>
      <c r="L85" s="3">
        <f t="shared" si="10"/>
        <v>0.6</v>
      </c>
      <c r="M85" s="26" t="str">
        <f t="shared" si="11"/>
        <v>sedang</v>
      </c>
      <c r="N85" s="3">
        <f t="shared" si="12"/>
        <v>0.4</v>
      </c>
      <c r="O85" s="26" t="str">
        <f t="shared" si="13"/>
        <v>soal diterima baik</v>
      </c>
      <c r="P85" s="33"/>
      <c r="Q85" s="26">
        <v>80</v>
      </c>
      <c r="R85" s="25">
        <f t="shared" si="18"/>
        <v>1</v>
      </c>
      <c r="S85" s="25">
        <f t="shared" si="18"/>
        <v>1</v>
      </c>
      <c r="T85" s="25">
        <f t="shared" si="18"/>
        <v>1</v>
      </c>
      <c r="U85" s="25">
        <f t="shared" si="18"/>
        <v>1</v>
      </c>
      <c r="V85" s="25">
        <f t="shared" si="18"/>
        <v>1</v>
      </c>
      <c r="W85" s="25">
        <f t="shared" si="14"/>
        <v>1</v>
      </c>
      <c r="X85" s="25">
        <f t="shared" si="14"/>
        <v>0</v>
      </c>
      <c r="Y85" s="25">
        <f t="shared" si="14"/>
        <v>1</v>
      </c>
      <c r="Z85" s="25">
        <f t="shared" si="14"/>
        <v>0</v>
      </c>
      <c r="AA85" s="25">
        <f t="shared" si="14"/>
        <v>1</v>
      </c>
      <c r="AB85" s="3">
        <f t="shared" si="15"/>
        <v>0.8</v>
      </c>
      <c r="AC85" s="3">
        <f t="shared" si="16"/>
        <v>0.19999999999999996</v>
      </c>
      <c r="AD85" s="3">
        <f t="shared" si="17"/>
        <v>0.15999999999999998</v>
      </c>
      <c r="AE85" s="33"/>
    </row>
    <row r="86" spans="1:31" ht="84" x14ac:dyDescent="0.3">
      <c r="A86" s="30" t="s">
        <v>412</v>
      </c>
      <c r="B86" s="25">
        <v>1</v>
      </c>
      <c r="C86" s="25">
        <v>1</v>
      </c>
      <c r="D86" s="25">
        <v>1</v>
      </c>
      <c r="E86" s="25">
        <v>0</v>
      </c>
      <c r="F86" s="25">
        <v>1</v>
      </c>
      <c r="G86" s="25">
        <v>1</v>
      </c>
      <c r="H86" s="25">
        <v>0</v>
      </c>
      <c r="I86" s="25">
        <v>0</v>
      </c>
      <c r="J86" s="25">
        <v>1</v>
      </c>
      <c r="K86" s="25">
        <v>0</v>
      </c>
      <c r="L86" s="3">
        <f t="shared" si="10"/>
        <v>0.6</v>
      </c>
      <c r="M86" s="26" t="str">
        <f t="shared" si="11"/>
        <v>sedang</v>
      </c>
      <c r="N86" s="3">
        <f t="shared" si="12"/>
        <v>0.4</v>
      </c>
      <c r="O86" s="26" t="str">
        <f t="shared" si="13"/>
        <v>soal diterima baik</v>
      </c>
      <c r="P86" s="33"/>
      <c r="Q86" s="26">
        <v>81</v>
      </c>
      <c r="R86" s="25">
        <f t="shared" si="18"/>
        <v>0</v>
      </c>
      <c r="S86" s="25">
        <f t="shared" si="18"/>
        <v>1</v>
      </c>
      <c r="T86" s="25">
        <f t="shared" si="18"/>
        <v>1</v>
      </c>
      <c r="U86" s="25">
        <f t="shared" si="18"/>
        <v>1</v>
      </c>
      <c r="V86" s="25">
        <f t="shared" si="18"/>
        <v>1</v>
      </c>
      <c r="W86" s="25">
        <f t="shared" si="14"/>
        <v>1</v>
      </c>
      <c r="X86" s="25">
        <f t="shared" si="14"/>
        <v>0</v>
      </c>
      <c r="Y86" s="25">
        <f t="shared" si="14"/>
        <v>1</v>
      </c>
      <c r="Z86" s="25">
        <f t="shared" si="14"/>
        <v>0</v>
      </c>
      <c r="AA86" s="25">
        <f t="shared" si="14"/>
        <v>0</v>
      </c>
      <c r="AB86" s="3">
        <f t="shared" si="15"/>
        <v>0.6</v>
      </c>
      <c r="AC86" s="3">
        <f t="shared" si="16"/>
        <v>0.4</v>
      </c>
      <c r="AD86" s="3">
        <f t="shared" si="17"/>
        <v>0.24</v>
      </c>
      <c r="AE86" s="33"/>
    </row>
    <row r="87" spans="1:31" ht="42" x14ac:dyDescent="0.3">
      <c r="A87" s="30" t="s">
        <v>413</v>
      </c>
      <c r="B87" s="25">
        <v>0</v>
      </c>
      <c r="C87" s="25">
        <v>0</v>
      </c>
      <c r="D87" s="25">
        <v>0</v>
      </c>
      <c r="E87" s="25">
        <v>1</v>
      </c>
      <c r="F87" s="25">
        <v>0</v>
      </c>
      <c r="G87" s="25">
        <v>0</v>
      </c>
      <c r="H87" s="25">
        <v>1</v>
      </c>
      <c r="I87" s="25">
        <v>1</v>
      </c>
      <c r="J87" s="25">
        <v>0</v>
      </c>
      <c r="K87" s="25">
        <v>1</v>
      </c>
      <c r="L87" s="3">
        <f t="shared" si="10"/>
        <v>0.4</v>
      </c>
      <c r="M87" s="26" t="str">
        <f t="shared" si="11"/>
        <v>sedang</v>
      </c>
      <c r="N87" s="3">
        <f t="shared" si="12"/>
        <v>0.4</v>
      </c>
      <c r="O87" s="26" t="str">
        <f t="shared" si="13"/>
        <v>soal diterima baik</v>
      </c>
      <c r="P87" s="33"/>
      <c r="Q87" s="26">
        <v>82</v>
      </c>
      <c r="R87" s="25">
        <f t="shared" si="18"/>
        <v>1</v>
      </c>
      <c r="S87" s="25">
        <f t="shared" si="18"/>
        <v>1</v>
      </c>
      <c r="T87" s="25">
        <f t="shared" si="18"/>
        <v>1</v>
      </c>
      <c r="U87" s="25">
        <f t="shared" si="18"/>
        <v>0</v>
      </c>
      <c r="V87" s="25">
        <f t="shared" si="18"/>
        <v>1</v>
      </c>
      <c r="W87" s="25">
        <f t="shared" si="14"/>
        <v>1</v>
      </c>
      <c r="X87" s="25">
        <f t="shared" si="14"/>
        <v>0</v>
      </c>
      <c r="Y87" s="25">
        <f t="shared" si="14"/>
        <v>0</v>
      </c>
      <c r="Z87" s="25">
        <f t="shared" si="14"/>
        <v>1</v>
      </c>
      <c r="AA87" s="25">
        <f t="shared" si="14"/>
        <v>0</v>
      </c>
      <c r="AB87" s="3">
        <f t="shared" si="15"/>
        <v>0.6</v>
      </c>
      <c r="AC87" s="3">
        <f t="shared" si="16"/>
        <v>0.4</v>
      </c>
      <c r="AD87" s="3">
        <f t="shared" si="17"/>
        <v>0.24</v>
      </c>
      <c r="AE87" s="33"/>
    </row>
    <row r="88" spans="1:31" ht="28" x14ac:dyDescent="0.3">
      <c r="A88" s="28" t="s">
        <v>414</v>
      </c>
      <c r="B88" s="25">
        <v>0</v>
      </c>
      <c r="C88" s="25">
        <v>0</v>
      </c>
      <c r="D88" s="25">
        <v>1</v>
      </c>
      <c r="E88" s="25">
        <v>1</v>
      </c>
      <c r="F88" s="25">
        <v>0</v>
      </c>
      <c r="G88" s="25">
        <v>1</v>
      </c>
      <c r="H88" s="25">
        <v>1</v>
      </c>
      <c r="I88" s="25">
        <v>1</v>
      </c>
      <c r="J88" s="25">
        <v>1</v>
      </c>
      <c r="K88" s="25">
        <v>0</v>
      </c>
      <c r="L88" s="3">
        <f t="shared" si="10"/>
        <v>0.6</v>
      </c>
      <c r="M88" s="26" t="str">
        <f t="shared" si="11"/>
        <v>sedang</v>
      </c>
      <c r="N88" s="3">
        <f t="shared" si="12"/>
        <v>0.4</v>
      </c>
      <c r="O88" s="26" t="str">
        <f t="shared" si="13"/>
        <v>soal diterima baik</v>
      </c>
      <c r="P88" s="33"/>
      <c r="Q88" s="26">
        <v>83</v>
      </c>
      <c r="R88" s="25">
        <f t="shared" si="18"/>
        <v>0</v>
      </c>
      <c r="S88" s="25">
        <f t="shared" si="18"/>
        <v>0</v>
      </c>
      <c r="T88" s="25">
        <f t="shared" si="18"/>
        <v>0</v>
      </c>
      <c r="U88" s="25">
        <f t="shared" si="18"/>
        <v>1</v>
      </c>
      <c r="V88" s="25">
        <f t="shared" si="18"/>
        <v>0</v>
      </c>
      <c r="W88" s="25">
        <f t="shared" si="14"/>
        <v>0</v>
      </c>
      <c r="X88" s="25">
        <f t="shared" si="14"/>
        <v>1</v>
      </c>
      <c r="Y88" s="25">
        <f t="shared" si="14"/>
        <v>1</v>
      </c>
      <c r="Z88" s="25">
        <f t="shared" si="14"/>
        <v>0</v>
      </c>
      <c r="AA88" s="25">
        <f t="shared" si="14"/>
        <v>1</v>
      </c>
      <c r="AB88" s="3">
        <f t="shared" si="15"/>
        <v>0.4</v>
      </c>
      <c r="AC88" s="3">
        <f t="shared" si="16"/>
        <v>0.6</v>
      </c>
      <c r="AD88" s="3">
        <f t="shared" si="17"/>
        <v>0.24</v>
      </c>
      <c r="AE88" s="33"/>
    </row>
    <row r="89" spans="1:31" ht="28" x14ac:dyDescent="0.3">
      <c r="A89" s="30" t="s">
        <v>415</v>
      </c>
      <c r="B89" s="25">
        <v>1</v>
      </c>
      <c r="C89" s="25">
        <v>1</v>
      </c>
      <c r="D89" s="25">
        <v>1</v>
      </c>
      <c r="E89" s="25">
        <v>1</v>
      </c>
      <c r="F89" s="25">
        <v>0</v>
      </c>
      <c r="G89" s="25">
        <v>0</v>
      </c>
      <c r="H89" s="25">
        <v>0</v>
      </c>
      <c r="I89" s="25">
        <v>0</v>
      </c>
      <c r="J89" s="25">
        <v>0</v>
      </c>
      <c r="K89" s="25">
        <v>0</v>
      </c>
      <c r="L89" s="3">
        <f t="shared" si="10"/>
        <v>0.4</v>
      </c>
      <c r="M89" s="26" t="str">
        <f t="shared" si="11"/>
        <v>sedang</v>
      </c>
      <c r="N89" s="3">
        <f t="shared" si="12"/>
        <v>0.8</v>
      </c>
      <c r="O89" s="26" t="str">
        <f t="shared" si="13"/>
        <v>soal diterima baik</v>
      </c>
      <c r="P89" s="33"/>
      <c r="Q89" s="26">
        <v>84</v>
      </c>
      <c r="R89" s="25">
        <f t="shared" si="18"/>
        <v>0</v>
      </c>
      <c r="S89" s="25">
        <f t="shared" si="18"/>
        <v>0</v>
      </c>
      <c r="T89" s="25">
        <f t="shared" si="18"/>
        <v>1</v>
      </c>
      <c r="U89" s="25">
        <f t="shared" si="18"/>
        <v>1</v>
      </c>
      <c r="V89" s="25">
        <f t="shared" si="18"/>
        <v>0</v>
      </c>
      <c r="W89" s="25">
        <f t="shared" si="14"/>
        <v>1</v>
      </c>
      <c r="X89" s="25">
        <f t="shared" si="14"/>
        <v>1</v>
      </c>
      <c r="Y89" s="25">
        <f t="shared" si="14"/>
        <v>1</v>
      </c>
      <c r="Z89" s="25">
        <f t="shared" si="14"/>
        <v>1</v>
      </c>
      <c r="AA89" s="25">
        <f t="shared" si="14"/>
        <v>0</v>
      </c>
      <c r="AB89" s="3">
        <f t="shared" si="15"/>
        <v>0.6</v>
      </c>
      <c r="AC89" s="3">
        <f t="shared" si="16"/>
        <v>0.4</v>
      </c>
      <c r="AD89" s="3">
        <f t="shared" si="17"/>
        <v>0.24</v>
      </c>
      <c r="AE89" s="33"/>
    </row>
    <row r="90" spans="1:31" ht="42" x14ac:dyDescent="0.3">
      <c r="A90" s="24" t="s">
        <v>416</v>
      </c>
      <c r="B90" s="25">
        <v>0</v>
      </c>
      <c r="C90" s="25">
        <v>0</v>
      </c>
      <c r="D90" s="25">
        <v>0</v>
      </c>
      <c r="E90" s="25">
        <v>0</v>
      </c>
      <c r="F90" s="25">
        <v>0</v>
      </c>
      <c r="G90" s="25">
        <v>0</v>
      </c>
      <c r="H90" s="25">
        <v>1</v>
      </c>
      <c r="I90" s="25">
        <v>0</v>
      </c>
      <c r="J90" s="25">
        <v>1</v>
      </c>
      <c r="K90" s="25">
        <v>0</v>
      </c>
      <c r="L90" s="3">
        <f t="shared" si="10"/>
        <v>0.2</v>
      </c>
      <c r="M90" s="26" t="str">
        <f t="shared" si="11"/>
        <v>sukar</v>
      </c>
      <c r="N90" s="3">
        <f t="shared" si="12"/>
        <v>0.4</v>
      </c>
      <c r="O90" s="26" t="str">
        <f t="shared" si="13"/>
        <v>soal diterima baik</v>
      </c>
      <c r="P90" s="33"/>
      <c r="Q90" s="26">
        <v>85</v>
      </c>
      <c r="R90" s="25">
        <f t="shared" si="18"/>
        <v>1</v>
      </c>
      <c r="S90" s="25">
        <f t="shared" si="18"/>
        <v>1</v>
      </c>
      <c r="T90" s="25">
        <f t="shared" si="18"/>
        <v>1</v>
      </c>
      <c r="U90" s="25">
        <f t="shared" si="18"/>
        <v>1</v>
      </c>
      <c r="V90" s="25">
        <f t="shared" si="18"/>
        <v>0</v>
      </c>
      <c r="W90" s="25">
        <f t="shared" si="14"/>
        <v>0</v>
      </c>
      <c r="X90" s="25">
        <f t="shared" si="14"/>
        <v>0</v>
      </c>
      <c r="Y90" s="25">
        <f t="shared" si="14"/>
        <v>0</v>
      </c>
      <c r="Z90" s="25">
        <f t="shared" si="14"/>
        <v>0</v>
      </c>
      <c r="AA90" s="25">
        <f t="shared" si="14"/>
        <v>0</v>
      </c>
      <c r="AB90" s="3">
        <f t="shared" si="15"/>
        <v>0.4</v>
      </c>
      <c r="AC90" s="3">
        <f t="shared" si="16"/>
        <v>0.6</v>
      </c>
      <c r="AD90" s="3">
        <f t="shared" si="17"/>
        <v>0.24</v>
      </c>
      <c r="AE90" s="33"/>
    </row>
    <row r="91" spans="1:31" ht="42" x14ac:dyDescent="0.3">
      <c r="A91" s="28" t="s">
        <v>417</v>
      </c>
      <c r="B91" s="25">
        <v>0</v>
      </c>
      <c r="C91" s="25">
        <v>0</v>
      </c>
      <c r="D91" s="25">
        <v>0</v>
      </c>
      <c r="E91" s="25">
        <v>1</v>
      </c>
      <c r="F91" s="25">
        <v>0</v>
      </c>
      <c r="G91" s="25">
        <v>1</v>
      </c>
      <c r="H91" s="25">
        <v>0</v>
      </c>
      <c r="I91" s="25">
        <v>1</v>
      </c>
      <c r="J91" s="25">
        <v>0</v>
      </c>
      <c r="K91" s="25">
        <v>1</v>
      </c>
      <c r="L91" s="3">
        <f t="shared" si="10"/>
        <v>0.4</v>
      </c>
      <c r="M91" s="26" t="str">
        <f t="shared" si="11"/>
        <v>sedang</v>
      </c>
      <c r="N91" s="3">
        <f t="shared" si="12"/>
        <v>0.4</v>
      </c>
      <c r="O91" s="26" t="str">
        <f t="shared" si="13"/>
        <v>soal diterima baik</v>
      </c>
      <c r="P91" s="33"/>
      <c r="Q91" s="26">
        <v>86</v>
      </c>
      <c r="R91" s="25">
        <f t="shared" si="18"/>
        <v>0</v>
      </c>
      <c r="S91" s="25">
        <f t="shared" si="18"/>
        <v>0</v>
      </c>
      <c r="T91" s="25">
        <f t="shared" si="18"/>
        <v>0</v>
      </c>
      <c r="U91" s="25">
        <f t="shared" si="18"/>
        <v>0</v>
      </c>
      <c r="V91" s="25">
        <f t="shared" si="18"/>
        <v>0</v>
      </c>
      <c r="W91" s="25">
        <f t="shared" si="14"/>
        <v>0</v>
      </c>
      <c r="X91" s="25">
        <f t="shared" si="14"/>
        <v>1</v>
      </c>
      <c r="Y91" s="25">
        <f t="shared" si="14"/>
        <v>0</v>
      </c>
      <c r="Z91" s="25">
        <f t="shared" si="14"/>
        <v>1</v>
      </c>
      <c r="AA91" s="25">
        <f t="shared" si="14"/>
        <v>0</v>
      </c>
      <c r="AB91" s="3">
        <f t="shared" si="15"/>
        <v>0.2</v>
      </c>
      <c r="AC91" s="3">
        <f t="shared" si="16"/>
        <v>0.8</v>
      </c>
      <c r="AD91" s="3">
        <f t="shared" si="17"/>
        <v>0.16000000000000003</v>
      </c>
      <c r="AE91" s="33"/>
    </row>
    <row r="92" spans="1:31" ht="42" x14ac:dyDescent="0.3">
      <c r="A92" s="24" t="s">
        <v>418</v>
      </c>
      <c r="B92" s="25">
        <v>1</v>
      </c>
      <c r="C92" s="25">
        <v>0</v>
      </c>
      <c r="D92" s="25">
        <v>0</v>
      </c>
      <c r="E92" s="25">
        <v>0</v>
      </c>
      <c r="F92" s="25">
        <v>1</v>
      </c>
      <c r="G92" s="25">
        <v>1</v>
      </c>
      <c r="H92" s="25">
        <v>1</v>
      </c>
      <c r="I92" s="25">
        <v>0</v>
      </c>
      <c r="J92" s="25">
        <v>1</v>
      </c>
      <c r="K92" s="25">
        <v>1</v>
      </c>
      <c r="L92" s="3">
        <f t="shared" si="10"/>
        <v>0.6</v>
      </c>
      <c r="M92" s="26" t="str">
        <f t="shared" si="11"/>
        <v>sedang</v>
      </c>
      <c r="N92" s="3">
        <f t="shared" si="12"/>
        <v>0.4</v>
      </c>
      <c r="O92" s="26" t="str">
        <f t="shared" si="13"/>
        <v>soal diterima baik</v>
      </c>
      <c r="P92" s="33"/>
      <c r="Q92" s="26">
        <v>87</v>
      </c>
      <c r="R92" s="25">
        <f t="shared" si="18"/>
        <v>0</v>
      </c>
      <c r="S92" s="25">
        <f t="shared" si="18"/>
        <v>0</v>
      </c>
      <c r="T92" s="25">
        <f t="shared" si="18"/>
        <v>0</v>
      </c>
      <c r="U92" s="25">
        <f t="shared" si="18"/>
        <v>1</v>
      </c>
      <c r="V92" s="25">
        <f t="shared" si="18"/>
        <v>0</v>
      </c>
      <c r="W92" s="25">
        <f t="shared" si="14"/>
        <v>1</v>
      </c>
      <c r="X92" s="25">
        <f t="shared" si="14"/>
        <v>0</v>
      </c>
      <c r="Y92" s="25">
        <f t="shared" si="14"/>
        <v>1</v>
      </c>
      <c r="Z92" s="25">
        <f t="shared" si="14"/>
        <v>0</v>
      </c>
      <c r="AA92" s="25">
        <f t="shared" si="14"/>
        <v>1</v>
      </c>
      <c r="AB92" s="3">
        <f t="shared" si="15"/>
        <v>0.4</v>
      </c>
      <c r="AC92" s="3">
        <f t="shared" si="16"/>
        <v>0.6</v>
      </c>
      <c r="AD92" s="3">
        <f t="shared" si="17"/>
        <v>0.24</v>
      </c>
      <c r="AE92" s="33"/>
    </row>
    <row r="93" spans="1:31" ht="42" x14ac:dyDescent="0.3">
      <c r="A93" s="28" t="s">
        <v>419</v>
      </c>
      <c r="B93" s="25">
        <v>0</v>
      </c>
      <c r="C93" s="25">
        <v>0</v>
      </c>
      <c r="D93" s="25">
        <v>0</v>
      </c>
      <c r="E93" s="25">
        <v>0</v>
      </c>
      <c r="F93" s="25">
        <v>1</v>
      </c>
      <c r="G93" s="25">
        <v>1</v>
      </c>
      <c r="H93" s="25">
        <v>1</v>
      </c>
      <c r="I93" s="25">
        <v>1</v>
      </c>
      <c r="J93" s="25">
        <v>1</v>
      </c>
      <c r="K93" s="25">
        <v>1</v>
      </c>
      <c r="L93" s="3">
        <f t="shared" si="10"/>
        <v>0.6</v>
      </c>
      <c r="M93" s="26" t="str">
        <f t="shared" si="11"/>
        <v>sedang</v>
      </c>
      <c r="N93" s="3">
        <f t="shared" si="12"/>
        <v>0.8</v>
      </c>
      <c r="O93" s="26" t="str">
        <f t="shared" si="13"/>
        <v>soal diterima baik</v>
      </c>
      <c r="P93" s="33"/>
      <c r="Q93" s="26">
        <v>88</v>
      </c>
      <c r="R93" s="25">
        <f t="shared" si="18"/>
        <v>1</v>
      </c>
      <c r="S93" s="25">
        <f t="shared" si="18"/>
        <v>0</v>
      </c>
      <c r="T93" s="25">
        <f t="shared" si="18"/>
        <v>0</v>
      </c>
      <c r="U93" s="25">
        <f t="shared" si="18"/>
        <v>0</v>
      </c>
      <c r="V93" s="25">
        <f t="shared" si="18"/>
        <v>1</v>
      </c>
      <c r="W93" s="25">
        <f t="shared" si="14"/>
        <v>1</v>
      </c>
      <c r="X93" s="25">
        <f t="shared" si="14"/>
        <v>1</v>
      </c>
      <c r="Y93" s="25">
        <f t="shared" si="14"/>
        <v>0</v>
      </c>
      <c r="Z93" s="25">
        <f t="shared" si="14"/>
        <v>1</v>
      </c>
      <c r="AA93" s="25">
        <f t="shared" si="14"/>
        <v>1</v>
      </c>
      <c r="AB93" s="3">
        <f t="shared" si="15"/>
        <v>0.6</v>
      </c>
      <c r="AC93" s="3">
        <f t="shared" si="16"/>
        <v>0.4</v>
      </c>
      <c r="AD93" s="3">
        <f t="shared" si="17"/>
        <v>0.24</v>
      </c>
      <c r="AE93" s="33"/>
    </row>
    <row r="94" spans="1:31" ht="42" x14ac:dyDescent="0.3">
      <c r="A94" s="24" t="s">
        <v>420</v>
      </c>
      <c r="B94" s="25">
        <v>1</v>
      </c>
      <c r="C94" s="25">
        <v>0</v>
      </c>
      <c r="D94" s="25">
        <v>0</v>
      </c>
      <c r="E94" s="25">
        <v>1</v>
      </c>
      <c r="F94" s="25">
        <v>1</v>
      </c>
      <c r="G94" s="25">
        <v>0</v>
      </c>
      <c r="H94" s="25">
        <v>1</v>
      </c>
      <c r="I94" s="25">
        <v>0</v>
      </c>
      <c r="J94" s="25">
        <v>0</v>
      </c>
      <c r="K94" s="25">
        <v>0</v>
      </c>
      <c r="L94" s="3">
        <f t="shared" si="10"/>
        <v>0.4</v>
      </c>
      <c r="M94" s="26" t="str">
        <f t="shared" si="11"/>
        <v>sedang</v>
      </c>
      <c r="N94" s="3">
        <f t="shared" si="12"/>
        <v>0.4</v>
      </c>
      <c r="O94" s="26" t="str">
        <f t="shared" si="13"/>
        <v>soal diterima baik</v>
      </c>
      <c r="P94" s="33"/>
      <c r="Q94" s="26">
        <v>89</v>
      </c>
      <c r="R94" s="25">
        <f t="shared" si="18"/>
        <v>0</v>
      </c>
      <c r="S94" s="25">
        <f t="shared" si="18"/>
        <v>0</v>
      </c>
      <c r="T94" s="25">
        <f t="shared" si="18"/>
        <v>0</v>
      </c>
      <c r="U94" s="25">
        <f t="shared" si="18"/>
        <v>0</v>
      </c>
      <c r="V94" s="25">
        <f t="shared" si="18"/>
        <v>1</v>
      </c>
      <c r="W94" s="25">
        <f t="shared" si="14"/>
        <v>1</v>
      </c>
      <c r="X94" s="25">
        <f t="shared" si="14"/>
        <v>1</v>
      </c>
      <c r="Y94" s="25">
        <f t="shared" si="14"/>
        <v>1</v>
      </c>
      <c r="Z94" s="25">
        <f t="shared" si="14"/>
        <v>1</v>
      </c>
      <c r="AA94" s="25">
        <f t="shared" si="14"/>
        <v>1</v>
      </c>
      <c r="AB94" s="3">
        <f t="shared" si="15"/>
        <v>0.6</v>
      </c>
      <c r="AC94" s="3">
        <f t="shared" si="16"/>
        <v>0.4</v>
      </c>
      <c r="AD94" s="3">
        <f t="shared" si="17"/>
        <v>0.24</v>
      </c>
      <c r="AE94" s="33"/>
    </row>
    <row r="95" spans="1:31" ht="42" x14ac:dyDescent="0.3">
      <c r="A95" s="28" t="s">
        <v>421</v>
      </c>
      <c r="B95" s="25">
        <v>1</v>
      </c>
      <c r="C95" s="25">
        <v>0</v>
      </c>
      <c r="D95" s="25">
        <v>1</v>
      </c>
      <c r="E95" s="25">
        <v>0</v>
      </c>
      <c r="F95" s="25">
        <v>1</v>
      </c>
      <c r="G95" s="25">
        <v>1</v>
      </c>
      <c r="H95" s="25">
        <v>1</v>
      </c>
      <c r="I95" s="25">
        <v>1</v>
      </c>
      <c r="J95" s="25">
        <v>1</v>
      </c>
      <c r="K95" s="25">
        <v>1</v>
      </c>
      <c r="L95" s="3">
        <f t="shared" si="10"/>
        <v>0.8</v>
      </c>
      <c r="M95" s="26" t="str">
        <f t="shared" si="11"/>
        <v>mudah</v>
      </c>
      <c r="N95" s="3">
        <f t="shared" si="12"/>
        <v>0.4</v>
      </c>
      <c r="O95" s="26" t="str">
        <f t="shared" si="13"/>
        <v>soal diterima baik</v>
      </c>
      <c r="P95" s="33"/>
      <c r="Q95" s="26">
        <v>90</v>
      </c>
      <c r="R95" s="25">
        <f t="shared" si="18"/>
        <v>1</v>
      </c>
      <c r="S95" s="25">
        <f t="shared" si="18"/>
        <v>0</v>
      </c>
      <c r="T95" s="25">
        <f t="shared" si="18"/>
        <v>0</v>
      </c>
      <c r="U95" s="25">
        <f t="shared" si="18"/>
        <v>1</v>
      </c>
      <c r="V95" s="25">
        <f t="shared" si="18"/>
        <v>1</v>
      </c>
      <c r="W95" s="25">
        <f t="shared" si="14"/>
        <v>0</v>
      </c>
      <c r="X95" s="25">
        <f t="shared" si="14"/>
        <v>1</v>
      </c>
      <c r="Y95" s="25">
        <f t="shared" si="14"/>
        <v>0</v>
      </c>
      <c r="Z95" s="25">
        <f t="shared" si="14"/>
        <v>0</v>
      </c>
      <c r="AA95" s="25">
        <f t="shared" si="14"/>
        <v>0</v>
      </c>
      <c r="AB95" s="3">
        <f t="shared" si="15"/>
        <v>0.4</v>
      </c>
      <c r="AC95" s="3">
        <f t="shared" si="16"/>
        <v>0.6</v>
      </c>
      <c r="AD95" s="3">
        <f t="shared" si="17"/>
        <v>0.24</v>
      </c>
      <c r="AE95" s="33"/>
    </row>
    <row r="96" spans="1:31" ht="42" x14ac:dyDescent="0.3">
      <c r="A96" s="24" t="s">
        <v>422</v>
      </c>
      <c r="B96" s="25">
        <v>1</v>
      </c>
      <c r="C96" s="25">
        <v>1</v>
      </c>
      <c r="D96" s="25">
        <v>1</v>
      </c>
      <c r="E96" s="25">
        <v>1</v>
      </c>
      <c r="F96" s="25">
        <v>1</v>
      </c>
      <c r="G96" s="25">
        <v>0</v>
      </c>
      <c r="H96" s="25">
        <v>0</v>
      </c>
      <c r="I96" s="25">
        <v>1</v>
      </c>
      <c r="J96" s="25">
        <v>0</v>
      </c>
      <c r="K96" s="25">
        <v>0</v>
      </c>
      <c r="L96" s="3">
        <f t="shared" si="10"/>
        <v>0.6</v>
      </c>
      <c r="M96" s="26" t="str">
        <f t="shared" si="11"/>
        <v>sedang</v>
      </c>
      <c r="N96" s="3">
        <f t="shared" si="12"/>
        <v>0.8</v>
      </c>
      <c r="O96" s="26" t="str">
        <f t="shared" si="13"/>
        <v>soal diterima baik</v>
      </c>
      <c r="P96" s="33"/>
      <c r="Q96" s="26">
        <v>91</v>
      </c>
      <c r="R96" s="25">
        <f t="shared" si="18"/>
        <v>1</v>
      </c>
      <c r="S96" s="25">
        <f t="shared" si="18"/>
        <v>0</v>
      </c>
      <c r="T96" s="25">
        <f t="shared" si="18"/>
        <v>1</v>
      </c>
      <c r="U96" s="25">
        <f t="shared" si="18"/>
        <v>0</v>
      </c>
      <c r="V96" s="25">
        <f t="shared" si="18"/>
        <v>1</v>
      </c>
      <c r="W96" s="25">
        <f t="shared" si="14"/>
        <v>1</v>
      </c>
      <c r="X96" s="25">
        <f t="shared" si="14"/>
        <v>1</v>
      </c>
      <c r="Y96" s="25">
        <f t="shared" si="14"/>
        <v>1</v>
      </c>
      <c r="Z96" s="25">
        <f t="shared" si="14"/>
        <v>1</v>
      </c>
      <c r="AA96" s="25">
        <f t="shared" si="14"/>
        <v>1</v>
      </c>
      <c r="AB96" s="3">
        <f t="shared" si="15"/>
        <v>0.8</v>
      </c>
      <c r="AC96" s="3">
        <f t="shared" si="16"/>
        <v>0.19999999999999996</v>
      </c>
      <c r="AD96" s="3">
        <f t="shared" si="17"/>
        <v>0.15999999999999998</v>
      </c>
      <c r="AE96" s="33"/>
    </row>
    <row r="97" spans="1:31" ht="28" x14ac:dyDescent="0.3">
      <c r="A97" s="30" t="s">
        <v>423</v>
      </c>
      <c r="B97" s="25">
        <v>1</v>
      </c>
      <c r="C97" s="25">
        <v>0</v>
      </c>
      <c r="D97" s="25">
        <v>1</v>
      </c>
      <c r="E97" s="25">
        <v>1</v>
      </c>
      <c r="F97" s="25">
        <v>0</v>
      </c>
      <c r="G97" s="25">
        <v>1</v>
      </c>
      <c r="H97" s="25">
        <v>0</v>
      </c>
      <c r="I97" s="25">
        <v>0</v>
      </c>
      <c r="J97" s="25">
        <v>0</v>
      </c>
      <c r="K97" s="25">
        <v>0</v>
      </c>
      <c r="L97" s="3">
        <f t="shared" si="10"/>
        <v>0.4</v>
      </c>
      <c r="M97" s="26" t="str">
        <f t="shared" si="11"/>
        <v>sedang</v>
      </c>
      <c r="N97" s="3">
        <f t="shared" si="12"/>
        <v>0.4</v>
      </c>
      <c r="O97" s="26" t="str">
        <f t="shared" si="13"/>
        <v>soal diterima baik</v>
      </c>
      <c r="P97" s="33"/>
      <c r="Q97" s="26">
        <v>92</v>
      </c>
      <c r="R97" s="25">
        <f t="shared" si="18"/>
        <v>1</v>
      </c>
      <c r="S97" s="25">
        <f t="shared" si="18"/>
        <v>1</v>
      </c>
      <c r="T97" s="25">
        <f t="shared" si="18"/>
        <v>1</v>
      </c>
      <c r="U97" s="25">
        <f t="shared" si="18"/>
        <v>1</v>
      </c>
      <c r="V97" s="25">
        <f t="shared" si="18"/>
        <v>1</v>
      </c>
      <c r="W97" s="25">
        <f t="shared" si="14"/>
        <v>0</v>
      </c>
      <c r="X97" s="25">
        <f t="shared" si="14"/>
        <v>0</v>
      </c>
      <c r="Y97" s="25">
        <f t="shared" si="14"/>
        <v>1</v>
      </c>
      <c r="Z97" s="25">
        <f t="shared" si="14"/>
        <v>0</v>
      </c>
      <c r="AA97" s="25">
        <f t="shared" si="14"/>
        <v>0</v>
      </c>
      <c r="AB97" s="3">
        <f t="shared" si="15"/>
        <v>0.6</v>
      </c>
      <c r="AC97" s="3">
        <f t="shared" si="16"/>
        <v>0.4</v>
      </c>
      <c r="AD97" s="3">
        <f t="shared" si="17"/>
        <v>0.24</v>
      </c>
      <c r="AE97" s="33"/>
    </row>
    <row r="98" spans="1:31" ht="42" x14ac:dyDescent="0.3">
      <c r="A98" s="24" t="s">
        <v>424</v>
      </c>
      <c r="B98" s="25">
        <v>0</v>
      </c>
      <c r="C98" s="25">
        <v>1</v>
      </c>
      <c r="D98" s="25">
        <v>0</v>
      </c>
      <c r="E98" s="25">
        <v>0</v>
      </c>
      <c r="F98" s="25">
        <v>0</v>
      </c>
      <c r="G98" s="25">
        <v>0</v>
      </c>
      <c r="H98" s="25">
        <v>1</v>
      </c>
      <c r="I98" s="25">
        <v>0</v>
      </c>
      <c r="J98" s="25">
        <v>1</v>
      </c>
      <c r="K98" s="25">
        <v>1</v>
      </c>
      <c r="L98" s="3">
        <f t="shared" si="10"/>
        <v>0.4</v>
      </c>
      <c r="M98" s="26" t="str">
        <f t="shared" si="11"/>
        <v>sedang</v>
      </c>
      <c r="N98" s="3">
        <f t="shared" si="12"/>
        <v>0.4</v>
      </c>
      <c r="O98" s="26" t="str">
        <f t="shared" si="13"/>
        <v>soal diterima baik</v>
      </c>
      <c r="P98" s="33"/>
      <c r="Q98" s="26">
        <v>93</v>
      </c>
      <c r="R98" s="25">
        <f t="shared" si="18"/>
        <v>1</v>
      </c>
      <c r="S98" s="25">
        <f t="shared" si="18"/>
        <v>0</v>
      </c>
      <c r="T98" s="25">
        <f t="shared" si="18"/>
        <v>1</v>
      </c>
      <c r="U98" s="25">
        <f t="shared" si="18"/>
        <v>1</v>
      </c>
      <c r="V98" s="25">
        <f t="shared" si="18"/>
        <v>0</v>
      </c>
      <c r="W98" s="25">
        <f t="shared" si="14"/>
        <v>1</v>
      </c>
      <c r="X98" s="25">
        <f t="shared" si="14"/>
        <v>0</v>
      </c>
      <c r="Y98" s="25">
        <f t="shared" si="14"/>
        <v>0</v>
      </c>
      <c r="Z98" s="25">
        <f t="shared" si="14"/>
        <v>0</v>
      </c>
      <c r="AA98" s="25">
        <f t="shared" si="14"/>
        <v>0</v>
      </c>
      <c r="AB98" s="3">
        <f t="shared" si="15"/>
        <v>0.4</v>
      </c>
      <c r="AC98" s="3">
        <f t="shared" si="16"/>
        <v>0.6</v>
      </c>
      <c r="AD98" s="3">
        <f t="shared" si="17"/>
        <v>0.24</v>
      </c>
      <c r="AE98" s="33"/>
    </row>
    <row r="99" spans="1:31" ht="28" x14ac:dyDescent="0.3">
      <c r="A99" s="24" t="s">
        <v>425</v>
      </c>
      <c r="B99" s="25">
        <v>0</v>
      </c>
      <c r="C99" s="25">
        <v>1</v>
      </c>
      <c r="D99" s="25">
        <v>1</v>
      </c>
      <c r="E99" s="25">
        <v>0</v>
      </c>
      <c r="F99" s="25">
        <v>1</v>
      </c>
      <c r="G99" s="25">
        <v>1</v>
      </c>
      <c r="H99" s="25">
        <v>0</v>
      </c>
      <c r="I99" s="25">
        <v>0</v>
      </c>
      <c r="J99" s="25">
        <v>0</v>
      </c>
      <c r="K99" s="25">
        <v>0</v>
      </c>
      <c r="L99" s="3">
        <f t="shared" si="10"/>
        <v>0.4</v>
      </c>
      <c r="M99" s="26" t="str">
        <f t="shared" si="11"/>
        <v>sedang</v>
      </c>
      <c r="N99" s="3">
        <f t="shared" si="12"/>
        <v>0.4</v>
      </c>
      <c r="O99" s="26" t="str">
        <f t="shared" si="13"/>
        <v>soal diterima baik</v>
      </c>
      <c r="P99" s="33"/>
      <c r="Q99" s="26">
        <v>94</v>
      </c>
      <c r="R99" s="25">
        <f t="shared" si="18"/>
        <v>0</v>
      </c>
      <c r="S99" s="25">
        <f t="shared" si="18"/>
        <v>1</v>
      </c>
      <c r="T99" s="25">
        <f t="shared" si="18"/>
        <v>0</v>
      </c>
      <c r="U99" s="25">
        <f t="shared" si="18"/>
        <v>0</v>
      </c>
      <c r="V99" s="25">
        <f t="shared" si="18"/>
        <v>0</v>
      </c>
      <c r="W99" s="25">
        <f t="shared" si="14"/>
        <v>0</v>
      </c>
      <c r="X99" s="25">
        <f t="shared" si="14"/>
        <v>1</v>
      </c>
      <c r="Y99" s="25">
        <f t="shared" si="14"/>
        <v>0</v>
      </c>
      <c r="Z99" s="25">
        <f t="shared" si="14"/>
        <v>1</v>
      </c>
      <c r="AA99" s="25">
        <f t="shared" si="14"/>
        <v>1</v>
      </c>
      <c r="AB99" s="3">
        <f t="shared" si="15"/>
        <v>0.4</v>
      </c>
      <c r="AC99" s="3">
        <f t="shared" si="16"/>
        <v>0.6</v>
      </c>
      <c r="AD99" s="3">
        <f t="shared" si="17"/>
        <v>0.24</v>
      </c>
      <c r="AE99" s="33"/>
    </row>
    <row r="100" spans="1:31" ht="42" x14ac:dyDescent="0.3">
      <c r="A100" s="28" t="s">
        <v>426</v>
      </c>
      <c r="B100" s="25">
        <v>0</v>
      </c>
      <c r="C100" s="25">
        <v>0</v>
      </c>
      <c r="D100" s="25">
        <v>1</v>
      </c>
      <c r="E100" s="25">
        <v>0</v>
      </c>
      <c r="F100" s="25">
        <v>0</v>
      </c>
      <c r="G100" s="25">
        <v>1</v>
      </c>
      <c r="H100" s="25">
        <v>1</v>
      </c>
      <c r="I100" s="25">
        <v>1</v>
      </c>
      <c r="J100" s="25">
        <v>1</v>
      </c>
      <c r="K100" s="25">
        <v>1</v>
      </c>
      <c r="L100" s="3">
        <f t="shared" si="10"/>
        <v>0.6</v>
      </c>
      <c r="M100" s="26" t="str">
        <f t="shared" si="11"/>
        <v>sedang</v>
      </c>
      <c r="N100" s="3">
        <f t="shared" si="12"/>
        <v>0.8</v>
      </c>
      <c r="O100" s="26" t="str">
        <f t="shared" si="13"/>
        <v>soal diterima baik</v>
      </c>
      <c r="P100" s="33"/>
      <c r="Q100" s="26">
        <v>95</v>
      </c>
      <c r="R100" s="25">
        <f t="shared" si="18"/>
        <v>0</v>
      </c>
      <c r="S100" s="25">
        <f t="shared" si="18"/>
        <v>1</v>
      </c>
      <c r="T100" s="25">
        <f t="shared" si="18"/>
        <v>1</v>
      </c>
      <c r="U100" s="25">
        <f t="shared" si="18"/>
        <v>0</v>
      </c>
      <c r="V100" s="25">
        <f t="shared" si="18"/>
        <v>1</v>
      </c>
      <c r="W100" s="25">
        <f t="shared" si="14"/>
        <v>1</v>
      </c>
      <c r="X100" s="25">
        <f t="shared" si="14"/>
        <v>0</v>
      </c>
      <c r="Y100" s="25">
        <f t="shared" si="14"/>
        <v>0</v>
      </c>
      <c r="Z100" s="25">
        <f t="shared" si="14"/>
        <v>0</v>
      </c>
      <c r="AA100" s="25">
        <f t="shared" si="14"/>
        <v>0</v>
      </c>
      <c r="AB100" s="3">
        <f t="shared" si="15"/>
        <v>0.4</v>
      </c>
      <c r="AC100" s="3">
        <f t="shared" si="16"/>
        <v>0.6</v>
      </c>
      <c r="AD100" s="3">
        <f t="shared" si="17"/>
        <v>0.24</v>
      </c>
      <c r="AE100" s="33"/>
    </row>
    <row r="101" spans="1:31" ht="42" x14ac:dyDescent="0.3">
      <c r="A101" s="28" t="s">
        <v>427</v>
      </c>
      <c r="B101" s="25">
        <v>1</v>
      </c>
      <c r="C101" s="25">
        <v>0</v>
      </c>
      <c r="D101" s="25">
        <v>1</v>
      </c>
      <c r="E101" s="25">
        <v>1</v>
      </c>
      <c r="F101" s="25">
        <v>0</v>
      </c>
      <c r="G101" s="25">
        <v>1</v>
      </c>
      <c r="H101" s="25">
        <v>1</v>
      </c>
      <c r="I101" s="25">
        <v>1</v>
      </c>
      <c r="J101" s="25">
        <v>1</v>
      </c>
      <c r="K101" s="25">
        <v>1</v>
      </c>
      <c r="L101" s="3">
        <f t="shared" si="10"/>
        <v>0.8</v>
      </c>
      <c r="M101" s="26" t="str">
        <f t="shared" si="11"/>
        <v>mudah</v>
      </c>
      <c r="N101" s="3">
        <f t="shared" si="12"/>
        <v>0.4</v>
      </c>
      <c r="O101" s="26" t="str">
        <f t="shared" si="13"/>
        <v>soal diterima baik</v>
      </c>
      <c r="P101" s="33"/>
      <c r="Q101" s="26">
        <v>96</v>
      </c>
      <c r="R101" s="25">
        <f t="shared" si="18"/>
        <v>0</v>
      </c>
      <c r="S101" s="25">
        <f t="shared" si="18"/>
        <v>0</v>
      </c>
      <c r="T101" s="25">
        <f t="shared" si="18"/>
        <v>1</v>
      </c>
      <c r="U101" s="25">
        <f t="shared" si="18"/>
        <v>0</v>
      </c>
      <c r="V101" s="25">
        <f t="shared" si="18"/>
        <v>0</v>
      </c>
      <c r="W101" s="25">
        <f t="shared" si="14"/>
        <v>1</v>
      </c>
      <c r="X101" s="25">
        <f t="shared" si="14"/>
        <v>1</v>
      </c>
      <c r="Y101" s="25">
        <f t="shared" si="14"/>
        <v>1</v>
      </c>
      <c r="Z101" s="25">
        <f t="shared" si="14"/>
        <v>1</v>
      </c>
      <c r="AA101" s="25">
        <f t="shared" si="14"/>
        <v>1</v>
      </c>
      <c r="AB101" s="3">
        <f t="shared" si="15"/>
        <v>0.6</v>
      </c>
      <c r="AC101" s="3">
        <f t="shared" si="16"/>
        <v>0.4</v>
      </c>
      <c r="AD101" s="3">
        <f t="shared" si="17"/>
        <v>0.24</v>
      </c>
      <c r="AE101" s="33"/>
    </row>
    <row r="102" spans="1:31" ht="56" x14ac:dyDescent="0.3">
      <c r="A102" s="24" t="s">
        <v>428</v>
      </c>
      <c r="B102" s="25">
        <v>1</v>
      </c>
      <c r="C102" s="25">
        <v>0</v>
      </c>
      <c r="D102" s="25">
        <v>0</v>
      </c>
      <c r="E102" s="25">
        <v>1</v>
      </c>
      <c r="F102" s="25">
        <v>1</v>
      </c>
      <c r="G102" s="25">
        <v>1</v>
      </c>
      <c r="H102" s="25">
        <v>1</v>
      </c>
      <c r="I102" s="25">
        <v>1</v>
      </c>
      <c r="J102" s="25">
        <v>1</v>
      </c>
      <c r="K102" s="25">
        <v>1</v>
      </c>
      <c r="L102" s="3">
        <f t="shared" si="10"/>
        <v>0.8</v>
      </c>
      <c r="M102" s="26" t="str">
        <f t="shared" si="11"/>
        <v>mudah</v>
      </c>
      <c r="N102" s="3">
        <f t="shared" si="12"/>
        <v>0.4</v>
      </c>
      <c r="O102" s="26" t="str">
        <f t="shared" si="13"/>
        <v>soal diterima baik</v>
      </c>
      <c r="P102" s="33"/>
      <c r="Q102" s="26">
        <v>97</v>
      </c>
      <c r="R102" s="25">
        <f t="shared" si="18"/>
        <v>1</v>
      </c>
      <c r="S102" s="25">
        <f t="shared" si="18"/>
        <v>0</v>
      </c>
      <c r="T102" s="25">
        <f t="shared" si="18"/>
        <v>1</v>
      </c>
      <c r="U102" s="25">
        <f t="shared" si="18"/>
        <v>1</v>
      </c>
      <c r="V102" s="25">
        <f t="shared" si="18"/>
        <v>0</v>
      </c>
      <c r="W102" s="25">
        <f t="shared" si="14"/>
        <v>1</v>
      </c>
      <c r="X102" s="25">
        <f t="shared" si="14"/>
        <v>1</v>
      </c>
      <c r="Y102" s="25">
        <f t="shared" si="14"/>
        <v>1</v>
      </c>
      <c r="Z102" s="25">
        <f t="shared" si="14"/>
        <v>1</v>
      </c>
      <c r="AA102" s="25">
        <f t="shared" si="14"/>
        <v>1</v>
      </c>
      <c r="AB102" s="3">
        <f t="shared" si="15"/>
        <v>0.8</v>
      </c>
      <c r="AC102" s="3">
        <f t="shared" si="16"/>
        <v>0.19999999999999996</v>
      </c>
      <c r="AD102" s="3">
        <f t="shared" si="17"/>
        <v>0.15999999999999998</v>
      </c>
      <c r="AE102" s="33"/>
    </row>
    <row r="103" spans="1:31" ht="56" x14ac:dyDescent="0.3">
      <c r="A103" s="28" t="s">
        <v>429</v>
      </c>
      <c r="B103" s="25">
        <v>1</v>
      </c>
      <c r="C103" s="25">
        <v>1</v>
      </c>
      <c r="D103" s="25">
        <v>1</v>
      </c>
      <c r="E103" s="25">
        <v>1</v>
      </c>
      <c r="F103" s="25">
        <v>1</v>
      </c>
      <c r="G103" s="25">
        <v>0</v>
      </c>
      <c r="H103" s="25">
        <v>1</v>
      </c>
      <c r="I103" s="25">
        <v>1</v>
      </c>
      <c r="J103" s="25">
        <v>1</v>
      </c>
      <c r="K103" s="25">
        <v>0</v>
      </c>
      <c r="L103" s="3">
        <f t="shared" si="10"/>
        <v>0.8</v>
      </c>
      <c r="M103" s="26" t="str">
        <f t="shared" si="11"/>
        <v>mudah</v>
      </c>
      <c r="N103" s="3">
        <f t="shared" si="12"/>
        <v>0.4</v>
      </c>
      <c r="O103" s="26" t="str">
        <f t="shared" si="13"/>
        <v>soal diterima baik</v>
      </c>
      <c r="P103" s="33"/>
      <c r="Q103" s="26">
        <v>98</v>
      </c>
      <c r="R103" s="25">
        <f t="shared" si="18"/>
        <v>1</v>
      </c>
      <c r="S103" s="25">
        <f t="shared" si="18"/>
        <v>0</v>
      </c>
      <c r="T103" s="25">
        <f t="shared" si="18"/>
        <v>0</v>
      </c>
      <c r="U103" s="25">
        <f t="shared" si="18"/>
        <v>1</v>
      </c>
      <c r="V103" s="25">
        <f t="shared" si="18"/>
        <v>1</v>
      </c>
      <c r="W103" s="25">
        <f t="shared" si="14"/>
        <v>1</v>
      </c>
      <c r="X103" s="25">
        <f t="shared" si="14"/>
        <v>1</v>
      </c>
      <c r="Y103" s="25">
        <f t="shared" si="14"/>
        <v>1</v>
      </c>
      <c r="Z103" s="25">
        <f t="shared" si="14"/>
        <v>1</v>
      </c>
      <c r="AA103" s="25">
        <f t="shared" si="14"/>
        <v>1</v>
      </c>
      <c r="AB103" s="3">
        <f t="shared" si="15"/>
        <v>0.8</v>
      </c>
      <c r="AC103" s="3">
        <f t="shared" si="16"/>
        <v>0.19999999999999996</v>
      </c>
      <c r="AD103" s="3">
        <f t="shared" si="17"/>
        <v>0.15999999999999998</v>
      </c>
      <c r="AE103" s="33"/>
    </row>
    <row r="104" spans="1:31" ht="56" x14ac:dyDescent="0.3">
      <c r="A104" s="24" t="s">
        <v>430</v>
      </c>
      <c r="B104" s="25">
        <v>0</v>
      </c>
      <c r="C104" s="25">
        <v>1</v>
      </c>
      <c r="D104" s="25">
        <v>1</v>
      </c>
      <c r="E104" s="25">
        <v>1</v>
      </c>
      <c r="F104" s="25">
        <v>0</v>
      </c>
      <c r="G104" s="25">
        <v>0</v>
      </c>
      <c r="H104" s="25">
        <v>0</v>
      </c>
      <c r="I104" s="25">
        <v>1</v>
      </c>
      <c r="J104" s="25">
        <v>0</v>
      </c>
      <c r="K104" s="25">
        <v>0</v>
      </c>
      <c r="L104" s="3">
        <f t="shared" si="10"/>
        <v>0.4</v>
      </c>
      <c r="M104" s="26" t="str">
        <f t="shared" si="11"/>
        <v>sedang</v>
      </c>
      <c r="N104" s="3">
        <f t="shared" si="12"/>
        <v>0.4</v>
      </c>
      <c r="O104" s="26" t="str">
        <f t="shared" si="13"/>
        <v>soal diterima baik</v>
      </c>
      <c r="P104" s="33"/>
      <c r="Q104" s="26">
        <v>99</v>
      </c>
      <c r="R104" s="25">
        <f t="shared" si="18"/>
        <v>1</v>
      </c>
      <c r="S104" s="25">
        <f t="shared" si="18"/>
        <v>1</v>
      </c>
      <c r="T104" s="25">
        <f t="shared" si="18"/>
        <v>1</v>
      </c>
      <c r="U104" s="25">
        <f t="shared" si="18"/>
        <v>1</v>
      </c>
      <c r="V104" s="25">
        <f t="shared" si="18"/>
        <v>1</v>
      </c>
      <c r="W104" s="25">
        <f t="shared" si="14"/>
        <v>0</v>
      </c>
      <c r="X104" s="25">
        <f t="shared" si="14"/>
        <v>1</v>
      </c>
      <c r="Y104" s="25">
        <f t="shared" si="14"/>
        <v>1</v>
      </c>
      <c r="Z104" s="25">
        <f t="shared" si="14"/>
        <v>1</v>
      </c>
      <c r="AA104" s="25">
        <f t="shared" si="14"/>
        <v>0</v>
      </c>
      <c r="AB104" s="3">
        <f t="shared" si="15"/>
        <v>0.8</v>
      </c>
      <c r="AC104" s="3">
        <f t="shared" si="16"/>
        <v>0.19999999999999996</v>
      </c>
      <c r="AD104" s="3">
        <f t="shared" si="17"/>
        <v>0.15999999999999998</v>
      </c>
      <c r="AE104" s="33"/>
    </row>
    <row r="105" spans="1:31" x14ac:dyDescent="0.3">
      <c r="A105" s="31"/>
      <c r="B105" s="32">
        <f>SUM(B5:B104)</f>
        <v>53</v>
      </c>
      <c r="C105" s="32">
        <f t="shared" ref="C105:K105" si="19">SUM(C5:C104)</f>
        <v>53</v>
      </c>
      <c r="D105" s="32">
        <f t="shared" si="19"/>
        <v>59</v>
      </c>
      <c r="E105" s="32">
        <f t="shared" si="19"/>
        <v>57</v>
      </c>
      <c r="F105" s="32">
        <f t="shared" si="19"/>
        <v>48</v>
      </c>
      <c r="G105" s="32">
        <f t="shared" si="19"/>
        <v>49</v>
      </c>
      <c r="H105" s="32">
        <f t="shared" si="19"/>
        <v>46</v>
      </c>
      <c r="I105" s="32">
        <f t="shared" si="19"/>
        <v>61</v>
      </c>
      <c r="J105" s="32">
        <f t="shared" si="19"/>
        <v>48</v>
      </c>
      <c r="K105" s="32">
        <f t="shared" si="19"/>
        <v>50</v>
      </c>
      <c r="L105" s="33"/>
      <c r="M105" s="33"/>
      <c r="N105" s="33"/>
      <c r="O105" s="34">
        <f>COUNTIF(O5:O104,"soal dibuang")</f>
        <v>0</v>
      </c>
      <c r="P105" s="33"/>
      <c r="Q105" s="26">
        <v>100</v>
      </c>
      <c r="R105" s="25">
        <f t="shared" si="18"/>
        <v>0</v>
      </c>
      <c r="S105" s="25">
        <f t="shared" si="18"/>
        <v>1</v>
      </c>
      <c r="T105" s="25">
        <f t="shared" si="18"/>
        <v>1</v>
      </c>
      <c r="U105" s="25">
        <f t="shared" si="18"/>
        <v>1</v>
      </c>
      <c r="V105" s="25">
        <f t="shared" si="18"/>
        <v>0</v>
      </c>
      <c r="W105" s="25">
        <f t="shared" si="14"/>
        <v>0</v>
      </c>
      <c r="X105" s="25">
        <f t="shared" si="14"/>
        <v>0</v>
      </c>
      <c r="Y105" s="25">
        <f t="shared" si="14"/>
        <v>1</v>
      </c>
      <c r="Z105" s="25">
        <f t="shared" si="14"/>
        <v>0</v>
      </c>
      <c r="AA105" s="25">
        <f t="shared" si="14"/>
        <v>0</v>
      </c>
      <c r="AB105" s="3">
        <f>SUM(R105:AA105)/COUNT(R105:AA105)</f>
        <v>0.4</v>
      </c>
      <c r="AC105" s="3">
        <f t="shared" si="16"/>
        <v>0.6</v>
      </c>
      <c r="AD105" s="3">
        <f t="shared" si="17"/>
        <v>0.24</v>
      </c>
      <c r="AE105" s="33"/>
    </row>
    <row r="106" spans="1:31" ht="28" x14ac:dyDescent="0.3">
      <c r="A106" s="31"/>
      <c r="B106" s="35" t="s">
        <v>104</v>
      </c>
      <c r="C106" s="35" t="s">
        <v>104</v>
      </c>
      <c r="D106" s="35" t="s">
        <v>104</v>
      </c>
      <c r="E106" s="35" t="s">
        <v>104</v>
      </c>
      <c r="F106" s="35" t="s">
        <v>104</v>
      </c>
      <c r="G106" s="35" t="s">
        <v>105</v>
      </c>
      <c r="H106" s="35" t="s">
        <v>105</v>
      </c>
      <c r="I106" s="35" t="s">
        <v>105</v>
      </c>
      <c r="J106" s="35" t="s">
        <v>105</v>
      </c>
      <c r="K106" s="35" t="s">
        <v>105</v>
      </c>
      <c r="L106" s="33"/>
      <c r="M106" s="34">
        <f>COUNTIF(M5:M104,"mudah")</f>
        <v>15</v>
      </c>
      <c r="N106" s="33"/>
      <c r="O106" s="33"/>
      <c r="P106" s="33"/>
      <c r="Q106" s="20" t="s">
        <v>112</v>
      </c>
      <c r="R106" s="36">
        <f>SUM(R6:R105)</f>
        <v>53</v>
      </c>
      <c r="S106" s="36">
        <f t="shared" ref="S106:AA106" si="20">SUM(S6:S105)</f>
        <v>53</v>
      </c>
      <c r="T106" s="36">
        <f t="shared" si="20"/>
        <v>59</v>
      </c>
      <c r="U106" s="36">
        <f t="shared" si="20"/>
        <v>57</v>
      </c>
      <c r="V106" s="36">
        <f t="shared" si="20"/>
        <v>48</v>
      </c>
      <c r="W106" s="36">
        <f t="shared" si="20"/>
        <v>49</v>
      </c>
      <c r="X106" s="36">
        <f t="shared" si="20"/>
        <v>46</v>
      </c>
      <c r="Y106" s="36">
        <f t="shared" si="20"/>
        <v>61</v>
      </c>
      <c r="Z106" s="36">
        <f t="shared" si="20"/>
        <v>48</v>
      </c>
      <c r="AA106" s="36">
        <f t="shared" si="20"/>
        <v>50</v>
      </c>
      <c r="AB106" s="36"/>
      <c r="AC106" s="36"/>
      <c r="AD106" s="10">
        <f>SUM(AD6:AD105)</f>
        <v>22.159999999999979</v>
      </c>
      <c r="AE106" s="36" t="s">
        <v>111</v>
      </c>
    </row>
    <row r="107" spans="1:31" x14ac:dyDescent="0.3">
      <c r="A107" s="31"/>
      <c r="B107" s="32"/>
      <c r="C107" s="32"/>
      <c r="D107" s="32"/>
      <c r="E107" s="32"/>
      <c r="F107" s="32"/>
      <c r="G107" s="32"/>
      <c r="H107" s="32"/>
      <c r="I107" s="32"/>
      <c r="J107" s="32"/>
      <c r="K107" s="32"/>
      <c r="L107" s="33"/>
      <c r="M107" s="34">
        <f>COUNTIF(M5:M104,"sedang")</f>
        <v>77</v>
      </c>
      <c r="N107" s="33"/>
      <c r="O107" s="33"/>
      <c r="P107" s="33"/>
      <c r="Q107" s="20" t="s">
        <v>113</v>
      </c>
      <c r="R107" s="36">
        <f>SUM(R106:AA106)</f>
        <v>524</v>
      </c>
      <c r="S107" s="36"/>
      <c r="T107" s="36"/>
      <c r="U107" s="36"/>
      <c r="V107" s="36"/>
      <c r="W107" s="36"/>
      <c r="X107" s="36"/>
      <c r="Y107" s="36"/>
      <c r="Z107" s="36"/>
      <c r="AA107" s="36"/>
      <c r="AB107" s="36"/>
      <c r="AC107" s="36"/>
      <c r="AD107" s="36"/>
      <c r="AE107" s="36"/>
    </row>
    <row r="108" spans="1:31" ht="25.5" customHeight="1" x14ac:dyDescent="0.3">
      <c r="A108" s="39"/>
      <c r="B108" s="110" t="s">
        <v>630</v>
      </c>
      <c r="C108" s="110"/>
      <c r="D108" s="110"/>
      <c r="E108" s="25">
        <v>40</v>
      </c>
      <c r="F108" s="32"/>
      <c r="G108" s="32"/>
      <c r="H108" s="32"/>
      <c r="I108" s="32"/>
      <c r="J108" s="32"/>
      <c r="K108" s="32"/>
      <c r="L108" s="33"/>
      <c r="M108" s="33">
        <f>100-M106-M107</f>
        <v>8</v>
      </c>
      <c r="N108" s="33"/>
      <c r="O108" s="33"/>
      <c r="P108" s="33"/>
      <c r="Q108" s="20" t="s">
        <v>114</v>
      </c>
      <c r="R108" s="36">
        <f t="shared" ref="R108:AA108" si="21">$R$107/10</f>
        <v>52.4</v>
      </c>
      <c r="S108" s="36">
        <f t="shared" si="21"/>
        <v>52.4</v>
      </c>
      <c r="T108" s="36">
        <f t="shared" si="21"/>
        <v>52.4</v>
      </c>
      <c r="U108" s="36">
        <f t="shared" si="21"/>
        <v>52.4</v>
      </c>
      <c r="V108" s="36">
        <f t="shared" si="21"/>
        <v>52.4</v>
      </c>
      <c r="W108" s="36">
        <f t="shared" si="21"/>
        <v>52.4</v>
      </c>
      <c r="X108" s="36">
        <f t="shared" si="21"/>
        <v>52.4</v>
      </c>
      <c r="Y108" s="36">
        <f t="shared" si="21"/>
        <v>52.4</v>
      </c>
      <c r="Z108" s="36">
        <f t="shared" si="21"/>
        <v>52.4</v>
      </c>
      <c r="AA108" s="36">
        <f t="shared" si="21"/>
        <v>52.4</v>
      </c>
      <c r="AB108" s="36"/>
      <c r="AC108" s="36"/>
      <c r="AD108" s="36"/>
      <c r="AE108" s="36"/>
    </row>
    <row r="109" spans="1:31" ht="25.5" customHeight="1" x14ac:dyDescent="0.3">
      <c r="A109" s="28"/>
      <c r="B109" s="110" t="s">
        <v>631</v>
      </c>
      <c r="C109" s="110"/>
      <c r="D109" s="110"/>
      <c r="E109" s="25">
        <v>30</v>
      </c>
      <c r="F109" s="32"/>
      <c r="G109" s="32"/>
      <c r="H109" s="32"/>
      <c r="I109" s="32"/>
      <c r="J109" s="32"/>
      <c r="K109" s="32"/>
      <c r="L109" s="33"/>
      <c r="M109" s="33"/>
      <c r="N109" s="33"/>
      <c r="O109" s="33"/>
      <c r="P109" s="33"/>
      <c r="Q109" s="20" t="s">
        <v>115</v>
      </c>
      <c r="R109" s="10">
        <f>R106-R108</f>
        <v>0.60000000000000142</v>
      </c>
      <c r="S109" s="10">
        <f t="shared" ref="S109:AA109" si="22">S106-S108</f>
        <v>0.60000000000000142</v>
      </c>
      <c r="T109" s="10">
        <f t="shared" si="22"/>
        <v>6.6000000000000014</v>
      </c>
      <c r="U109" s="10">
        <f t="shared" si="22"/>
        <v>4.6000000000000014</v>
      </c>
      <c r="V109" s="10">
        <f t="shared" si="22"/>
        <v>-4.3999999999999986</v>
      </c>
      <c r="W109" s="10">
        <f t="shared" si="22"/>
        <v>-3.3999999999999986</v>
      </c>
      <c r="X109" s="10">
        <f t="shared" si="22"/>
        <v>-6.3999999999999986</v>
      </c>
      <c r="Y109" s="10">
        <f t="shared" si="22"/>
        <v>8.6000000000000014</v>
      </c>
      <c r="Z109" s="10">
        <f t="shared" si="22"/>
        <v>-4.3999999999999986</v>
      </c>
      <c r="AA109" s="10">
        <f t="shared" si="22"/>
        <v>-2.3999999999999986</v>
      </c>
      <c r="AB109" s="36"/>
      <c r="AC109" s="36"/>
      <c r="AD109" s="36"/>
      <c r="AE109" s="36"/>
    </row>
    <row r="110" spans="1:31" ht="25.5" customHeight="1" x14ac:dyDescent="0.3">
      <c r="A110" s="30"/>
      <c r="B110" s="110" t="s">
        <v>632</v>
      </c>
      <c r="C110" s="110"/>
      <c r="D110" s="110"/>
      <c r="E110" s="25">
        <v>30</v>
      </c>
      <c r="F110" s="32"/>
      <c r="G110" s="32"/>
      <c r="H110" s="32"/>
      <c r="I110" s="32"/>
      <c r="J110" s="32"/>
      <c r="K110" s="32"/>
      <c r="L110" s="33"/>
      <c r="M110" s="33"/>
      <c r="N110" s="33"/>
      <c r="O110" s="33"/>
      <c r="P110" s="33"/>
      <c r="Q110" s="20" t="s">
        <v>116</v>
      </c>
      <c r="R110" s="11">
        <f>R109^2</f>
        <v>0.36000000000000171</v>
      </c>
      <c r="S110" s="11">
        <f t="shared" ref="S110:AA110" si="23">S109^2</f>
        <v>0.36000000000000171</v>
      </c>
      <c r="T110" s="11">
        <f t="shared" si="23"/>
        <v>43.560000000000016</v>
      </c>
      <c r="U110" s="11">
        <f t="shared" si="23"/>
        <v>21.160000000000014</v>
      </c>
      <c r="V110" s="11">
        <f t="shared" si="23"/>
        <v>19.359999999999989</v>
      </c>
      <c r="W110" s="11">
        <f t="shared" si="23"/>
        <v>11.55999999999999</v>
      </c>
      <c r="X110" s="11">
        <f t="shared" si="23"/>
        <v>40.95999999999998</v>
      </c>
      <c r="Y110" s="11">
        <f t="shared" si="23"/>
        <v>73.960000000000022</v>
      </c>
      <c r="Z110" s="11">
        <f t="shared" si="23"/>
        <v>19.359999999999989</v>
      </c>
      <c r="AA110" s="11">
        <f t="shared" si="23"/>
        <v>5.7599999999999936</v>
      </c>
      <c r="AB110" s="36"/>
      <c r="AC110" s="36"/>
      <c r="AD110" s="36"/>
      <c r="AE110" s="36"/>
    </row>
    <row r="111" spans="1:31" x14ac:dyDescent="0.3">
      <c r="A111" s="31"/>
      <c r="B111" s="32"/>
      <c r="C111" s="32"/>
      <c r="D111" s="32"/>
      <c r="E111" s="32"/>
      <c r="F111" s="32"/>
      <c r="G111" s="32"/>
      <c r="H111" s="32"/>
      <c r="I111" s="32"/>
      <c r="J111" s="32"/>
      <c r="K111" s="32"/>
      <c r="L111" s="33"/>
      <c r="M111" s="33"/>
      <c r="N111" s="33"/>
      <c r="O111" s="33"/>
      <c r="P111" s="33"/>
      <c r="Q111" s="20" t="s">
        <v>117</v>
      </c>
      <c r="R111" s="36">
        <f>SUM(R110:AA110)/10</f>
        <v>23.64</v>
      </c>
      <c r="S111" s="36"/>
      <c r="T111" s="36"/>
      <c r="U111" s="36"/>
      <c r="V111" s="36"/>
      <c r="W111" s="36"/>
      <c r="X111" s="36"/>
      <c r="Y111" s="36"/>
      <c r="Z111" s="36"/>
      <c r="AA111" s="36"/>
      <c r="AB111" s="36"/>
      <c r="AC111" s="36"/>
      <c r="AD111" s="36"/>
      <c r="AE111" s="36"/>
    </row>
    <row r="112" spans="1:31" x14ac:dyDescent="0.3">
      <c r="A112" s="31"/>
      <c r="B112" s="32"/>
      <c r="C112" s="32"/>
      <c r="D112" s="32"/>
      <c r="E112" s="32"/>
      <c r="F112" s="32"/>
      <c r="G112" s="32"/>
      <c r="H112" s="32"/>
      <c r="I112" s="32"/>
      <c r="J112" s="32"/>
      <c r="K112" s="32"/>
      <c r="L112" s="33"/>
      <c r="M112" s="33"/>
      <c r="N112" s="33"/>
      <c r="O112" s="33"/>
      <c r="P112" s="33"/>
      <c r="Q112" s="20" t="s">
        <v>118</v>
      </c>
      <c r="R112" s="10">
        <f>SQRT(R111)</f>
        <v>4.8620983124572872</v>
      </c>
      <c r="S112" s="36"/>
      <c r="T112" s="36"/>
      <c r="U112" s="36"/>
      <c r="V112" s="36"/>
      <c r="W112" s="36"/>
      <c r="X112" s="36"/>
      <c r="Y112" s="36"/>
      <c r="Z112" s="36"/>
      <c r="AA112" s="36"/>
      <c r="AB112" s="36"/>
      <c r="AC112" s="36"/>
      <c r="AD112" s="36"/>
      <c r="AE112" s="36"/>
    </row>
    <row r="113" spans="1:31" x14ac:dyDescent="0.3">
      <c r="A113" s="31"/>
      <c r="B113" s="32"/>
      <c r="C113" s="32"/>
      <c r="D113" s="32"/>
      <c r="E113" s="32"/>
      <c r="F113" s="32"/>
      <c r="G113" s="32"/>
      <c r="H113" s="32"/>
      <c r="I113" s="32"/>
      <c r="J113" s="32"/>
      <c r="K113" s="32"/>
      <c r="L113" s="33"/>
      <c r="M113" s="33"/>
      <c r="N113" s="33"/>
      <c r="O113" s="33"/>
      <c r="P113" s="33"/>
      <c r="Q113" s="41" t="s">
        <v>106</v>
      </c>
      <c r="R113" s="42">
        <f>100/(100-1)*(1-AD106/R111)</f>
        <v>6.3238134304125088E-2</v>
      </c>
      <c r="S113" s="43" t="s">
        <v>119</v>
      </c>
      <c r="T113" s="36"/>
      <c r="U113" s="36"/>
      <c r="V113" s="36"/>
      <c r="W113" s="36"/>
      <c r="X113" s="36"/>
      <c r="Y113" s="36"/>
      <c r="Z113" s="36"/>
      <c r="AA113" s="36"/>
      <c r="AB113" s="36"/>
      <c r="AC113" s="36"/>
      <c r="AD113" s="36"/>
      <c r="AE113" s="36"/>
    </row>
  </sheetData>
  <mergeCells count="15">
    <mergeCell ref="B109:D109"/>
    <mergeCell ref="B110:D110"/>
    <mergeCell ref="Q4:Q5"/>
    <mergeCell ref="AB4:AB5"/>
    <mergeCell ref="B3:K3"/>
    <mergeCell ref="L3:L4"/>
    <mergeCell ref="M3:M4"/>
    <mergeCell ref="N3:N4"/>
    <mergeCell ref="O3:O4"/>
    <mergeCell ref="AC4:AC5"/>
    <mergeCell ref="AD4:AD5"/>
    <mergeCell ref="R4:AA4"/>
    <mergeCell ref="A1:O1"/>
    <mergeCell ref="B108:D108"/>
    <mergeCell ref="A3:A4"/>
  </mergeCells>
  <conditionalFormatting sqref="M5:M104 M3:O3 Q3">
    <cfRule type="containsText" dxfId="27" priority="7" operator="containsText" text="sedang">
      <formula>NOT(ISERROR(SEARCH("sedang",M3)))</formula>
    </cfRule>
  </conditionalFormatting>
  <conditionalFormatting sqref="M5:M104">
    <cfRule type="containsText" dxfId="26" priority="6" operator="containsText" text="sukar">
      <formula>NOT(ISERROR(SEARCH("sukar",M5)))</formula>
    </cfRule>
  </conditionalFormatting>
  <conditionalFormatting sqref="M106:M107">
    <cfRule type="containsText" dxfId="25" priority="2" operator="containsText" text="sukar">
      <formula>NOT(ISERROR(SEARCH("sukar",M106)))</formula>
    </cfRule>
    <cfRule type="containsText" dxfId="24" priority="3" operator="containsText" text="sedang">
      <formula>NOT(ISERROR(SEARCH("sedang",M106)))</formula>
    </cfRule>
    <cfRule type="containsText" dxfId="23" priority="4" operator="containsText" text="mudah">
      <formula>NOT(ISERROR(SEARCH("mudah",M106)))</formula>
    </cfRule>
  </conditionalFormatting>
  <conditionalFormatting sqref="M3:O3 Q3 M5:M104">
    <cfRule type="containsText" dxfId="22" priority="8" operator="containsText" text="mudah">
      <formula>NOT(ISERROR(SEARCH("mudah",M3)))</formula>
    </cfRule>
  </conditionalFormatting>
  <conditionalFormatting sqref="O5:O106">
    <cfRule type="containsText" dxfId="21" priority="5" operator="containsText" text="soal dibuang">
      <formula>NOT(ISERROR(SEARCH("soal dibuang",O5)))</formula>
    </cfRule>
  </conditionalFormatting>
  <pageMargins left="0.26" right="0.26" top="0.47244094488188981" bottom="0.35" header="0.31496062992125984" footer="0.24"/>
  <pageSetup paperSize="9" scale="70"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85270-7DF5-44B7-84C4-BF4855FABF92}">
  <dimension ref="A1:AC112"/>
  <sheetViews>
    <sheetView view="pageBreakPreview" topLeftCell="A142" zoomScale="48" zoomScaleNormal="48" zoomScaleSheetLayoutView="48" workbookViewId="0">
      <selection activeCell="L21" sqref="L21"/>
    </sheetView>
  </sheetViews>
  <sheetFormatPr defaultRowHeight="14.5" x14ac:dyDescent="0.35"/>
  <cols>
    <col min="1" max="1" width="34.81640625" customWidth="1"/>
    <col min="2" max="11" width="5.7265625" style="1" customWidth="1"/>
    <col min="12" max="12" width="5.36328125" style="1" bestFit="1" customWidth="1"/>
    <col min="13" max="13" width="5.453125" bestFit="1" customWidth="1"/>
    <col min="14" max="14" width="11.26953125" customWidth="1"/>
    <col min="15" max="15" width="5.81640625" customWidth="1"/>
    <col min="16" max="16" width="8.36328125" customWidth="1"/>
    <col min="17" max="17" width="8" customWidth="1"/>
    <col min="18" max="18" width="10.36328125" customWidth="1"/>
    <col min="19" max="19" width="8.81640625" customWidth="1"/>
    <col min="20" max="20" width="7.7265625" customWidth="1"/>
    <col min="21" max="21" width="7.453125" customWidth="1"/>
    <col min="22" max="22" width="6.08984375" bestFit="1" customWidth="1"/>
    <col min="23" max="23" width="6.1796875" bestFit="1" customWidth="1"/>
    <col min="24" max="24" width="7.81640625" customWidth="1"/>
    <col min="25" max="25" width="9.08984375" customWidth="1"/>
    <col min="26" max="26" width="5.54296875" bestFit="1" customWidth="1"/>
    <col min="27" max="27" width="10.6328125" customWidth="1"/>
    <col min="28" max="28" width="12.26953125" style="1" customWidth="1"/>
    <col min="29" max="29" width="35.1796875" customWidth="1"/>
  </cols>
  <sheetData>
    <row r="1" spans="1:29" ht="15.5" x14ac:dyDescent="0.35">
      <c r="A1" s="122" t="s">
        <v>794</v>
      </c>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row>
    <row r="2" spans="1:29" x14ac:dyDescent="0.35">
      <c r="A2" s="76"/>
      <c r="B2" s="77"/>
      <c r="C2" s="77"/>
      <c r="D2" s="77"/>
      <c r="E2" s="77"/>
      <c r="F2" s="77"/>
      <c r="G2" s="77"/>
      <c r="H2" s="77"/>
      <c r="I2" s="77"/>
      <c r="J2" s="77"/>
      <c r="K2" s="77"/>
      <c r="L2" s="77"/>
      <c r="M2" s="76"/>
      <c r="N2" s="76"/>
      <c r="O2" s="76"/>
      <c r="P2" s="76"/>
      <c r="Q2" s="76"/>
      <c r="R2" s="76"/>
      <c r="S2" s="76"/>
      <c r="T2" s="76"/>
      <c r="U2" s="76"/>
      <c r="V2" s="76"/>
      <c r="W2" s="76"/>
      <c r="X2" s="76"/>
      <c r="Y2" s="76"/>
      <c r="Z2" s="76"/>
      <c r="AA2" s="76"/>
      <c r="AB2" s="77"/>
      <c r="AC2" s="76"/>
    </row>
    <row r="3" spans="1:29" ht="14.5" customHeight="1" x14ac:dyDescent="0.35">
      <c r="A3" s="79" t="s">
        <v>759</v>
      </c>
      <c r="B3" s="87">
        <v>0.5</v>
      </c>
      <c r="C3" s="86"/>
      <c r="D3" s="86"/>
      <c r="E3" s="86"/>
      <c r="F3" s="86"/>
      <c r="G3" s="86"/>
      <c r="H3" s="86"/>
      <c r="I3" s="86"/>
      <c r="J3" s="93" t="s">
        <v>763</v>
      </c>
      <c r="K3" s="93"/>
      <c r="L3" s="93"/>
      <c r="M3" s="93"/>
      <c r="N3" s="92"/>
      <c r="O3" s="91"/>
      <c r="P3" s="127" t="s">
        <v>767</v>
      </c>
      <c r="Q3" s="127"/>
      <c r="R3" s="127"/>
      <c r="S3" s="127"/>
      <c r="T3" s="91"/>
      <c r="U3" s="76"/>
      <c r="V3" s="76"/>
      <c r="W3" s="76"/>
      <c r="X3" s="76"/>
      <c r="Y3" s="76"/>
      <c r="Z3" s="76"/>
      <c r="AA3" s="76"/>
      <c r="AB3" s="77"/>
      <c r="AC3" s="76"/>
    </row>
    <row r="4" spans="1:29" ht="14.5" customHeight="1" x14ac:dyDescent="0.35">
      <c r="A4" s="79" t="s">
        <v>760</v>
      </c>
      <c r="B4" s="87">
        <v>1</v>
      </c>
      <c r="C4" s="86"/>
      <c r="D4" s="86"/>
      <c r="E4" s="86"/>
      <c r="F4" s="86"/>
      <c r="G4" s="86"/>
      <c r="H4" s="86"/>
      <c r="I4" s="86"/>
      <c r="J4" s="85"/>
      <c r="K4" s="120" t="s">
        <v>764</v>
      </c>
      <c r="L4" s="120"/>
      <c r="M4" s="120"/>
      <c r="N4" s="90">
        <f>COUNTIF($AA$11:$AA$110,"DIF Besar - review")</f>
        <v>0</v>
      </c>
      <c r="O4" s="81"/>
      <c r="P4" s="119" t="s">
        <v>768</v>
      </c>
      <c r="Q4" s="119"/>
      <c r="R4" s="119"/>
      <c r="S4" s="89"/>
      <c r="T4" s="88">
        <f>COUNTIF($AB$11:$AB$110,"Berpotensi Bias - Tinjau Konten")</f>
        <v>0</v>
      </c>
      <c r="U4" s="76"/>
      <c r="V4" s="76"/>
      <c r="W4" s="76"/>
      <c r="X4" s="76"/>
      <c r="Y4" s="76"/>
      <c r="Z4" s="76"/>
      <c r="AA4" s="76"/>
      <c r="AB4" s="77"/>
      <c r="AC4" s="76"/>
    </row>
    <row r="5" spans="1:29" ht="14.5" customHeight="1" x14ac:dyDescent="0.35">
      <c r="A5" s="79" t="s">
        <v>761</v>
      </c>
      <c r="B5" s="87">
        <v>2</v>
      </c>
      <c r="C5" s="86"/>
      <c r="D5" s="86"/>
      <c r="E5" s="86"/>
      <c r="F5" s="86"/>
      <c r="G5" s="86"/>
      <c r="H5" s="86"/>
      <c r="I5" s="86"/>
      <c r="J5" s="85"/>
      <c r="K5" s="120" t="s">
        <v>765</v>
      </c>
      <c r="L5" s="120"/>
      <c r="M5" s="120"/>
      <c r="N5" s="84">
        <f>COUNTIF($AA$11:$AA$110,"DIF Moderat - cek")</f>
        <v>0</v>
      </c>
      <c r="O5" s="81"/>
      <c r="P5" s="119" t="s">
        <v>769</v>
      </c>
      <c r="Q5" s="119"/>
      <c r="R5" s="119"/>
      <c r="S5" s="119"/>
      <c r="T5" s="84">
        <f>COUNTIF($AB$11:$AB$110,"Indikasi Ringan - Pantau")</f>
        <v>0</v>
      </c>
      <c r="U5" s="76"/>
      <c r="V5" s="76"/>
      <c r="W5" s="76"/>
      <c r="X5" s="76"/>
      <c r="Y5" s="76"/>
      <c r="Z5" s="76"/>
      <c r="AA5" s="76"/>
      <c r="AB5" s="77"/>
      <c r="AC5" s="76"/>
    </row>
    <row r="6" spans="1:29" ht="14.5" customHeight="1" x14ac:dyDescent="0.35">
      <c r="A6" s="79" t="s">
        <v>762</v>
      </c>
      <c r="B6" s="83">
        <f>_xlfn.AGGREGATE(14,6,ABS(X11:X110),1)</f>
        <v>0</v>
      </c>
      <c r="C6" s="78"/>
      <c r="D6" s="78"/>
      <c r="E6" s="78"/>
      <c r="F6" s="78"/>
      <c r="G6" s="78"/>
      <c r="H6" s="78"/>
      <c r="I6" s="78"/>
      <c r="J6" s="82"/>
      <c r="K6" s="120" t="s">
        <v>766</v>
      </c>
      <c r="L6" s="120"/>
      <c r="M6" s="120"/>
      <c r="N6" s="80">
        <f>COUNTIF($AA$11:$AA$110,"Negligible")</f>
        <v>100</v>
      </c>
      <c r="O6" s="81"/>
      <c r="P6" s="119" t="s">
        <v>770</v>
      </c>
      <c r="Q6" s="119"/>
      <c r="R6" s="119"/>
      <c r="S6" s="119"/>
      <c r="T6" s="80">
        <f>COUNTIF($AB$11:$AB$110,"Tidak Ada Indikasi Bias")</f>
        <v>100</v>
      </c>
      <c r="U6" s="76"/>
      <c r="V6" s="76"/>
      <c r="W6" s="76"/>
      <c r="X6" s="76"/>
      <c r="Y6" s="76"/>
      <c r="Z6" s="76"/>
      <c r="AA6" s="76"/>
      <c r="AB6" s="77"/>
      <c r="AC6" s="76"/>
    </row>
    <row r="7" spans="1:29" ht="35" customHeight="1" x14ac:dyDescent="0.35">
      <c r="A7" s="79"/>
      <c r="B7" s="78"/>
      <c r="C7" s="78"/>
      <c r="D7" s="78"/>
      <c r="E7" s="78"/>
      <c r="F7" s="78"/>
      <c r="G7" s="78"/>
      <c r="H7" s="78"/>
      <c r="I7" s="78"/>
      <c r="J7" s="121" t="s">
        <v>803</v>
      </c>
      <c r="K7" s="121"/>
      <c r="L7" s="121"/>
      <c r="M7" s="121"/>
      <c r="N7" s="121"/>
      <c r="O7" s="121"/>
      <c r="P7" s="121"/>
      <c r="Q7" s="121"/>
      <c r="R7" s="121"/>
      <c r="S7" s="121"/>
      <c r="T7" s="121"/>
      <c r="U7" s="121"/>
      <c r="V7" s="121"/>
      <c r="W7" s="121"/>
      <c r="X7" s="121"/>
      <c r="Y7" s="121"/>
      <c r="Z7" s="121"/>
      <c r="AA7" s="121"/>
      <c r="AB7" s="77"/>
      <c r="AC7" s="76"/>
    </row>
    <row r="8" spans="1:29" s="73" customFormat="1" ht="30.5" customHeight="1" x14ac:dyDescent="0.35">
      <c r="A8" s="75" t="s">
        <v>756</v>
      </c>
      <c r="B8" s="74" t="str">
        <f>ToT!B2</f>
        <v>Laki-Laki</v>
      </c>
      <c r="C8" s="74" t="str">
        <f>ToT!C2</f>
        <v>Laki-Laki</v>
      </c>
      <c r="D8" s="74" t="str">
        <f>ToT!D2</f>
        <v>Perempuan</v>
      </c>
      <c r="E8" s="74" t="str">
        <f>ToT!E2</f>
        <v>Perempuan</v>
      </c>
      <c r="F8" s="74" t="str">
        <f>ToT!F2</f>
        <v>Perempuan</v>
      </c>
      <c r="G8" s="74" t="str">
        <f>ToT!G2</f>
        <v>Laki-Laki</v>
      </c>
      <c r="H8" s="74" t="str">
        <f>ToT!H2</f>
        <v>Laki-Laki</v>
      </c>
      <c r="I8" s="74" t="str">
        <f>ToT!I2</f>
        <v>Laki-Laki</v>
      </c>
      <c r="J8" s="74" t="str">
        <f>ToT!J2</f>
        <v>Perempuan</v>
      </c>
      <c r="K8" s="74" t="str">
        <f>ToT!K2</f>
        <v>Perempuan</v>
      </c>
      <c r="L8" s="74"/>
      <c r="M8" s="74"/>
      <c r="N8" s="74"/>
      <c r="O8" s="74"/>
      <c r="P8" s="74"/>
      <c r="Q8" s="74"/>
      <c r="R8" s="74"/>
      <c r="S8" s="74"/>
      <c r="T8" s="74"/>
      <c r="U8" s="74"/>
      <c r="V8" s="74"/>
      <c r="W8" s="74"/>
      <c r="X8" s="74"/>
      <c r="Y8" s="74"/>
      <c r="Z8" s="74"/>
      <c r="AA8" s="74"/>
      <c r="AB8" s="74"/>
    </row>
    <row r="9" spans="1:29" s="72" customFormat="1" ht="23" customHeight="1" x14ac:dyDescent="0.35">
      <c r="A9" s="117" t="s">
        <v>0</v>
      </c>
      <c r="B9" s="124" t="s">
        <v>633</v>
      </c>
      <c r="C9" s="125"/>
      <c r="D9" s="125"/>
      <c r="E9" s="125"/>
      <c r="F9" s="125"/>
      <c r="G9" s="125"/>
      <c r="H9" s="125"/>
      <c r="I9" s="125"/>
      <c r="J9" s="125"/>
      <c r="K9" s="126"/>
      <c r="L9" s="117" t="s">
        <v>771</v>
      </c>
      <c r="M9" s="117" t="s">
        <v>772</v>
      </c>
      <c r="N9" s="117" t="s">
        <v>773</v>
      </c>
      <c r="O9" s="117" t="s">
        <v>774</v>
      </c>
      <c r="P9" s="117" t="s">
        <v>775</v>
      </c>
      <c r="Q9" s="117" t="s">
        <v>776</v>
      </c>
      <c r="R9" s="117" t="s">
        <v>777</v>
      </c>
      <c r="S9" s="117" t="s">
        <v>778</v>
      </c>
      <c r="T9" s="117" t="s">
        <v>779</v>
      </c>
      <c r="U9" s="117" t="s">
        <v>780</v>
      </c>
      <c r="V9" s="117" t="s">
        <v>781</v>
      </c>
      <c r="W9" s="117" t="s">
        <v>782</v>
      </c>
      <c r="X9" s="117" t="s">
        <v>783</v>
      </c>
      <c r="Y9" s="117" t="s">
        <v>784</v>
      </c>
      <c r="Z9" s="117" t="s">
        <v>785</v>
      </c>
      <c r="AA9" s="117" t="s">
        <v>786</v>
      </c>
      <c r="AB9" s="117" t="s">
        <v>787</v>
      </c>
    </row>
    <row r="10" spans="1:29" s="72" customFormat="1" ht="23" customHeight="1" x14ac:dyDescent="0.35">
      <c r="A10" s="118"/>
      <c r="B10" s="69">
        <v>1</v>
      </c>
      <c r="C10" s="69">
        <v>2</v>
      </c>
      <c r="D10" s="69">
        <v>3</v>
      </c>
      <c r="E10" s="69">
        <v>4</v>
      </c>
      <c r="F10" s="69">
        <v>5</v>
      </c>
      <c r="G10" s="69">
        <v>6</v>
      </c>
      <c r="H10" s="69">
        <v>7</v>
      </c>
      <c r="I10" s="69">
        <v>8</v>
      </c>
      <c r="J10" s="69">
        <v>9</v>
      </c>
      <c r="K10" s="69">
        <v>10</v>
      </c>
      <c r="L10" s="118"/>
      <c r="M10" s="118"/>
      <c r="N10" s="118"/>
      <c r="O10" s="118"/>
      <c r="P10" s="118"/>
      <c r="Q10" s="118"/>
      <c r="R10" s="118"/>
      <c r="S10" s="118"/>
      <c r="T10" s="118"/>
      <c r="U10" s="118"/>
      <c r="V10" s="118"/>
      <c r="W10" s="118"/>
      <c r="X10" s="118"/>
      <c r="Y10" s="118"/>
      <c r="Z10" s="118"/>
      <c r="AA10" s="118"/>
      <c r="AB10" s="118"/>
    </row>
    <row r="11" spans="1:29" ht="75" x14ac:dyDescent="0.35">
      <c r="A11" s="71" t="str">
        <f>ToT!A5</f>
        <v>1. Pendekatan sistem pendidikan dan metode pembelajaran dimana luaran menjadi fokus dan hasilnya dapat dilihat dari proses belajar (pengetahuan yang berorientasi pada hasil, kemampuan dan perilaku) adalah</v>
      </c>
      <c r="B11" s="69">
        <f>ToT!B5</f>
        <v>1</v>
      </c>
      <c r="C11" s="69">
        <f>ToT!C5</f>
        <v>1</v>
      </c>
      <c r="D11" s="69">
        <f>ToT!D5</f>
        <v>1</v>
      </c>
      <c r="E11" s="69">
        <f>ToT!E5</f>
        <v>0</v>
      </c>
      <c r="F11" s="69">
        <f>ToT!F5</f>
        <v>1</v>
      </c>
      <c r="G11" s="69">
        <f>ToT!G5</f>
        <v>0</v>
      </c>
      <c r="H11" s="69">
        <f>ToT!H5</f>
        <v>0</v>
      </c>
      <c r="I11" s="69">
        <f>ToT!I5</f>
        <v>0</v>
      </c>
      <c r="J11" s="69">
        <f>ToT!J5</f>
        <v>0</v>
      </c>
      <c r="K11" s="69">
        <f>ToT!K5</f>
        <v>0</v>
      </c>
      <c r="L11" s="69">
        <f t="shared" ref="L11:L42" si="0">COUNTIF($B$8:$K$8,"Laki-Laki")</f>
        <v>5</v>
      </c>
      <c r="M11" s="69">
        <f t="shared" ref="M11:M42" si="1">COUNTIF($B$8:$K$8,"Perempuan")</f>
        <v>5</v>
      </c>
      <c r="N11" s="69">
        <f t="shared" ref="N11:N42" si="2">SUMIF($B$8:$K$8,"Laki-Laki",B11:K11)</f>
        <v>2</v>
      </c>
      <c r="O11" s="69">
        <f t="shared" ref="O11:O42" si="3">SUMIF($B$8:$K$8,"Perempuan",B11:K11)</f>
        <v>2</v>
      </c>
      <c r="P11" s="69">
        <f t="shared" ref="P11:P42" si="4">IF(N11=0,0.3,IF(N11=L11,L11-0.3,N11))</f>
        <v>2</v>
      </c>
      <c r="Q11" s="69">
        <f t="shared" ref="Q11:Q42" si="5">IF(O11=0,0.3,IF(O11=M11,M11-0.3,O11))</f>
        <v>2</v>
      </c>
      <c r="R11" s="70">
        <f t="shared" ref="R11:R42" si="6">LN((L11-P11)/P11)</f>
        <v>0.40546510810816438</v>
      </c>
      <c r="S11" s="70">
        <f t="shared" ref="S11:S42" si="7">LN((M11-Q11)/Q11)</f>
        <v>0.40546510810816438</v>
      </c>
      <c r="T11" s="70">
        <f t="shared" ref="T11:T42" si="8">R11-AVERAGE($R$11:$R$110)</f>
        <v>0.51466966662980163</v>
      </c>
      <c r="U11" s="70">
        <f t="shared" ref="U11:U42" si="9">S11-AVERAGE($S$11:$S$110)</f>
        <v>0.51466966662980163</v>
      </c>
      <c r="V11" s="70">
        <f t="shared" ref="V11:V42" si="10">SQRT(1/P11+1/(L11-P11))</f>
        <v>0.91287092917527679</v>
      </c>
      <c r="W11" s="70">
        <f t="shared" ref="W11:W42" si="11">SQRT(1/Q11+1/(M11-Q11))</f>
        <v>0.91287092917527679</v>
      </c>
      <c r="X11" s="70">
        <f t="shared" ref="X11:X42" si="12">T11-U11</f>
        <v>0</v>
      </c>
      <c r="Y11" s="70">
        <f t="shared" ref="Y11:Y42" si="13">SQRT(V11^2+W11^2)</f>
        <v>1.2909944487358056</v>
      </c>
      <c r="Z11" s="70">
        <f t="shared" ref="Z11:Z42" si="14">X11/Y11</f>
        <v>0</v>
      </c>
      <c r="AA11" s="69" t="str">
        <f t="shared" ref="AA11:AA42" si="15">IF(AND(ABS(X11)&gt;=$B$4,ABS(Z11)&gt;=$B$5),"DIF Besar - review",IF(AND(ABS(X11)&gt;=$B$3,ABS(Z11)&gt;=$B$5),"DIF Moderat - cek","Negligible"))</f>
        <v>Negligible</v>
      </c>
      <c r="AB11" s="69" t="str">
        <f t="shared" ref="AB11:AB42" si="16">IF(ABS(X11)&gt;=$B$4,"Berpotensi Bias - Tinjau Konten",IF(ABS(X11)&gt;=$B$3,"Indikasi Ringan - Pantau","Tidak Ada Indikasi Bias"))</f>
        <v>Tidak Ada Indikasi Bias</v>
      </c>
    </row>
    <row r="12" spans="1:29" ht="37.5" x14ac:dyDescent="0.35">
      <c r="A12" s="71" t="str">
        <f>ToT!A6</f>
        <v>2. Prinsip-prinsip Outcome Based Education (OBE) dalam kegiatan pembelajaran adalah</v>
      </c>
      <c r="B12" s="69">
        <f>ToT!B6</f>
        <v>0</v>
      </c>
      <c r="C12" s="69">
        <f>ToT!C6</f>
        <v>0</v>
      </c>
      <c r="D12" s="69">
        <f>ToT!D6</f>
        <v>0</v>
      </c>
      <c r="E12" s="69">
        <f>ToT!E6</f>
        <v>0</v>
      </c>
      <c r="F12" s="69">
        <f>ToT!F6</f>
        <v>1</v>
      </c>
      <c r="G12" s="69">
        <f>ToT!G6</f>
        <v>1</v>
      </c>
      <c r="H12" s="69">
        <f>ToT!H6</f>
        <v>1</v>
      </c>
      <c r="I12" s="69">
        <f>ToT!I6</f>
        <v>1</v>
      </c>
      <c r="J12" s="69">
        <f>ToT!J6</f>
        <v>1</v>
      </c>
      <c r="K12" s="69">
        <f>ToT!K6</f>
        <v>1</v>
      </c>
      <c r="L12" s="69">
        <f t="shared" si="0"/>
        <v>5</v>
      </c>
      <c r="M12" s="69">
        <f t="shared" si="1"/>
        <v>5</v>
      </c>
      <c r="N12" s="69">
        <f t="shared" si="2"/>
        <v>3</v>
      </c>
      <c r="O12" s="69">
        <f t="shared" si="3"/>
        <v>3</v>
      </c>
      <c r="P12" s="69">
        <f t="shared" si="4"/>
        <v>3</v>
      </c>
      <c r="Q12" s="69">
        <f t="shared" si="5"/>
        <v>3</v>
      </c>
      <c r="R12" s="70">
        <f t="shared" si="6"/>
        <v>-0.40546510810816444</v>
      </c>
      <c r="S12" s="70">
        <f t="shared" si="7"/>
        <v>-0.40546510810816444</v>
      </c>
      <c r="T12" s="70">
        <f t="shared" si="8"/>
        <v>-0.29626054958652714</v>
      </c>
      <c r="U12" s="70">
        <f t="shared" si="9"/>
        <v>-0.29626054958652714</v>
      </c>
      <c r="V12" s="70">
        <f t="shared" si="10"/>
        <v>0.91287092917527679</v>
      </c>
      <c r="W12" s="70">
        <f t="shared" si="11"/>
        <v>0.91287092917527679</v>
      </c>
      <c r="X12" s="70">
        <f t="shared" si="12"/>
        <v>0</v>
      </c>
      <c r="Y12" s="70">
        <f t="shared" si="13"/>
        <v>1.2909944487358056</v>
      </c>
      <c r="Z12" s="70">
        <f t="shared" si="14"/>
        <v>0</v>
      </c>
      <c r="AA12" s="69" t="str">
        <f t="shared" si="15"/>
        <v>Negligible</v>
      </c>
      <c r="AB12" s="69" t="str">
        <f t="shared" si="16"/>
        <v>Tidak Ada Indikasi Bias</v>
      </c>
    </row>
    <row r="13" spans="1:29" ht="37.5" x14ac:dyDescent="0.35">
      <c r="A13" s="71" t="str">
        <f>ToT!A7</f>
        <v>3. Fokus pembelajaran Outcome Based Education (OBE) dibawah yang tidak sesuai adalah</v>
      </c>
      <c r="B13" s="69">
        <f>ToT!B7</f>
        <v>0</v>
      </c>
      <c r="C13" s="69">
        <f>ToT!C7</f>
        <v>0</v>
      </c>
      <c r="D13" s="69">
        <f>ToT!D7</f>
        <v>0</v>
      </c>
      <c r="E13" s="69">
        <f>ToT!E7</f>
        <v>1</v>
      </c>
      <c r="F13" s="69">
        <f>ToT!F7</f>
        <v>0</v>
      </c>
      <c r="G13" s="69">
        <f>ToT!G7</f>
        <v>1</v>
      </c>
      <c r="H13" s="69">
        <f>ToT!H7</f>
        <v>0</v>
      </c>
      <c r="I13" s="69">
        <f>ToT!I7</f>
        <v>1</v>
      </c>
      <c r="J13" s="69">
        <f>ToT!J7</f>
        <v>0</v>
      </c>
      <c r="K13" s="69">
        <f>ToT!K7</f>
        <v>1</v>
      </c>
      <c r="L13" s="69">
        <f t="shared" si="0"/>
        <v>5</v>
      </c>
      <c r="M13" s="69">
        <f t="shared" si="1"/>
        <v>5</v>
      </c>
      <c r="N13" s="69">
        <f t="shared" si="2"/>
        <v>2</v>
      </c>
      <c r="O13" s="69">
        <f t="shared" si="3"/>
        <v>2</v>
      </c>
      <c r="P13" s="69">
        <f t="shared" si="4"/>
        <v>2</v>
      </c>
      <c r="Q13" s="69">
        <f t="shared" si="5"/>
        <v>2</v>
      </c>
      <c r="R13" s="70">
        <f t="shared" si="6"/>
        <v>0.40546510810816438</v>
      </c>
      <c r="S13" s="70">
        <f t="shared" si="7"/>
        <v>0.40546510810816438</v>
      </c>
      <c r="T13" s="70">
        <f t="shared" si="8"/>
        <v>0.51466966662980163</v>
      </c>
      <c r="U13" s="70">
        <f t="shared" si="9"/>
        <v>0.51466966662980163</v>
      </c>
      <c r="V13" s="70">
        <f t="shared" si="10"/>
        <v>0.91287092917527679</v>
      </c>
      <c r="W13" s="70">
        <f t="shared" si="11"/>
        <v>0.91287092917527679</v>
      </c>
      <c r="X13" s="70">
        <f t="shared" si="12"/>
        <v>0</v>
      </c>
      <c r="Y13" s="70">
        <f t="shared" si="13"/>
        <v>1.2909944487358056</v>
      </c>
      <c r="Z13" s="70">
        <f t="shared" si="14"/>
        <v>0</v>
      </c>
      <c r="AA13" s="69" t="str">
        <f t="shared" si="15"/>
        <v>Negligible</v>
      </c>
      <c r="AB13" s="69" t="str">
        <f t="shared" si="16"/>
        <v>Tidak Ada Indikasi Bias</v>
      </c>
    </row>
    <row r="14" spans="1:29" ht="37.5" x14ac:dyDescent="0.35">
      <c r="A14" s="71" t="str">
        <f>ToT!A8</f>
        <v>4. Manfaat yang dapat diperoleh dengan menerapkan OBE pada organisasi Pendidikan tinggi adalah</v>
      </c>
      <c r="B14" s="69">
        <f>ToT!B8</f>
        <v>0</v>
      </c>
      <c r="C14" s="69">
        <f>ToT!C8</f>
        <v>1</v>
      </c>
      <c r="D14" s="69">
        <f>ToT!D8</f>
        <v>1</v>
      </c>
      <c r="E14" s="69">
        <f>ToT!E8</f>
        <v>1</v>
      </c>
      <c r="F14" s="69">
        <f>ToT!F8</f>
        <v>0</v>
      </c>
      <c r="G14" s="69">
        <f>ToT!G8</f>
        <v>0</v>
      </c>
      <c r="H14" s="69">
        <f>ToT!H8</f>
        <v>0</v>
      </c>
      <c r="I14" s="69">
        <f>ToT!I8</f>
        <v>1</v>
      </c>
      <c r="J14" s="69">
        <f>ToT!J8</f>
        <v>0</v>
      </c>
      <c r="K14" s="69">
        <f>ToT!K8</f>
        <v>0</v>
      </c>
      <c r="L14" s="69">
        <f t="shared" si="0"/>
        <v>5</v>
      </c>
      <c r="M14" s="69">
        <f t="shared" si="1"/>
        <v>5</v>
      </c>
      <c r="N14" s="69">
        <f t="shared" si="2"/>
        <v>2</v>
      </c>
      <c r="O14" s="69">
        <f t="shared" si="3"/>
        <v>2</v>
      </c>
      <c r="P14" s="69">
        <f t="shared" si="4"/>
        <v>2</v>
      </c>
      <c r="Q14" s="69">
        <f t="shared" si="5"/>
        <v>2</v>
      </c>
      <c r="R14" s="70">
        <f t="shared" si="6"/>
        <v>0.40546510810816438</v>
      </c>
      <c r="S14" s="70">
        <f t="shared" si="7"/>
        <v>0.40546510810816438</v>
      </c>
      <c r="T14" s="70">
        <f t="shared" si="8"/>
        <v>0.51466966662980163</v>
      </c>
      <c r="U14" s="70">
        <f t="shared" si="9"/>
        <v>0.51466966662980163</v>
      </c>
      <c r="V14" s="70">
        <f t="shared" si="10"/>
        <v>0.91287092917527679</v>
      </c>
      <c r="W14" s="70">
        <f t="shared" si="11"/>
        <v>0.91287092917527679</v>
      </c>
      <c r="X14" s="70">
        <f t="shared" si="12"/>
        <v>0</v>
      </c>
      <c r="Y14" s="70">
        <f t="shared" si="13"/>
        <v>1.2909944487358056</v>
      </c>
      <c r="Z14" s="70">
        <f t="shared" si="14"/>
        <v>0</v>
      </c>
      <c r="AA14" s="69" t="str">
        <f t="shared" si="15"/>
        <v>Negligible</v>
      </c>
      <c r="AB14" s="69" t="str">
        <f t="shared" si="16"/>
        <v>Tidak Ada Indikasi Bias</v>
      </c>
    </row>
    <row r="15" spans="1:29" ht="37.5" x14ac:dyDescent="0.35">
      <c r="A15" s="71" t="str">
        <f>ToT!A9</f>
        <v>5. Apa perbedaan utama antara pembelajaran berorientasi luaran (OBE) dan sistem pembelajaran tradisional?</v>
      </c>
      <c r="B15" s="69">
        <f>ToT!B9</f>
        <v>0</v>
      </c>
      <c r="C15" s="69">
        <f>ToT!C9</f>
        <v>0</v>
      </c>
      <c r="D15" s="69">
        <f>ToT!D9</f>
        <v>1</v>
      </c>
      <c r="E15" s="69">
        <f>ToT!E9</f>
        <v>1</v>
      </c>
      <c r="F15" s="69">
        <f>ToT!F9</f>
        <v>0</v>
      </c>
      <c r="G15" s="69">
        <f>ToT!G9</f>
        <v>1</v>
      </c>
      <c r="H15" s="69">
        <f>ToT!H9</f>
        <v>1</v>
      </c>
      <c r="I15" s="69">
        <f>ToT!I9</f>
        <v>1</v>
      </c>
      <c r="J15" s="69">
        <f>ToT!J9</f>
        <v>0</v>
      </c>
      <c r="K15" s="69">
        <f>ToT!K9</f>
        <v>1</v>
      </c>
      <c r="L15" s="69">
        <f t="shared" si="0"/>
        <v>5</v>
      </c>
      <c r="M15" s="69">
        <f t="shared" si="1"/>
        <v>5</v>
      </c>
      <c r="N15" s="69">
        <f t="shared" si="2"/>
        <v>3</v>
      </c>
      <c r="O15" s="69">
        <f t="shared" si="3"/>
        <v>3</v>
      </c>
      <c r="P15" s="69">
        <f t="shared" si="4"/>
        <v>3</v>
      </c>
      <c r="Q15" s="69">
        <f t="shared" si="5"/>
        <v>3</v>
      </c>
      <c r="R15" s="70">
        <f t="shared" si="6"/>
        <v>-0.40546510810816444</v>
      </c>
      <c r="S15" s="70">
        <f t="shared" si="7"/>
        <v>-0.40546510810816444</v>
      </c>
      <c r="T15" s="70">
        <f t="shared" si="8"/>
        <v>-0.29626054958652714</v>
      </c>
      <c r="U15" s="70">
        <f t="shared" si="9"/>
        <v>-0.29626054958652714</v>
      </c>
      <c r="V15" s="70">
        <f t="shared" si="10"/>
        <v>0.91287092917527679</v>
      </c>
      <c r="W15" s="70">
        <f t="shared" si="11"/>
        <v>0.91287092917527679</v>
      </c>
      <c r="X15" s="70">
        <f t="shared" si="12"/>
        <v>0</v>
      </c>
      <c r="Y15" s="70">
        <f t="shared" si="13"/>
        <v>1.2909944487358056</v>
      </c>
      <c r="Z15" s="70">
        <f t="shared" si="14"/>
        <v>0</v>
      </c>
      <c r="AA15" s="69" t="str">
        <f t="shared" si="15"/>
        <v>Negligible</v>
      </c>
      <c r="AB15" s="69" t="str">
        <f t="shared" si="16"/>
        <v>Tidak Ada Indikasi Bias</v>
      </c>
    </row>
    <row r="16" spans="1:29" ht="37.5" customHeight="1" x14ac:dyDescent="0.35">
      <c r="A16" s="71" t="str">
        <f>ToT!A10</f>
        <v>6. Dasar-dasar implementasi pembelajaran Outcome Based Education (OBE) adalah</v>
      </c>
      <c r="B16" s="69">
        <f>ToT!B10</f>
        <v>0</v>
      </c>
      <c r="C16" s="69">
        <f>ToT!C10</f>
        <v>0</v>
      </c>
      <c r="D16" s="69">
        <f>ToT!D10</f>
        <v>1</v>
      </c>
      <c r="E16" s="69">
        <f>ToT!E10</f>
        <v>0</v>
      </c>
      <c r="F16" s="69">
        <f>ToT!F10</f>
        <v>1</v>
      </c>
      <c r="G16" s="69">
        <f>ToT!G10</f>
        <v>1</v>
      </c>
      <c r="H16" s="69">
        <f>ToT!H10</f>
        <v>1</v>
      </c>
      <c r="I16" s="69">
        <f>ToT!I10</f>
        <v>1</v>
      </c>
      <c r="J16" s="69">
        <f>ToT!J10</f>
        <v>0</v>
      </c>
      <c r="K16" s="69">
        <f>ToT!K10</f>
        <v>1</v>
      </c>
      <c r="L16" s="69">
        <f t="shared" si="0"/>
        <v>5</v>
      </c>
      <c r="M16" s="69">
        <f t="shared" si="1"/>
        <v>5</v>
      </c>
      <c r="N16" s="69">
        <f t="shared" si="2"/>
        <v>3</v>
      </c>
      <c r="O16" s="69">
        <f t="shared" si="3"/>
        <v>3</v>
      </c>
      <c r="P16" s="69">
        <f t="shared" si="4"/>
        <v>3</v>
      </c>
      <c r="Q16" s="69">
        <f t="shared" si="5"/>
        <v>3</v>
      </c>
      <c r="R16" s="70">
        <f t="shared" si="6"/>
        <v>-0.40546510810816444</v>
      </c>
      <c r="S16" s="70">
        <f t="shared" si="7"/>
        <v>-0.40546510810816444</v>
      </c>
      <c r="T16" s="70">
        <f t="shared" si="8"/>
        <v>-0.29626054958652714</v>
      </c>
      <c r="U16" s="70">
        <f t="shared" si="9"/>
        <v>-0.29626054958652714</v>
      </c>
      <c r="V16" s="70">
        <f t="shared" si="10"/>
        <v>0.91287092917527679</v>
      </c>
      <c r="W16" s="70">
        <f t="shared" si="11"/>
        <v>0.91287092917527679</v>
      </c>
      <c r="X16" s="70">
        <f t="shared" si="12"/>
        <v>0</v>
      </c>
      <c r="Y16" s="70">
        <f t="shared" si="13"/>
        <v>1.2909944487358056</v>
      </c>
      <c r="Z16" s="70">
        <f t="shared" si="14"/>
        <v>0</v>
      </c>
      <c r="AA16" s="69" t="str">
        <f t="shared" si="15"/>
        <v>Negligible</v>
      </c>
      <c r="AB16" s="69" t="str">
        <f t="shared" si="16"/>
        <v>Tidak Ada Indikasi Bias</v>
      </c>
    </row>
    <row r="17" spans="1:28" ht="37.5" customHeight="1" x14ac:dyDescent="0.35">
      <c r="A17" s="71" t="str">
        <f>ToT!A11</f>
        <v>7. Urutan tahapan di dalam implementasi Outcome Based Education (OBE) adalah</v>
      </c>
      <c r="B17" s="69">
        <f>ToT!B11</f>
        <v>0</v>
      </c>
      <c r="C17" s="69">
        <f>ToT!C11</f>
        <v>0</v>
      </c>
      <c r="D17" s="69">
        <f>ToT!D11</f>
        <v>1</v>
      </c>
      <c r="E17" s="69">
        <f>ToT!E11</f>
        <v>1</v>
      </c>
      <c r="F17" s="69">
        <f>ToT!F11</f>
        <v>0</v>
      </c>
      <c r="G17" s="69">
        <f>ToT!G11</f>
        <v>1</v>
      </c>
      <c r="H17" s="69">
        <f>ToT!H11</f>
        <v>1</v>
      </c>
      <c r="I17" s="69">
        <f>ToT!I11</f>
        <v>1</v>
      </c>
      <c r="J17" s="69">
        <f>ToT!J11</f>
        <v>0</v>
      </c>
      <c r="K17" s="69">
        <f>ToT!K11</f>
        <v>1</v>
      </c>
      <c r="L17" s="69">
        <f t="shared" si="0"/>
        <v>5</v>
      </c>
      <c r="M17" s="69">
        <f t="shared" si="1"/>
        <v>5</v>
      </c>
      <c r="N17" s="69">
        <f t="shared" si="2"/>
        <v>3</v>
      </c>
      <c r="O17" s="69">
        <f t="shared" si="3"/>
        <v>3</v>
      </c>
      <c r="P17" s="69">
        <f t="shared" si="4"/>
        <v>3</v>
      </c>
      <c r="Q17" s="69">
        <f t="shared" si="5"/>
        <v>3</v>
      </c>
      <c r="R17" s="70">
        <f t="shared" si="6"/>
        <v>-0.40546510810816444</v>
      </c>
      <c r="S17" s="70">
        <f t="shared" si="7"/>
        <v>-0.40546510810816444</v>
      </c>
      <c r="T17" s="70">
        <f t="shared" si="8"/>
        <v>-0.29626054958652714</v>
      </c>
      <c r="U17" s="70">
        <f t="shared" si="9"/>
        <v>-0.29626054958652714</v>
      </c>
      <c r="V17" s="70">
        <f t="shared" si="10"/>
        <v>0.91287092917527679</v>
      </c>
      <c r="W17" s="70">
        <f t="shared" si="11"/>
        <v>0.91287092917527679</v>
      </c>
      <c r="X17" s="70">
        <f t="shared" si="12"/>
        <v>0</v>
      </c>
      <c r="Y17" s="70">
        <f t="shared" si="13"/>
        <v>1.2909944487358056</v>
      </c>
      <c r="Z17" s="70">
        <f t="shared" si="14"/>
        <v>0</v>
      </c>
      <c r="AA17" s="69" t="str">
        <f t="shared" si="15"/>
        <v>Negligible</v>
      </c>
      <c r="AB17" s="69" t="str">
        <f t="shared" si="16"/>
        <v>Tidak Ada Indikasi Bias</v>
      </c>
    </row>
    <row r="18" spans="1:28" ht="37.5" x14ac:dyDescent="0.35">
      <c r="A18" s="71" t="str">
        <f>ToT!A12</f>
        <v>8. Apa yang dimaksud dengan tahapan "pengukuran dan evaluasi" dalam implementasi pembelajaran OBE?</v>
      </c>
      <c r="B18" s="69">
        <f>ToT!B12</f>
        <v>1</v>
      </c>
      <c r="C18" s="69">
        <f>ToT!C12</f>
        <v>1</v>
      </c>
      <c r="D18" s="69">
        <f>ToT!D12</f>
        <v>1</v>
      </c>
      <c r="E18" s="69">
        <f>ToT!E12</f>
        <v>1</v>
      </c>
      <c r="F18" s="69">
        <f>ToT!F12</f>
        <v>0</v>
      </c>
      <c r="G18" s="69">
        <f>ToT!G12</f>
        <v>0</v>
      </c>
      <c r="H18" s="69">
        <f>ToT!H12</f>
        <v>0</v>
      </c>
      <c r="I18" s="69">
        <f>ToT!I12</f>
        <v>0</v>
      </c>
      <c r="J18" s="69">
        <f>ToT!J12</f>
        <v>0</v>
      </c>
      <c r="K18" s="69">
        <f>ToT!K12</f>
        <v>0</v>
      </c>
      <c r="L18" s="69">
        <f t="shared" si="0"/>
        <v>5</v>
      </c>
      <c r="M18" s="69">
        <f t="shared" si="1"/>
        <v>5</v>
      </c>
      <c r="N18" s="69">
        <f t="shared" si="2"/>
        <v>2</v>
      </c>
      <c r="O18" s="69">
        <f t="shared" si="3"/>
        <v>2</v>
      </c>
      <c r="P18" s="69">
        <f t="shared" si="4"/>
        <v>2</v>
      </c>
      <c r="Q18" s="69">
        <f t="shared" si="5"/>
        <v>2</v>
      </c>
      <c r="R18" s="70">
        <f t="shared" si="6"/>
        <v>0.40546510810816438</v>
      </c>
      <c r="S18" s="70">
        <f t="shared" si="7"/>
        <v>0.40546510810816438</v>
      </c>
      <c r="T18" s="70">
        <f t="shared" si="8"/>
        <v>0.51466966662980163</v>
      </c>
      <c r="U18" s="70">
        <f t="shared" si="9"/>
        <v>0.51466966662980163</v>
      </c>
      <c r="V18" s="70">
        <f t="shared" si="10"/>
        <v>0.91287092917527679</v>
      </c>
      <c r="W18" s="70">
        <f t="shared" si="11"/>
        <v>0.91287092917527679</v>
      </c>
      <c r="X18" s="70">
        <f t="shared" si="12"/>
        <v>0</v>
      </c>
      <c r="Y18" s="70">
        <f t="shared" si="13"/>
        <v>1.2909944487358056</v>
      </c>
      <c r="Z18" s="70">
        <f t="shared" si="14"/>
        <v>0</v>
      </c>
      <c r="AA18" s="69" t="str">
        <f t="shared" si="15"/>
        <v>Negligible</v>
      </c>
      <c r="AB18" s="69" t="str">
        <f t="shared" si="16"/>
        <v>Tidak Ada Indikasi Bias</v>
      </c>
    </row>
    <row r="19" spans="1:28" ht="37.5" x14ac:dyDescent="0.35">
      <c r="A19" s="71" t="str">
        <f>ToT!A13</f>
        <v>9. Apa yang dimaksud dengan tujuan unit kerja dalam konteks pengembangan kompetensi?</v>
      </c>
      <c r="B19" s="69">
        <f>ToT!B13</f>
        <v>1</v>
      </c>
      <c r="C19" s="69">
        <f>ToT!C13</f>
        <v>0</v>
      </c>
      <c r="D19" s="69">
        <f>ToT!D13</f>
        <v>1</v>
      </c>
      <c r="E19" s="69">
        <f>ToT!E13</f>
        <v>1</v>
      </c>
      <c r="F19" s="69">
        <f>ToT!F13</f>
        <v>0</v>
      </c>
      <c r="G19" s="69">
        <f>ToT!G13</f>
        <v>1</v>
      </c>
      <c r="H19" s="69">
        <f>ToT!H13</f>
        <v>1</v>
      </c>
      <c r="I19" s="69">
        <f>ToT!I13</f>
        <v>1</v>
      </c>
      <c r="J19" s="69">
        <f>ToT!J13</f>
        <v>1</v>
      </c>
      <c r="K19" s="69">
        <f>ToT!K13</f>
        <v>1</v>
      </c>
      <c r="L19" s="69">
        <f t="shared" si="0"/>
        <v>5</v>
      </c>
      <c r="M19" s="69">
        <f t="shared" si="1"/>
        <v>5</v>
      </c>
      <c r="N19" s="69">
        <f t="shared" si="2"/>
        <v>4</v>
      </c>
      <c r="O19" s="69">
        <f t="shared" si="3"/>
        <v>4</v>
      </c>
      <c r="P19" s="69">
        <f t="shared" si="4"/>
        <v>4</v>
      </c>
      <c r="Q19" s="69">
        <f t="shared" si="5"/>
        <v>4</v>
      </c>
      <c r="R19" s="70">
        <f t="shared" si="6"/>
        <v>-1.3862943611198906</v>
      </c>
      <c r="S19" s="70">
        <f t="shared" si="7"/>
        <v>-1.3862943611198906</v>
      </c>
      <c r="T19" s="70">
        <f t="shared" si="8"/>
        <v>-1.2770898025982533</v>
      </c>
      <c r="U19" s="70">
        <f t="shared" si="9"/>
        <v>-1.2770898025982533</v>
      </c>
      <c r="V19" s="70">
        <f t="shared" si="10"/>
        <v>1.1180339887498949</v>
      </c>
      <c r="W19" s="70">
        <f t="shared" si="11"/>
        <v>1.1180339887498949</v>
      </c>
      <c r="X19" s="70">
        <f t="shared" si="12"/>
        <v>0</v>
      </c>
      <c r="Y19" s="70">
        <f t="shared" si="13"/>
        <v>1.5811388300841898</v>
      </c>
      <c r="Z19" s="70">
        <f t="shared" si="14"/>
        <v>0</v>
      </c>
      <c r="AA19" s="69" t="str">
        <f t="shared" si="15"/>
        <v>Negligible</v>
      </c>
      <c r="AB19" s="69" t="str">
        <f t="shared" si="16"/>
        <v>Tidak Ada Indikasi Bias</v>
      </c>
    </row>
    <row r="20" spans="1:28" ht="25" x14ac:dyDescent="0.35">
      <c r="A20" s="71" t="str">
        <f>ToT!A14</f>
        <v>10. Apa yang dimaksud dengan Capaian Pembelajaran Lulusan (CPL)</v>
      </c>
      <c r="B20" s="69">
        <f>ToT!B14</f>
        <v>1</v>
      </c>
      <c r="C20" s="69">
        <f>ToT!C14</f>
        <v>1</v>
      </c>
      <c r="D20" s="69">
        <f>ToT!D14</f>
        <v>1</v>
      </c>
      <c r="E20" s="69">
        <f>ToT!E14</f>
        <v>0</v>
      </c>
      <c r="F20" s="69">
        <f>ToT!F14</f>
        <v>1</v>
      </c>
      <c r="G20" s="69">
        <f>ToT!G14</f>
        <v>0</v>
      </c>
      <c r="H20" s="69">
        <f>ToT!H14</f>
        <v>0</v>
      </c>
      <c r="I20" s="69">
        <f>ToT!I14</f>
        <v>0</v>
      </c>
      <c r="J20" s="69">
        <f>ToT!J14</f>
        <v>0</v>
      </c>
      <c r="K20" s="69">
        <f>ToT!K14</f>
        <v>0</v>
      </c>
      <c r="L20" s="69">
        <f t="shared" si="0"/>
        <v>5</v>
      </c>
      <c r="M20" s="69">
        <f t="shared" si="1"/>
        <v>5</v>
      </c>
      <c r="N20" s="69">
        <f t="shared" si="2"/>
        <v>2</v>
      </c>
      <c r="O20" s="69">
        <f t="shared" si="3"/>
        <v>2</v>
      </c>
      <c r="P20" s="69">
        <f t="shared" si="4"/>
        <v>2</v>
      </c>
      <c r="Q20" s="69">
        <f t="shared" si="5"/>
        <v>2</v>
      </c>
      <c r="R20" s="70">
        <f t="shared" si="6"/>
        <v>0.40546510810816438</v>
      </c>
      <c r="S20" s="70">
        <f t="shared" si="7"/>
        <v>0.40546510810816438</v>
      </c>
      <c r="T20" s="70">
        <f t="shared" si="8"/>
        <v>0.51466966662980163</v>
      </c>
      <c r="U20" s="70">
        <f t="shared" si="9"/>
        <v>0.51466966662980163</v>
      </c>
      <c r="V20" s="70">
        <f t="shared" si="10"/>
        <v>0.91287092917527679</v>
      </c>
      <c r="W20" s="70">
        <f t="shared" si="11"/>
        <v>0.91287092917527679</v>
      </c>
      <c r="X20" s="70">
        <f t="shared" si="12"/>
        <v>0</v>
      </c>
      <c r="Y20" s="70">
        <f t="shared" si="13"/>
        <v>1.2909944487358056</v>
      </c>
      <c r="Z20" s="70">
        <f t="shared" si="14"/>
        <v>0</v>
      </c>
      <c r="AA20" s="69" t="str">
        <f t="shared" si="15"/>
        <v>Negligible</v>
      </c>
      <c r="AB20" s="69" t="str">
        <f t="shared" si="16"/>
        <v>Tidak Ada Indikasi Bias</v>
      </c>
    </row>
    <row r="21" spans="1:28" ht="37.5" x14ac:dyDescent="0.35">
      <c r="A21" s="71" t="str">
        <f>ToT!A15</f>
        <v>11. Mengapa penting untuk mengukur Capaian Pembelajaran Lulusan (CPL) dari aspek keilmuan, keterampilan, dan sikap?</v>
      </c>
      <c r="B21" s="69">
        <f>ToT!B15</f>
        <v>0</v>
      </c>
      <c r="C21" s="69">
        <f>ToT!C15</f>
        <v>0</v>
      </c>
      <c r="D21" s="69">
        <f>ToT!D15</f>
        <v>0</v>
      </c>
      <c r="E21" s="69">
        <f>ToT!E15</f>
        <v>0</v>
      </c>
      <c r="F21" s="69">
        <f>ToT!F15</f>
        <v>0</v>
      </c>
      <c r="G21" s="69">
        <f>ToT!G15</f>
        <v>0</v>
      </c>
      <c r="H21" s="69">
        <f>ToT!H15</f>
        <v>1</v>
      </c>
      <c r="I21" s="69">
        <f>ToT!I15</f>
        <v>1</v>
      </c>
      <c r="J21" s="69">
        <f>ToT!J15</f>
        <v>1</v>
      </c>
      <c r="K21" s="69">
        <f>ToT!K15</f>
        <v>1</v>
      </c>
      <c r="L21" s="69">
        <f t="shared" si="0"/>
        <v>5</v>
      </c>
      <c r="M21" s="69">
        <f t="shared" si="1"/>
        <v>5</v>
      </c>
      <c r="N21" s="69">
        <f t="shared" si="2"/>
        <v>2</v>
      </c>
      <c r="O21" s="69">
        <f t="shared" si="3"/>
        <v>2</v>
      </c>
      <c r="P21" s="69">
        <f t="shared" si="4"/>
        <v>2</v>
      </c>
      <c r="Q21" s="69">
        <f t="shared" si="5"/>
        <v>2</v>
      </c>
      <c r="R21" s="70">
        <f t="shared" si="6"/>
        <v>0.40546510810816438</v>
      </c>
      <c r="S21" s="70">
        <f t="shared" si="7"/>
        <v>0.40546510810816438</v>
      </c>
      <c r="T21" s="70">
        <f t="shared" si="8"/>
        <v>0.51466966662980163</v>
      </c>
      <c r="U21" s="70">
        <f t="shared" si="9"/>
        <v>0.51466966662980163</v>
      </c>
      <c r="V21" s="70">
        <f t="shared" si="10"/>
        <v>0.91287092917527679</v>
      </c>
      <c r="W21" s="70">
        <f t="shared" si="11"/>
        <v>0.91287092917527679</v>
      </c>
      <c r="X21" s="70">
        <f t="shared" si="12"/>
        <v>0</v>
      </c>
      <c r="Y21" s="70">
        <f t="shared" si="13"/>
        <v>1.2909944487358056</v>
      </c>
      <c r="Z21" s="70">
        <f t="shared" si="14"/>
        <v>0</v>
      </c>
      <c r="AA21" s="69" t="str">
        <f t="shared" si="15"/>
        <v>Negligible</v>
      </c>
      <c r="AB21" s="69" t="str">
        <f t="shared" si="16"/>
        <v>Tidak Ada Indikasi Bias</v>
      </c>
    </row>
    <row r="22" spans="1:28" ht="25" x14ac:dyDescent="0.35">
      <c r="A22" s="71" t="str">
        <f>ToT!A16</f>
        <v>12. Penyusunan CPL berdasarkan pada</v>
      </c>
      <c r="B22" s="69">
        <f>ToT!B16</f>
        <v>1</v>
      </c>
      <c r="C22" s="69">
        <f>ToT!C16</f>
        <v>0</v>
      </c>
      <c r="D22" s="69">
        <f>ToT!D16</f>
        <v>0</v>
      </c>
      <c r="E22" s="69">
        <f>ToT!E16</f>
        <v>1</v>
      </c>
      <c r="F22" s="69">
        <f>ToT!F16</f>
        <v>0</v>
      </c>
      <c r="G22" s="69">
        <f>ToT!G16</f>
        <v>0</v>
      </c>
      <c r="H22" s="69">
        <f>ToT!H16</f>
        <v>0</v>
      </c>
      <c r="I22" s="69">
        <f>ToT!I16</f>
        <v>0</v>
      </c>
      <c r="J22" s="69">
        <f>ToT!J16</f>
        <v>0</v>
      </c>
      <c r="K22" s="69">
        <f>ToT!K16</f>
        <v>0</v>
      </c>
      <c r="L22" s="69">
        <f t="shared" si="0"/>
        <v>5</v>
      </c>
      <c r="M22" s="69">
        <f t="shared" si="1"/>
        <v>5</v>
      </c>
      <c r="N22" s="69">
        <f t="shared" si="2"/>
        <v>1</v>
      </c>
      <c r="O22" s="69">
        <f t="shared" si="3"/>
        <v>1</v>
      </c>
      <c r="P22" s="69">
        <f t="shared" si="4"/>
        <v>1</v>
      </c>
      <c r="Q22" s="69">
        <f t="shared" si="5"/>
        <v>1</v>
      </c>
      <c r="R22" s="70">
        <f t="shared" si="6"/>
        <v>1.3862943611198906</v>
      </c>
      <c r="S22" s="70">
        <f t="shared" si="7"/>
        <v>1.3862943611198906</v>
      </c>
      <c r="T22" s="70">
        <f t="shared" si="8"/>
        <v>1.4954989196415278</v>
      </c>
      <c r="U22" s="70">
        <f t="shared" si="9"/>
        <v>1.4954989196415278</v>
      </c>
      <c r="V22" s="70">
        <f t="shared" si="10"/>
        <v>1.1180339887498949</v>
      </c>
      <c r="W22" s="70">
        <f t="shared" si="11"/>
        <v>1.1180339887498949</v>
      </c>
      <c r="X22" s="70">
        <f t="shared" si="12"/>
        <v>0</v>
      </c>
      <c r="Y22" s="70">
        <f t="shared" si="13"/>
        <v>1.5811388300841898</v>
      </c>
      <c r="Z22" s="70">
        <f t="shared" si="14"/>
        <v>0</v>
      </c>
      <c r="AA22" s="69" t="str">
        <f t="shared" si="15"/>
        <v>Negligible</v>
      </c>
      <c r="AB22" s="69" t="str">
        <f t="shared" si="16"/>
        <v>Tidak Ada Indikasi Bias</v>
      </c>
    </row>
    <row r="23" spans="1:28" ht="37.5" x14ac:dyDescent="0.35">
      <c r="A23" s="71" t="str">
        <f>ToT!A17</f>
        <v>13. Poin yang harus diperhatikan dalam penyusunan capaian pembelajaran lulusan meliputi</v>
      </c>
      <c r="B23" s="69">
        <f>ToT!B17</f>
        <v>0</v>
      </c>
      <c r="C23" s="69">
        <f>ToT!C17</f>
        <v>0</v>
      </c>
      <c r="D23" s="69">
        <f>ToT!D17</f>
        <v>1</v>
      </c>
      <c r="E23" s="69">
        <f>ToT!E17</f>
        <v>1</v>
      </c>
      <c r="F23" s="69">
        <f>ToT!F17</f>
        <v>0</v>
      </c>
      <c r="G23" s="69">
        <f>ToT!G17</f>
        <v>1</v>
      </c>
      <c r="H23" s="69">
        <f>ToT!H17</f>
        <v>1</v>
      </c>
      <c r="I23" s="69">
        <f>ToT!I17</f>
        <v>1</v>
      </c>
      <c r="J23" s="69">
        <f>ToT!J17</f>
        <v>0</v>
      </c>
      <c r="K23" s="69">
        <f>ToT!K17</f>
        <v>1</v>
      </c>
      <c r="L23" s="69">
        <f t="shared" si="0"/>
        <v>5</v>
      </c>
      <c r="M23" s="69">
        <f t="shared" si="1"/>
        <v>5</v>
      </c>
      <c r="N23" s="69">
        <f t="shared" si="2"/>
        <v>3</v>
      </c>
      <c r="O23" s="69">
        <f t="shared" si="3"/>
        <v>3</v>
      </c>
      <c r="P23" s="69">
        <f t="shared" si="4"/>
        <v>3</v>
      </c>
      <c r="Q23" s="69">
        <f t="shared" si="5"/>
        <v>3</v>
      </c>
      <c r="R23" s="70">
        <f t="shared" si="6"/>
        <v>-0.40546510810816444</v>
      </c>
      <c r="S23" s="70">
        <f t="shared" si="7"/>
        <v>-0.40546510810816444</v>
      </c>
      <c r="T23" s="70">
        <f t="shared" si="8"/>
        <v>-0.29626054958652714</v>
      </c>
      <c r="U23" s="70">
        <f t="shared" si="9"/>
        <v>-0.29626054958652714</v>
      </c>
      <c r="V23" s="70">
        <f t="shared" si="10"/>
        <v>0.91287092917527679</v>
      </c>
      <c r="W23" s="70">
        <f t="shared" si="11"/>
        <v>0.91287092917527679</v>
      </c>
      <c r="X23" s="70">
        <f t="shared" si="12"/>
        <v>0</v>
      </c>
      <c r="Y23" s="70">
        <f t="shared" si="13"/>
        <v>1.2909944487358056</v>
      </c>
      <c r="Z23" s="70">
        <f t="shared" si="14"/>
        <v>0</v>
      </c>
      <c r="AA23" s="69" t="str">
        <f t="shared" si="15"/>
        <v>Negligible</v>
      </c>
      <c r="AB23" s="69" t="str">
        <f t="shared" si="16"/>
        <v>Tidak Ada Indikasi Bias</v>
      </c>
    </row>
    <row r="24" spans="1:28" ht="37.5" x14ac:dyDescent="0.35">
      <c r="A24" s="71" t="str">
        <f>ToT!A18</f>
        <v>14. Bagaimana Capaian Pembelajaran Lulusan (CPL) dan Indikator Kinerja (IK) dapat disesuaikan dengan tujuan unit kerja</v>
      </c>
      <c r="B24" s="69">
        <f>ToT!B18</f>
        <v>0</v>
      </c>
      <c r="C24" s="69">
        <f>ToT!C18</f>
        <v>0</v>
      </c>
      <c r="D24" s="69">
        <f>ToT!D18</f>
        <v>1</v>
      </c>
      <c r="E24" s="69">
        <f>ToT!E18</f>
        <v>0</v>
      </c>
      <c r="F24" s="69">
        <f>ToT!F18</f>
        <v>0</v>
      </c>
      <c r="G24" s="69">
        <f>ToT!G18</f>
        <v>1</v>
      </c>
      <c r="H24" s="69">
        <f>ToT!H18</f>
        <v>0</v>
      </c>
      <c r="I24" s="69">
        <f>ToT!I18</f>
        <v>1</v>
      </c>
      <c r="J24" s="69">
        <f>ToT!J18</f>
        <v>0</v>
      </c>
      <c r="K24" s="69">
        <f>ToT!K18</f>
        <v>1</v>
      </c>
      <c r="L24" s="69">
        <f t="shared" si="0"/>
        <v>5</v>
      </c>
      <c r="M24" s="69">
        <f t="shared" si="1"/>
        <v>5</v>
      </c>
      <c r="N24" s="69">
        <f t="shared" si="2"/>
        <v>2</v>
      </c>
      <c r="O24" s="69">
        <f t="shared" si="3"/>
        <v>2</v>
      </c>
      <c r="P24" s="69">
        <f t="shared" si="4"/>
        <v>2</v>
      </c>
      <c r="Q24" s="69">
        <f t="shared" si="5"/>
        <v>2</v>
      </c>
      <c r="R24" s="70">
        <f t="shared" si="6"/>
        <v>0.40546510810816438</v>
      </c>
      <c r="S24" s="70">
        <f t="shared" si="7"/>
        <v>0.40546510810816438</v>
      </c>
      <c r="T24" s="70">
        <f t="shared" si="8"/>
        <v>0.51466966662980163</v>
      </c>
      <c r="U24" s="70">
        <f t="shared" si="9"/>
        <v>0.51466966662980163</v>
      </c>
      <c r="V24" s="70">
        <f t="shared" si="10"/>
        <v>0.91287092917527679</v>
      </c>
      <c r="W24" s="70">
        <f t="shared" si="11"/>
        <v>0.91287092917527679</v>
      </c>
      <c r="X24" s="70">
        <f t="shared" si="12"/>
        <v>0</v>
      </c>
      <c r="Y24" s="70">
        <f t="shared" si="13"/>
        <v>1.2909944487358056</v>
      </c>
      <c r="Z24" s="70">
        <f t="shared" si="14"/>
        <v>0</v>
      </c>
      <c r="AA24" s="69" t="str">
        <f t="shared" si="15"/>
        <v>Negligible</v>
      </c>
      <c r="AB24" s="69" t="str">
        <f t="shared" si="16"/>
        <v>Tidak Ada Indikasi Bias</v>
      </c>
    </row>
    <row r="25" spans="1:28" ht="75" customHeight="1" x14ac:dyDescent="0.35">
      <c r="A25" s="71" t="str">
        <f>ToT!A19</f>
        <v>15. Bagaimana hubungan antara Capaian Pembelajaran Lulusan (CPL) dan Capaian Pembelajaran Mata Kuliah (CPMK)?</v>
      </c>
      <c r="B25" s="69">
        <f>ToT!B19</f>
        <v>0</v>
      </c>
      <c r="C25" s="69">
        <f>ToT!C19</f>
        <v>1</v>
      </c>
      <c r="D25" s="69">
        <f>ToT!D19</f>
        <v>0</v>
      </c>
      <c r="E25" s="69">
        <f>ToT!E19</f>
        <v>0</v>
      </c>
      <c r="F25" s="69">
        <f>ToT!F19</f>
        <v>1</v>
      </c>
      <c r="G25" s="69">
        <f>ToT!G19</f>
        <v>1</v>
      </c>
      <c r="H25" s="69">
        <f>ToT!H19</f>
        <v>0</v>
      </c>
      <c r="I25" s="69">
        <f>ToT!I19</f>
        <v>1</v>
      </c>
      <c r="J25" s="69">
        <f>ToT!J19</f>
        <v>1</v>
      </c>
      <c r="K25" s="69">
        <f>ToT!K19</f>
        <v>1</v>
      </c>
      <c r="L25" s="69">
        <f t="shared" si="0"/>
        <v>5</v>
      </c>
      <c r="M25" s="69">
        <f t="shared" si="1"/>
        <v>5</v>
      </c>
      <c r="N25" s="69">
        <f t="shared" si="2"/>
        <v>3</v>
      </c>
      <c r="O25" s="69">
        <f t="shared" si="3"/>
        <v>3</v>
      </c>
      <c r="P25" s="69">
        <f t="shared" si="4"/>
        <v>3</v>
      </c>
      <c r="Q25" s="69">
        <f t="shared" si="5"/>
        <v>3</v>
      </c>
      <c r="R25" s="70">
        <f t="shared" si="6"/>
        <v>-0.40546510810816444</v>
      </c>
      <c r="S25" s="70">
        <f t="shared" si="7"/>
        <v>-0.40546510810816444</v>
      </c>
      <c r="T25" s="70">
        <f t="shared" si="8"/>
        <v>-0.29626054958652714</v>
      </c>
      <c r="U25" s="70">
        <f t="shared" si="9"/>
        <v>-0.29626054958652714</v>
      </c>
      <c r="V25" s="70">
        <f t="shared" si="10"/>
        <v>0.91287092917527679</v>
      </c>
      <c r="W25" s="70">
        <f t="shared" si="11"/>
        <v>0.91287092917527679</v>
      </c>
      <c r="X25" s="70">
        <f t="shared" si="12"/>
        <v>0</v>
      </c>
      <c r="Y25" s="70">
        <f t="shared" si="13"/>
        <v>1.2909944487358056</v>
      </c>
      <c r="Z25" s="70">
        <f t="shared" si="14"/>
        <v>0</v>
      </c>
      <c r="AA25" s="69" t="str">
        <f t="shared" si="15"/>
        <v>Negligible</v>
      </c>
      <c r="AB25" s="69" t="str">
        <f t="shared" si="16"/>
        <v>Tidak Ada Indikasi Bias</v>
      </c>
    </row>
    <row r="26" spans="1:28" ht="37.5" x14ac:dyDescent="0.35">
      <c r="A26" s="71" t="str">
        <f>ToT!A20</f>
        <v>16. Mengapa penting untuk melakukan pemetaan hubungan antara CPL, IK, dan CPMK</v>
      </c>
      <c r="B26" s="69">
        <f>ToT!B20</f>
        <v>0</v>
      </c>
      <c r="C26" s="69">
        <f>ToT!C20</f>
        <v>0</v>
      </c>
      <c r="D26" s="69">
        <f>ToT!D20</f>
        <v>1</v>
      </c>
      <c r="E26" s="69">
        <f>ToT!E20</f>
        <v>0</v>
      </c>
      <c r="F26" s="69">
        <f>ToT!F20</f>
        <v>0</v>
      </c>
      <c r="G26" s="69">
        <f>ToT!G20</f>
        <v>0</v>
      </c>
      <c r="H26" s="69">
        <f>ToT!H20</f>
        <v>1</v>
      </c>
      <c r="I26" s="69">
        <f>ToT!I20</f>
        <v>1</v>
      </c>
      <c r="J26" s="69">
        <f>ToT!J20</f>
        <v>1</v>
      </c>
      <c r="K26" s="69">
        <f>ToT!K20</f>
        <v>0</v>
      </c>
      <c r="L26" s="69">
        <f t="shared" si="0"/>
        <v>5</v>
      </c>
      <c r="M26" s="69">
        <f t="shared" si="1"/>
        <v>5</v>
      </c>
      <c r="N26" s="69">
        <f t="shared" si="2"/>
        <v>2</v>
      </c>
      <c r="O26" s="69">
        <f t="shared" si="3"/>
        <v>2</v>
      </c>
      <c r="P26" s="69">
        <f t="shared" si="4"/>
        <v>2</v>
      </c>
      <c r="Q26" s="69">
        <f t="shared" si="5"/>
        <v>2</v>
      </c>
      <c r="R26" s="70">
        <f t="shared" si="6"/>
        <v>0.40546510810816438</v>
      </c>
      <c r="S26" s="70">
        <f t="shared" si="7"/>
        <v>0.40546510810816438</v>
      </c>
      <c r="T26" s="70">
        <f t="shared" si="8"/>
        <v>0.51466966662980163</v>
      </c>
      <c r="U26" s="70">
        <f t="shared" si="9"/>
        <v>0.51466966662980163</v>
      </c>
      <c r="V26" s="70">
        <f t="shared" si="10"/>
        <v>0.91287092917527679</v>
      </c>
      <c r="W26" s="70">
        <f t="shared" si="11"/>
        <v>0.91287092917527679</v>
      </c>
      <c r="X26" s="70">
        <f t="shared" si="12"/>
        <v>0</v>
      </c>
      <c r="Y26" s="70">
        <f t="shared" si="13"/>
        <v>1.2909944487358056</v>
      </c>
      <c r="Z26" s="70">
        <f t="shared" si="14"/>
        <v>0</v>
      </c>
      <c r="AA26" s="69" t="str">
        <f t="shared" si="15"/>
        <v>Negligible</v>
      </c>
      <c r="AB26" s="69" t="str">
        <f t="shared" si="16"/>
        <v>Tidak Ada Indikasi Bias</v>
      </c>
    </row>
    <row r="27" spans="1:28" ht="75" customHeight="1" x14ac:dyDescent="0.35">
      <c r="A27" s="71" t="str">
        <f>ToT!A21</f>
        <v>17. Apa yang akan dilakukan setelah hasil analisis CPL dan IK disusun secara spesifik menjadi CPMK</v>
      </c>
      <c r="B27" s="69">
        <f>ToT!B21</f>
        <v>0</v>
      </c>
      <c r="C27" s="69">
        <f>ToT!C21</f>
        <v>0</v>
      </c>
      <c r="D27" s="69">
        <f>ToT!D21</f>
        <v>0</v>
      </c>
      <c r="E27" s="69">
        <f>ToT!E21</f>
        <v>0</v>
      </c>
      <c r="F27" s="69">
        <f>ToT!F21</f>
        <v>0</v>
      </c>
      <c r="G27" s="69">
        <f>ToT!G21</f>
        <v>0</v>
      </c>
      <c r="H27" s="69">
        <f>ToT!H21</f>
        <v>1</v>
      </c>
      <c r="I27" s="69">
        <f>ToT!I21</f>
        <v>1</v>
      </c>
      <c r="J27" s="69">
        <f>ToT!J21</f>
        <v>1</v>
      </c>
      <c r="K27" s="69">
        <f>ToT!K21</f>
        <v>1</v>
      </c>
      <c r="L27" s="69">
        <f t="shared" si="0"/>
        <v>5</v>
      </c>
      <c r="M27" s="69">
        <f t="shared" si="1"/>
        <v>5</v>
      </c>
      <c r="N27" s="69">
        <f t="shared" si="2"/>
        <v>2</v>
      </c>
      <c r="O27" s="69">
        <f t="shared" si="3"/>
        <v>2</v>
      </c>
      <c r="P27" s="69">
        <f t="shared" si="4"/>
        <v>2</v>
      </c>
      <c r="Q27" s="69">
        <f t="shared" si="5"/>
        <v>2</v>
      </c>
      <c r="R27" s="70">
        <f t="shared" si="6"/>
        <v>0.40546510810816438</v>
      </c>
      <c r="S27" s="70">
        <f t="shared" si="7"/>
        <v>0.40546510810816438</v>
      </c>
      <c r="T27" s="70">
        <f t="shared" si="8"/>
        <v>0.51466966662980163</v>
      </c>
      <c r="U27" s="70">
        <f t="shared" si="9"/>
        <v>0.51466966662980163</v>
      </c>
      <c r="V27" s="70">
        <f t="shared" si="10"/>
        <v>0.91287092917527679</v>
      </c>
      <c r="W27" s="70">
        <f t="shared" si="11"/>
        <v>0.91287092917527679</v>
      </c>
      <c r="X27" s="70">
        <f t="shared" si="12"/>
        <v>0</v>
      </c>
      <c r="Y27" s="70">
        <f t="shared" si="13"/>
        <v>1.2909944487358056</v>
      </c>
      <c r="Z27" s="70">
        <f t="shared" si="14"/>
        <v>0</v>
      </c>
      <c r="AA27" s="69" t="str">
        <f t="shared" si="15"/>
        <v>Negligible</v>
      </c>
      <c r="AB27" s="69" t="str">
        <f t="shared" si="16"/>
        <v>Tidak Ada Indikasi Bias</v>
      </c>
    </row>
    <row r="28" spans="1:28" ht="37.5" x14ac:dyDescent="0.35">
      <c r="A28" s="71" t="str">
        <f>ToT!A22</f>
        <v>18. Bagaimana cara menghitung pemenuhan Capaian Pembelajaran Lulusan (CPL)</v>
      </c>
      <c r="B28" s="69">
        <f>ToT!B22</f>
        <v>1</v>
      </c>
      <c r="C28" s="69">
        <f>ToT!C22</f>
        <v>1</v>
      </c>
      <c r="D28" s="69">
        <f>ToT!D22</f>
        <v>1</v>
      </c>
      <c r="E28" s="69">
        <f>ToT!E22</f>
        <v>0</v>
      </c>
      <c r="F28" s="69">
        <f>ToT!F22</f>
        <v>1</v>
      </c>
      <c r="G28" s="69">
        <f>ToT!G22</f>
        <v>0</v>
      </c>
      <c r="H28" s="69">
        <f>ToT!H22</f>
        <v>1</v>
      </c>
      <c r="I28" s="69">
        <f>ToT!I22</f>
        <v>0</v>
      </c>
      <c r="J28" s="69">
        <f>ToT!J22</f>
        <v>0</v>
      </c>
      <c r="K28" s="69">
        <f>ToT!K22</f>
        <v>1</v>
      </c>
      <c r="L28" s="69">
        <f t="shared" si="0"/>
        <v>5</v>
      </c>
      <c r="M28" s="69">
        <f t="shared" si="1"/>
        <v>5</v>
      </c>
      <c r="N28" s="69">
        <f t="shared" si="2"/>
        <v>3</v>
      </c>
      <c r="O28" s="69">
        <f t="shared" si="3"/>
        <v>3</v>
      </c>
      <c r="P28" s="69">
        <f t="shared" si="4"/>
        <v>3</v>
      </c>
      <c r="Q28" s="69">
        <f t="shared" si="5"/>
        <v>3</v>
      </c>
      <c r="R28" s="70">
        <f t="shared" si="6"/>
        <v>-0.40546510810816444</v>
      </c>
      <c r="S28" s="70">
        <f t="shared" si="7"/>
        <v>-0.40546510810816444</v>
      </c>
      <c r="T28" s="70">
        <f t="shared" si="8"/>
        <v>-0.29626054958652714</v>
      </c>
      <c r="U28" s="70">
        <f t="shared" si="9"/>
        <v>-0.29626054958652714</v>
      </c>
      <c r="V28" s="70">
        <f t="shared" si="10"/>
        <v>0.91287092917527679</v>
      </c>
      <c r="W28" s="70">
        <f t="shared" si="11"/>
        <v>0.91287092917527679</v>
      </c>
      <c r="X28" s="70">
        <f t="shared" si="12"/>
        <v>0</v>
      </c>
      <c r="Y28" s="70">
        <f t="shared" si="13"/>
        <v>1.2909944487358056</v>
      </c>
      <c r="Z28" s="70">
        <f t="shared" si="14"/>
        <v>0</v>
      </c>
      <c r="AA28" s="69" t="str">
        <f t="shared" si="15"/>
        <v>Negligible</v>
      </c>
      <c r="AB28" s="69" t="str">
        <f t="shared" si="16"/>
        <v>Tidak Ada Indikasi Bias</v>
      </c>
    </row>
    <row r="29" spans="1:28" ht="37.5" x14ac:dyDescent="0.35">
      <c r="A29" s="71" t="str">
        <f>ToT!A23</f>
        <v>19. Kapan suatu Capaian Pembelajaran Lulusan (CPL) diberi predikat "Sangat Baik"</v>
      </c>
      <c r="B29" s="69">
        <f>ToT!B23</f>
        <v>1</v>
      </c>
      <c r="C29" s="69">
        <f>ToT!C23</f>
        <v>0</v>
      </c>
      <c r="D29" s="69">
        <f>ToT!D23</f>
        <v>1</v>
      </c>
      <c r="E29" s="69">
        <f>ToT!E23</f>
        <v>1</v>
      </c>
      <c r="F29" s="69">
        <f>ToT!F23</f>
        <v>1</v>
      </c>
      <c r="G29" s="69">
        <f>ToT!G23</f>
        <v>0</v>
      </c>
      <c r="H29" s="69">
        <f>ToT!H23</f>
        <v>1</v>
      </c>
      <c r="I29" s="69">
        <f>ToT!I23</f>
        <v>1</v>
      </c>
      <c r="J29" s="69">
        <f>ToT!J23</f>
        <v>0</v>
      </c>
      <c r="K29" s="69">
        <f>ToT!K23</f>
        <v>0</v>
      </c>
      <c r="L29" s="69">
        <f t="shared" si="0"/>
        <v>5</v>
      </c>
      <c r="M29" s="69">
        <f t="shared" si="1"/>
        <v>5</v>
      </c>
      <c r="N29" s="69">
        <f t="shared" si="2"/>
        <v>3</v>
      </c>
      <c r="O29" s="69">
        <f t="shared" si="3"/>
        <v>3</v>
      </c>
      <c r="P29" s="69">
        <f t="shared" si="4"/>
        <v>3</v>
      </c>
      <c r="Q29" s="69">
        <f t="shared" si="5"/>
        <v>3</v>
      </c>
      <c r="R29" s="70">
        <f t="shared" si="6"/>
        <v>-0.40546510810816444</v>
      </c>
      <c r="S29" s="70">
        <f t="shared" si="7"/>
        <v>-0.40546510810816444</v>
      </c>
      <c r="T29" s="70">
        <f t="shared" si="8"/>
        <v>-0.29626054958652714</v>
      </c>
      <c r="U29" s="70">
        <f t="shared" si="9"/>
        <v>-0.29626054958652714</v>
      </c>
      <c r="V29" s="70">
        <f t="shared" si="10"/>
        <v>0.91287092917527679</v>
      </c>
      <c r="W29" s="70">
        <f t="shared" si="11"/>
        <v>0.91287092917527679</v>
      </c>
      <c r="X29" s="70">
        <f t="shared" si="12"/>
        <v>0</v>
      </c>
      <c r="Y29" s="70">
        <f t="shared" si="13"/>
        <v>1.2909944487358056</v>
      </c>
      <c r="Z29" s="70">
        <f t="shared" si="14"/>
        <v>0</v>
      </c>
      <c r="AA29" s="69" t="str">
        <f t="shared" si="15"/>
        <v>Negligible</v>
      </c>
      <c r="AB29" s="69" t="str">
        <f t="shared" si="16"/>
        <v>Tidak Ada Indikasi Bias</v>
      </c>
    </row>
    <row r="30" spans="1:28" ht="25" x14ac:dyDescent="0.35">
      <c r="A30" s="71" t="str">
        <f>ToT!A24</f>
        <v>20. Syarat dalam perumusan CPMK dan Sub-CPMK adalah</v>
      </c>
      <c r="B30" s="69">
        <f>ToT!B24</f>
        <v>1</v>
      </c>
      <c r="C30" s="69">
        <f>ToT!C24</f>
        <v>1</v>
      </c>
      <c r="D30" s="69">
        <f>ToT!D24</f>
        <v>0</v>
      </c>
      <c r="E30" s="69">
        <f>ToT!E24</f>
        <v>1</v>
      </c>
      <c r="F30" s="69">
        <f>ToT!F24</f>
        <v>1</v>
      </c>
      <c r="G30" s="69">
        <f>ToT!G24</f>
        <v>0</v>
      </c>
      <c r="H30" s="69">
        <f>ToT!H24</f>
        <v>0</v>
      </c>
      <c r="I30" s="69">
        <f>ToT!I24</f>
        <v>1</v>
      </c>
      <c r="J30" s="69">
        <f>ToT!J24</f>
        <v>0</v>
      </c>
      <c r="K30" s="69">
        <f>ToT!K24</f>
        <v>1</v>
      </c>
      <c r="L30" s="69">
        <f t="shared" si="0"/>
        <v>5</v>
      </c>
      <c r="M30" s="69">
        <f t="shared" si="1"/>
        <v>5</v>
      </c>
      <c r="N30" s="69">
        <f t="shared" si="2"/>
        <v>3</v>
      </c>
      <c r="O30" s="69">
        <f t="shared" si="3"/>
        <v>3</v>
      </c>
      <c r="P30" s="69">
        <f t="shared" si="4"/>
        <v>3</v>
      </c>
      <c r="Q30" s="69">
        <f t="shared" si="5"/>
        <v>3</v>
      </c>
      <c r="R30" s="70">
        <f t="shared" si="6"/>
        <v>-0.40546510810816444</v>
      </c>
      <c r="S30" s="70">
        <f t="shared" si="7"/>
        <v>-0.40546510810816444</v>
      </c>
      <c r="T30" s="70">
        <f t="shared" si="8"/>
        <v>-0.29626054958652714</v>
      </c>
      <c r="U30" s="70">
        <f t="shared" si="9"/>
        <v>-0.29626054958652714</v>
      </c>
      <c r="V30" s="70">
        <f t="shared" si="10"/>
        <v>0.91287092917527679</v>
      </c>
      <c r="W30" s="70">
        <f t="shared" si="11"/>
        <v>0.91287092917527679</v>
      </c>
      <c r="X30" s="70">
        <f t="shared" si="12"/>
        <v>0</v>
      </c>
      <c r="Y30" s="70">
        <f t="shared" si="13"/>
        <v>1.2909944487358056</v>
      </c>
      <c r="Z30" s="70">
        <f t="shared" si="14"/>
        <v>0</v>
      </c>
      <c r="AA30" s="69" t="str">
        <f t="shared" si="15"/>
        <v>Negligible</v>
      </c>
      <c r="AB30" s="69" t="str">
        <f t="shared" si="16"/>
        <v>Tidak Ada Indikasi Bias</v>
      </c>
    </row>
    <row r="31" spans="1:28" ht="25" x14ac:dyDescent="0.35">
      <c r="A31" s="71" t="str">
        <f>ToT!A25</f>
        <v>21. Karakteristik perumusan CPMK dan Sub-CPMK adalah</v>
      </c>
      <c r="B31" s="69">
        <f>ToT!B25</f>
        <v>0</v>
      </c>
      <c r="C31" s="69">
        <f>ToT!C25</f>
        <v>0</v>
      </c>
      <c r="D31" s="69">
        <f>ToT!D25</f>
        <v>0</v>
      </c>
      <c r="E31" s="69">
        <f>ToT!E25</f>
        <v>0</v>
      </c>
      <c r="F31" s="69">
        <f>ToT!F25</f>
        <v>0</v>
      </c>
      <c r="G31" s="69">
        <f>ToT!G25</f>
        <v>1</v>
      </c>
      <c r="H31" s="69">
        <f>ToT!H25</f>
        <v>1</v>
      </c>
      <c r="I31" s="69">
        <f>ToT!I25</f>
        <v>0</v>
      </c>
      <c r="J31" s="69">
        <f>ToT!J25</f>
        <v>1</v>
      </c>
      <c r="K31" s="69">
        <f>ToT!K25</f>
        <v>1</v>
      </c>
      <c r="L31" s="69">
        <f t="shared" si="0"/>
        <v>5</v>
      </c>
      <c r="M31" s="69">
        <f t="shared" si="1"/>
        <v>5</v>
      </c>
      <c r="N31" s="69">
        <f t="shared" si="2"/>
        <v>2</v>
      </c>
      <c r="O31" s="69">
        <f t="shared" si="3"/>
        <v>2</v>
      </c>
      <c r="P31" s="69">
        <f t="shared" si="4"/>
        <v>2</v>
      </c>
      <c r="Q31" s="69">
        <f t="shared" si="5"/>
        <v>2</v>
      </c>
      <c r="R31" s="70">
        <f t="shared" si="6"/>
        <v>0.40546510810816438</v>
      </c>
      <c r="S31" s="70">
        <f t="shared" si="7"/>
        <v>0.40546510810816438</v>
      </c>
      <c r="T31" s="70">
        <f t="shared" si="8"/>
        <v>0.51466966662980163</v>
      </c>
      <c r="U31" s="70">
        <f t="shared" si="9"/>
        <v>0.51466966662980163</v>
      </c>
      <c r="V31" s="70">
        <f t="shared" si="10"/>
        <v>0.91287092917527679</v>
      </c>
      <c r="W31" s="70">
        <f t="shared" si="11"/>
        <v>0.91287092917527679</v>
      </c>
      <c r="X31" s="70">
        <f t="shared" si="12"/>
        <v>0</v>
      </c>
      <c r="Y31" s="70">
        <f t="shared" si="13"/>
        <v>1.2909944487358056</v>
      </c>
      <c r="Z31" s="70">
        <f t="shared" si="14"/>
        <v>0</v>
      </c>
      <c r="AA31" s="69" t="str">
        <f t="shared" si="15"/>
        <v>Negligible</v>
      </c>
      <c r="AB31" s="69" t="str">
        <f t="shared" si="16"/>
        <v>Tidak Ada Indikasi Bias</v>
      </c>
    </row>
    <row r="32" spans="1:28" ht="37.5" customHeight="1" x14ac:dyDescent="0.35">
      <c r="A32" s="71" t="str">
        <f>ToT!A26</f>
        <v>22. Mengapa penting untuk menyusun materi pembelajaran (sub-CPMK) berdasarkan Capaian Pembelajaran Mata Kuliah (CPMK)</v>
      </c>
      <c r="B32" s="69">
        <f>ToT!B26</f>
        <v>0</v>
      </c>
      <c r="C32" s="69">
        <f>ToT!C26</f>
        <v>0</v>
      </c>
      <c r="D32" s="69">
        <f>ToT!D26</f>
        <v>1</v>
      </c>
      <c r="E32" s="69">
        <f>ToT!E26</f>
        <v>0</v>
      </c>
      <c r="F32" s="69">
        <f>ToT!F26</f>
        <v>0</v>
      </c>
      <c r="G32" s="69">
        <f>ToT!G26</f>
        <v>1</v>
      </c>
      <c r="H32" s="69">
        <f>ToT!H26</f>
        <v>0</v>
      </c>
      <c r="I32" s="69">
        <f>ToT!I26</f>
        <v>1</v>
      </c>
      <c r="J32" s="69">
        <f>ToT!J26</f>
        <v>1</v>
      </c>
      <c r="K32" s="69">
        <f>ToT!K26</f>
        <v>0</v>
      </c>
      <c r="L32" s="69">
        <f t="shared" si="0"/>
        <v>5</v>
      </c>
      <c r="M32" s="69">
        <f t="shared" si="1"/>
        <v>5</v>
      </c>
      <c r="N32" s="69">
        <f t="shared" si="2"/>
        <v>2</v>
      </c>
      <c r="O32" s="69">
        <f t="shared" si="3"/>
        <v>2</v>
      </c>
      <c r="P32" s="69">
        <f t="shared" si="4"/>
        <v>2</v>
      </c>
      <c r="Q32" s="69">
        <f t="shared" si="5"/>
        <v>2</v>
      </c>
      <c r="R32" s="70">
        <f t="shared" si="6"/>
        <v>0.40546510810816438</v>
      </c>
      <c r="S32" s="70">
        <f t="shared" si="7"/>
        <v>0.40546510810816438</v>
      </c>
      <c r="T32" s="70">
        <f t="shared" si="8"/>
        <v>0.51466966662980163</v>
      </c>
      <c r="U32" s="70">
        <f t="shared" si="9"/>
        <v>0.51466966662980163</v>
      </c>
      <c r="V32" s="70">
        <f t="shared" si="10"/>
        <v>0.91287092917527679</v>
      </c>
      <c r="W32" s="70">
        <f t="shared" si="11"/>
        <v>0.91287092917527679</v>
      </c>
      <c r="X32" s="70">
        <f t="shared" si="12"/>
        <v>0</v>
      </c>
      <c r="Y32" s="70">
        <f t="shared" si="13"/>
        <v>1.2909944487358056</v>
      </c>
      <c r="Z32" s="70">
        <f t="shared" si="14"/>
        <v>0</v>
      </c>
      <c r="AA32" s="69" t="str">
        <f t="shared" si="15"/>
        <v>Negligible</v>
      </c>
      <c r="AB32" s="69" t="str">
        <f t="shared" si="16"/>
        <v>Tidak Ada Indikasi Bias</v>
      </c>
    </row>
    <row r="33" spans="1:28" ht="37.5" customHeight="1" x14ac:dyDescent="0.35">
      <c r="A33" s="71" t="str">
        <f>ToT!A27</f>
        <v>23. Pelaksanaan pembelajaran Outcome Based Education (OBE) untuk pemenuhan Capaian Pembelajaran Lulusan (CPL) diutamakan pada pendekatan</v>
      </c>
      <c r="B33" s="69">
        <f>ToT!B27</f>
        <v>1</v>
      </c>
      <c r="C33" s="69">
        <f>ToT!C27</f>
        <v>0</v>
      </c>
      <c r="D33" s="69">
        <f>ToT!D27</f>
        <v>1</v>
      </c>
      <c r="E33" s="69">
        <f>ToT!E27</f>
        <v>0</v>
      </c>
      <c r="F33" s="69">
        <f>ToT!F27</f>
        <v>0</v>
      </c>
      <c r="G33" s="69">
        <f>ToT!G27</f>
        <v>0</v>
      </c>
      <c r="H33" s="69">
        <f>ToT!H27</f>
        <v>1</v>
      </c>
      <c r="I33" s="69">
        <f>ToT!I27</f>
        <v>1</v>
      </c>
      <c r="J33" s="69">
        <f>ToT!J27</f>
        <v>1</v>
      </c>
      <c r="K33" s="69">
        <f>ToT!K27</f>
        <v>1</v>
      </c>
      <c r="L33" s="69">
        <f t="shared" si="0"/>
        <v>5</v>
      </c>
      <c r="M33" s="69">
        <f t="shared" si="1"/>
        <v>5</v>
      </c>
      <c r="N33" s="69">
        <f t="shared" si="2"/>
        <v>3</v>
      </c>
      <c r="O33" s="69">
        <f t="shared" si="3"/>
        <v>3</v>
      </c>
      <c r="P33" s="69">
        <f t="shared" si="4"/>
        <v>3</v>
      </c>
      <c r="Q33" s="69">
        <f t="shared" si="5"/>
        <v>3</v>
      </c>
      <c r="R33" s="70">
        <f t="shared" si="6"/>
        <v>-0.40546510810816444</v>
      </c>
      <c r="S33" s="70">
        <f t="shared" si="7"/>
        <v>-0.40546510810816444</v>
      </c>
      <c r="T33" s="70">
        <f t="shared" si="8"/>
        <v>-0.29626054958652714</v>
      </c>
      <c r="U33" s="70">
        <f t="shared" si="9"/>
        <v>-0.29626054958652714</v>
      </c>
      <c r="V33" s="70">
        <f t="shared" si="10"/>
        <v>0.91287092917527679</v>
      </c>
      <c r="W33" s="70">
        <f t="shared" si="11"/>
        <v>0.91287092917527679</v>
      </c>
      <c r="X33" s="70">
        <f t="shared" si="12"/>
        <v>0</v>
      </c>
      <c r="Y33" s="70">
        <f t="shared" si="13"/>
        <v>1.2909944487358056</v>
      </c>
      <c r="Z33" s="70">
        <f t="shared" si="14"/>
        <v>0</v>
      </c>
      <c r="AA33" s="69" t="str">
        <f t="shared" si="15"/>
        <v>Negligible</v>
      </c>
      <c r="AB33" s="69" t="str">
        <f t="shared" si="16"/>
        <v>Tidak Ada Indikasi Bias</v>
      </c>
    </row>
    <row r="34" spans="1:28" ht="37.5" x14ac:dyDescent="0.35">
      <c r="A34" s="71" t="str">
        <f>ToT!A28</f>
        <v>24. Dalam pembelajaran proyek berbasis kelompok (team based project), mahasiswa belajar dengan cara</v>
      </c>
      <c r="B34" s="69">
        <f>ToT!B28</f>
        <v>0</v>
      </c>
      <c r="C34" s="69">
        <f>ToT!C28</f>
        <v>0</v>
      </c>
      <c r="D34" s="69">
        <f>ToT!D28</f>
        <v>1</v>
      </c>
      <c r="E34" s="69">
        <f>ToT!E28</f>
        <v>0</v>
      </c>
      <c r="F34" s="69">
        <f>ToT!F28</f>
        <v>0</v>
      </c>
      <c r="G34" s="69">
        <f>ToT!G28</f>
        <v>0</v>
      </c>
      <c r="H34" s="69">
        <f>ToT!H28</f>
        <v>1</v>
      </c>
      <c r="I34" s="69">
        <f>ToT!I28</f>
        <v>1</v>
      </c>
      <c r="J34" s="69">
        <f>ToT!J28</f>
        <v>1</v>
      </c>
      <c r="K34" s="69">
        <f>ToT!K28</f>
        <v>0</v>
      </c>
      <c r="L34" s="69">
        <f t="shared" si="0"/>
        <v>5</v>
      </c>
      <c r="M34" s="69">
        <f t="shared" si="1"/>
        <v>5</v>
      </c>
      <c r="N34" s="69">
        <f t="shared" si="2"/>
        <v>2</v>
      </c>
      <c r="O34" s="69">
        <f t="shared" si="3"/>
        <v>2</v>
      </c>
      <c r="P34" s="69">
        <f t="shared" si="4"/>
        <v>2</v>
      </c>
      <c r="Q34" s="69">
        <f t="shared" si="5"/>
        <v>2</v>
      </c>
      <c r="R34" s="70">
        <f t="shared" si="6"/>
        <v>0.40546510810816438</v>
      </c>
      <c r="S34" s="70">
        <f t="shared" si="7"/>
        <v>0.40546510810816438</v>
      </c>
      <c r="T34" s="70">
        <f t="shared" si="8"/>
        <v>0.51466966662980163</v>
      </c>
      <c r="U34" s="70">
        <f t="shared" si="9"/>
        <v>0.51466966662980163</v>
      </c>
      <c r="V34" s="70">
        <f t="shared" si="10"/>
        <v>0.91287092917527679</v>
      </c>
      <c r="W34" s="70">
        <f t="shared" si="11"/>
        <v>0.91287092917527679</v>
      </c>
      <c r="X34" s="70">
        <f t="shared" si="12"/>
        <v>0</v>
      </c>
      <c r="Y34" s="70">
        <f t="shared" si="13"/>
        <v>1.2909944487358056</v>
      </c>
      <c r="Z34" s="70">
        <f t="shared" si="14"/>
        <v>0</v>
      </c>
      <c r="AA34" s="69" t="str">
        <f t="shared" si="15"/>
        <v>Negligible</v>
      </c>
      <c r="AB34" s="69" t="str">
        <f t="shared" si="16"/>
        <v>Tidak Ada Indikasi Bias</v>
      </c>
    </row>
    <row r="35" spans="1:28" ht="75" x14ac:dyDescent="0.35">
      <c r="A35" s="71" t="str">
        <f>ToT!A29</f>
        <v>25. Mengapa pendekatan Student Centered Learning (SCL) dan metode pembelajaran seperti studi kasus dan pembelajaran proyek berbasis kelompok diutamakan dalam memfasilitasi pemenuhan Capaian Pembelajaran Lulusan (CPL)</v>
      </c>
      <c r="B35" s="69">
        <f>ToT!B29</f>
        <v>1</v>
      </c>
      <c r="C35" s="69">
        <f>ToT!C29</f>
        <v>1</v>
      </c>
      <c r="D35" s="69">
        <f>ToT!D29</f>
        <v>1</v>
      </c>
      <c r="E35" s="69">
        <f>ToT!E29</f>
        <v>0</v>
      </c>
      <c r="F35" s="69">
        <f>ToT!F29</f>
        <v>1</v>
      </c>
      <c r="G35" s="69">
        <f>ToT!G29</f>
        <v>0</v>
      </c>
      <c r="H35" s="69">
        <f>ToT!H29</f>
        <v>0</v>
      </c>
      <c r="I35" s="69">
        <f>ToT!I29</f>
        <v>0</v>
      </c>
      <c r="J35" s="69">
        <f>ToT!J29</f>
        <v>0</v>
      </c>
      <c r="K35" s="69">
        <f>ToT!K29</f>
        <v>0</v>
      </c>
      <c r="L35" s="69">
        <f t="shared" si="0"/>
        <v>5</v>
      </c>
      <c r="M35" s="69">
        <f t="shared" si="1"/>
        <v>5</v>
      </c>
      <c r="N35" s="69">
        <f t="shared" si="2"/>
        <v>2</v>
      </c>
      <c r="O35" s="69">
        <f t="shared" si="3"/>
        <v>2</v>
      </c>
      <c r="P35" s="69">
        <f t="shared" si="4"/>
        <v>2</v>
      </c>
      <c r="Q35" s="69">
        <f t="shared" si="5"/>
        <v>2</v>
      </c>
      <c r="R35" s="70">
        <f t="shared" si="6"/>
        <v>0.40546510810816438</v>
      </c>
      <c r="S35" s="70">
        <f t="shared" si="7"/>
        <v>0.40546510810816438</v>
      </c>
      <c r="T35" s="70">
        <f t="shared" si="8"/>
        <v>0.51466966662980163</v>
      </c>
      <c r="U35" s="70">
        <f t="shared" si="9"/>
        <v>0.51466966662980163</v>
      </c>
      <c r="V35" s="70">
        <f t="shared" si="10"/>
        <v>0.91287092917527679</v>
      </c>
      <c r="W35" s="70">
        <f t="shared" si="11"/>
        <v>0.91287092917527679</v>
      </c>
      <c r="X35" s="70">
        <f t="shared" si="12"/>
        <v>0</v>
      </c>
      <c r="Y35" s="70">
        <f t="shared" si="13"/>
        <v>1.2909944487358056</v>
      </c>
      <c r="Z35" s="70">
        <f t="shared" si="14"/>
        <v>0</v>
      </c>
      <c r="AA35" s="69" t="str">
        <f t="shared" si="15"/>
        <v>Negligible</v>
      </c>
      <c r="AB35" s="69" t="str">
        <f t="shared" si="16"/>
        <v>Tidak Ada Indikasi Bias</v>
      </c>
    </row>
    <row r="36" spans="1:28" ht="37.5" customHeight="1" x14ac:dyDescent="0.35">
      <c r="A36" s="71" t="str">
        <f>ToT!A30</f>
        <v>26. Tujuan utama dari Rencana Pembelajaran Semester (RPS) adalah</v>
      </c>
      <c r="B36" s="69">
        <f>ToT!B30</f>
        <v>1</v>
      </c>
      <c r="C36" s="69">
        <f>ToT!C30</f>
        <v>0</v>
      </c>
      <c r="D36" s="69">
        <f>ToT!D30</f>
        <v>0</v>
      </c>
      <c r="E36" s="69">
        <f>ToT!E30</f>
        <v>0</v>
      </c>
      <c r="F36" s="69">
        <f>ToT!F30</f>
        <v>1</v>
      </c>
      <c r="G36" s="69">
        <f>ToT!G30</f>
        <v>0</v>
      </c>
      <c r="H36" s="69">
        <f>ToT!H30</f>
        <v>0</v>
      </c>
      <c r="I36" s="69">
        <f>ToT!I30</f>
        <v>0</v>
      </c>
      <c r="J36" s="69">
        <f>ToT!J30</f>
        <v>0</v>
      </c>
      <c r="K36" s="69">
        <f>ToT!K30</f>
        <v>0</v>
      </c>
      <c r="L36" s="69">
        <f t="shared" si="0"/>
        <v>5</v>
      </c>
      <c r="M36" s="69">
        <f t="shared" si="1"/>
        <v>5</v>
      </c>
      <c r="N36" s="69">
        <f t="shared" si="2"/>
        <v>1</v>
      </c>
      <c r="O36" s="69">
        <f t="shared" si="3"/>
        <v>1</v>
      </c>
      <c r="P36" s="69">
        <f t="shared" si="4"/>
        <v>1</v>
      </c>
      <c r="Q36" s="69">
        <f t="shared" si="5"/>
        <v>1</v>
      </c>
      <c r="R36" s="70">
        <f t="shared" si="6"/>
        <v>1.3862943611198906</v>
      </c>
      <c r="S36" s="70">
        <f t="shared" si="7"/>
        <v>1.3862943611198906</v>
      </c>
      <c r="T36" s="70">
        <f t="shared" si="8"/>
        <v>1.4954989196415278</v>
      </c>
      <c r="U36" s="70">
        <f t="shared" si="9"/>
        <v>1.4954989196415278</v>
      </c>
      <c r="V36" s="70">
        <f t="shared" si="10"/>
        <v>1.1180339887498949</v>
      </c>
      <c r="W36" s="70">
        <f t="shared" si="11"/>
        <v>1.1180339887498949</v>
      </c>
      <c r="X36" s="70">
        <f t="shared" si="12"/>
        <v>0</v>
      </c>
      <c r="Y36" s="70">
        <f t="shared" si="13"/>
        <v>1.5811388300841898</v>
      </c>
      <c r="Z36" s="70">
        <f t="shared" si="14"/>
        <v>0</v>
      </c>
      <c r="AA36" s="69" t="str">
        <f t="shared" si="15"/>
        <v>Negligible</v>
      </c>
      <c r="AB36" s="69" t="str">
        <f t="shared" si="16"/>
        <v>Tidak Ada Indikasi Bias</v>
      </c>
    </row>
    <row r="37" spans="1:28" ht="37.5" customHeight="1" x14ac:dyDescent="0.35">
      <c r="A37" s="71" t="str">
        <f>ToT!A31</f>
        <v>27. Tujuan utama dari Rencana Pembelajaran Semester (RPS) adalah</v>
      </c>
      <c r="B37" s="69">
        <f>ToT!B31</f>
        <v>1</v>
      </c>
      <c r="C37" s="69">
        <f>ToT!C31</f>
        <v>1</v>
      </c>
      <c r="D37" s="69">
        <f>ToT!D31</f>
        <v>1</v>
      </c>
      <c r="E37" s="69">
        <f>ToT!E31</f>
        <v>1</v>
      </c>
      <c r="F37" s="69">
        <f>ToT!F31</f>
        <v>0</v>
      </c>
      <c r="G37" s="69">
        <f>ToT!G31</f>
        <v>1</v>
      </c>
      <c r="H37" s="69">
        <f>ToT!H31</f>
        <v>0</v>
      </c>
      <c r="I37" s="69">
        <f>ToT!I31</f>
        <v>0</v>
      </c>
      <c r="J37" s="69">
        <f>ToT!J31</f>
        <v>0</v>
      </c>
      <c r="K37" s="69">
        <f>ToT!K31</f>
        <v>1</v>
      </c>
      <c r="L37" s="69">
        <f t="shared" si="0"/>
        <v>5</v>
      </c>
      <c r="M37" s="69">
        <f t="shared" si="1"/>
        <v>5</v>
      </c>
      <c r="N37" s="69">
        <f t="shared" si="2"/>
        <v>3</v>
      </c>
      <c r="O37" s="69">
        <f t="shared" si="3"/>
        <v>3</v>
      </c>
      <c r="P37" s="69">
        <f t="shared" si="4"/>
        <v>3</v>
      </c>
      <c r="Q37" s="69">
        <f t="shared" si="5"/>
        <v>3</v>
      </c>
      <c r="R37" s="70">
        <f t="shared" si="6"/>
        <v>-0.40546510810816444</v>
      </c>
      <c r="S37" s="70">
        <f t="shared" si="7"/>
        <v>-0.40546510810816444</v>
      </c>
      <c r="T37" s="70">
        <f t="shared" si="8"/>
        <v>-0.29626054958652714</v>
      </c>
      <c r="U37" s="70">
        <f t="shared" si="9"/>
        <v>-0.29626054958652714</v>
      </c>
      <c r="V37" s="70">
        <f t="shared" si="10"/>
        <v>0.91287092917527679</v>
      </c>
      <c r="W37" s="70">
        <f t="shared" si="11"/>
        <v>0.91287092917527679</v>
      </c>
      <c r="X37" s="70">
        <f t="shared" si="12"/>
        <v>0</v>
      </c>
      <c r="Y37" s="70">
        <f t="shared" si="13"/>
        <v>1.2909944487358056</v>
      </c>
      <c r="Z37" s="70">
        <f t="shared" si="14"/>
        <v>0</v>
      </c>
      <c r="AA37" s="69" t="str">
        <f t="shared" si="15"/>
        <v>Negligible</v>
      </c>
      <c r="AB37" s="69" t="str">
        <f t="shared" si="16"/>
        <v>Tidak Ada Indikasi Bias</v>
      </c>
    </row>
    <row r="38" spans="1:28" ht="37.5" x14ac:dyDescent="0.35">
      <c r="A38" s="71" t="str">
        <f>ToT!A32</f>
        <v>28. Mengapa penting untuk menyusun Rencana Pembelajaran Semester (RPS) berdasarkan CPL</v>
      </c>
      <c r="B38" s="69">
        <f>ToT!B32</f>
        <v>1</v>
      </c>
      <c r="C38" s="69">
        <f>ToT!C32</f>
        <v>1</v>
      </c>
      <c r="D38" s="69">
        <f>ToT!D32</f>
        <v>0</v>
      </c>
      <c r="E38" s="69">
        <f>ToT!E32</f>
        <v>1</v>
      </c>
      <c r="F38" s="69">
        <f>ToT!F32</f>
        <v>1</v>
      </c>
      <c r="G38" s="69">
        <f>ToT!G32</f>
        <v>0</v>
      </c>
      <c r="H38" s="69">
        <f>ToT!H32</f>
        <v>1</v>
      </c>
      <c r="I38" s="69">
        <f>ToT!I32</f>
        <v>0</v>
      </c>
      <c r="J38" s="69">
        <f>ToT!J32</f>
        <v>1</v>
      </c>
      <c r="K38" s="69">
        <f>ToT!K32</f>
        <v>0</v>
      </c>
      <c r="L38" s="69">
        <f t="shared" si="0"/>
        <v>5</v>
      </c>
      <c r="M38" s="69">
        <f t="shared" si="1"/>
        <v>5</v>
      </c>
      <c r="N38" s="69">
        <f t="shared" si="2"/>
        <v>3</v>
      </c>
      <c r="O38" s="69">
        <f t="shared" si="3"/>
        <v>3</v>
      </c>
      <c r="P38" s="69">
        <f t="shared" si="4"/>
        <v>3</v>
      </c>
      <c r="Q38" s="69">
        <f t="shared" si="5"/>
        <v>3</v>
      </c>
      <c r="R38" s="70">
        <f t="shared" si="6"/>
        <v>-0.40546510810816444</v>
      </c>
      <c r="S38" s="70">
        <f t="shared" si="7"/>
        <v>-0.40546510810816444</v>
      </c>
      <c r="T38" s="70">
        <f t="shared" si="8"/>
        <v>-0.29626054958652714</v>
      </c>
      <c r="U38" s="70">
        <f t="shared" si="9"/>
        <v>-0.29626054958652714</v>
      </c>
      <c r="V38" s="70">
        <f t="shared" si="10"/>
        <v>0.91287092917527679</v>
      </c>
      <c r="W38" s="70">
        <f t="shared" si="11"/>
        <v>0.91287092917527679</v>
      </c>
      <c r="X38" s="70">
        <f t="shared" si="12"/>
        <v>0</v>
      </c>
      <c r="Y38" s="70">
        <f t="shared" si="13"/>
        <v>1.2909944487358056</v>
      </c>
      <c r="Z38" s="70">
        <f t="shared" si="14"/>
        <v>0</v>
      </c>
      <c r="AA38" s="69" t="str">
        <f t="shared" si="15"/>
        <v>Negligible</v>
      </c>
      <c r="AB38" s="69" t="str">
        <f t="shared" si="16"/>
        <v>Tidak Ada Indikasi Bias</v>
      </c>
    </row>
    <row r="39" spans="1:28" ht="25" x14ac:dyDescent="0.35">
      <c r="A39" s="71" t="str">
        <f>ToT!A33</f>
        <v>29. Karakteristik proses pembelajaran SN-Dikti untuk mencapai CPL adalah</v>
      </c>
      <c r="B39" s="69">
        <f>ToT!B33</f>
        <v>1</v>
      </c>
      <c r="C39" s="69">
        <f>ToT!C33</f>
        <v>1</v>
      </c>
      <c r="D39" s="69">
        <f>ToT!D33</f>
        <v>1</v>
      </c>
      <c r="E39" s="69">
        <f>ToT!E33</f>
        <v>1</v>
      </c>
      <c r="F39" s="69">
        <f>ToT!F33</f>
        <v>1</v>
      </c>
      <c r="G39" s="69">
        <f>ToT!G33</f>
        <v>0</v>
      </c>
      <c r="H39" s="69">
        <f>ToT!H33</f>
        <v>1</v>
      </c>
      <c r="I39" s="69">
        <f>ToT!I33</f>
        <v>1</v>
      </c>
      <c r="J39" s="69">
        <f>ToT!J33</f>
        <v>1</v>
      </c>
      <c r="K39" s="69">
        <f>ToT!K33</f>
        <v>0</v>
      </c>
      <c r="L39" s="69">
        <f t="shared" si="0"/>
        <v>5</v>
      </c>
      <c r="M39" s="69">
        <f t="shared" si="1"/>
        <v>5</v>
      </c>
      <c r="N39" s="69">
        <f t="shared" si="2"/>
        <v>4</v>
      </c>
      <c r="O39" s="69">
        <f t="shared" si="3"/>
        <v>4</v>
      </c>
      <c r="P39" s="69">
        <f t="shared" si="4"/>
        <v>4</v>
      </c>
      <c r="Q39" s="69">
        <f t="shared" si="5"/>
        <v>4</v>
      </c>
      <c r="R39" s="70">
        <f t="shared" si="6"/>
        <v>-1.3862943611198906</v>
      </c>
      <c r="S39" s="70">
        <f t="shared" si="7"/>
        <v>-1.3862943611198906</v>
      </c>
      <c r="T39" s="70">
        <f t="shared" si="8"/>
        <v>-1.2770898025982533</v>
      </c>
      <c r="U39" s="70">
        <f t="shared" si="9"/>
        <v>-1.2770898025982533</v>
      </c>
      <c r="V39" s="70">
        <f t="shared" si="10"/>
        <v>1.1180339887498949</v>
      </c>
      <c r="W39" s="70">
        <f t="shared" si="11"/>
        <v>1.1180339887498949</v>
      </c>
      <c r="X39" s="70">
        <f t="shared" si="12"/>
        <v>0</v>
      </c>
      <c r="Y39" s="70">
        <f t="shared" si="13"/>
        <v>1.5811388300841898</v>
      </c>
      <c r="Z39" s="70">
        <f t="shared" si="14"/>
        <v>0</v>
      </c>
      <c r="AA39" s="69" t="str">
        <f t="shared" si="15"/>
        <v>Negligible</v>
      </c>
      <c r="AB39" s="69" t="str">
        <f t="shared" si="16"/>
        <v>Tidak Ada Indikasi Bias</v>
      </c>
    </row>
    <row r="40" spans="1:28" ht="100" x14ac:dyDescent="0.35">
      <c r="A40" s="71" t="str">
        <f>ToT!A34</f>
        <v>30. Capaian pembelajaran lulusan diraih melalui proses Pembelajaran yang terintegrasi untuk memenuhi capaian pembelajaran lulusan secara keseluruhan dalam satu kesatuan program melalui pendekatan antardisiplin dan multidisiplin merupakan karakteristik proses pembelajaran</v>
      </c>
      <c r="B40" s="69">
        <f>ToT!B34</f>
        <v>0</v>
      </c>
      <c r="C40" s="69">
        <f>ToT!C34</f>
        <v>1</v>
      </c>
      <c r="D40" s="69">
        <f>ToT!D34</f>
        <v>1</v>
      </c>
      <c r="E40" s="69">
        <f>ToT!E34</f>
        <v>0</v>
      </c>
      <c r="F40" s="69">
        <f>ToT!F34</f>
        <v>0</v>
      </c>
      <c r="G40" s="69">
        <f>ToT!G34</f>
        <v>1</v>
      </c>
      <c r="H40" s="69">
        <f>ToT!H34</f>
        <v>0</v>
      </c>
      <c r="I40" s="69">
        <f>ToT!I34</f>
        <v>1</v>
      </c>
      <c r="J40" s="69">
        <f>ToT!J34</f>
        <v>1</v>
      </c>
      <c r="K40" s="69">
        <f>ToT!K34</f>
        <v>1</v>
      </c>
      <c r="L40" s="69">
        <f t="shared" si="0"/>
        <v>5</v>
      </c>
      <c r="M40" s="69">
        <f t="shared" si="1"/>
        <v>5</v>
      </c>
      <c r="N40" s="69">
        <f t="shared" si="2"/>
        <v>3</v>
      </c>
      <c r="O40" s="69">
        <f t="shared" si="3"/>
        <v>3</v>
      </c>
      <c r="P40" s="69">
        <f t="shared" si="4"/>
        <v>3</v>
      </c>
      <c r="Q40" s="69">
        <f t="shared" si="5"/>
        <v>3</v>
      </c>
      <c r="R40" s="70">
        <f t="shared" si="6"/>
        <v>-0.40546510810816444</v>
      </c>
      <c r="S40" s="70">
        <f t="shared" si="7"/>
        <v>-0.40546510810816444</v>
      </c>
      <c r="T40" s="70">
        <f t="shared" si="8"/>
        <v>-0.29626054958652714</v>
      </c>
      <c r="U40" s="70">
        <f t="shared" si="9"/>
        <v>-0.29626054958652714</v>
      </c>
      <c r="V40" s="70">
        <f t="shared" si="10"/>
        <v>0.91287092917527679</v>
      </c>
      <c r="W40" s="70">
        <f t="shared" si="11"/>
        <v>0.91287092917527679</v>
      </c>
      <c r="X40" s="70">
        <f t="shared" si="12"/>
        <v>0</v>
      </c>
      <c r="Y40" s="70">
        <f t="shared" si="13"/>
        <v>1.2909944487358056</v>
      </c>
      <c r="Z40" s="70">
        <f t="shared" si="14"/>
        <v>0</v>
      </c>
      <c r="AA40" s="69" t="str">
        <f t="shared" si="15"/>
        <v>Negligible</v>
      </c>
      <c r="AB40" s="69" t="str">
        <f t="shared" si="16"/>
        <v>Tidak Ada Indikasi Bias</v>
      </c>
    </row>
    <row r="41" spans="1:28" ht="50" x14ac:dyDescent="0.35">
      <c r="A41" s="71" t="str">
        <f>ToT!A35</f>
        <v>31. Apa yang menjadi landasan utama dalam penyusunan Rencana Pembelajaran Semester (RPS) menurut Permendikbud 53 Tahun 2023</v>
      </c>
      <c r="B41" s="69">
        <f>ToT!B35</f>
        <v>1</v>
      </c>
      <c r="C41" s="69">
        <f>ToT!C35</f>
        <v>1</v>
      </c>
      <c r="D41" s="69">
        <f>ToT!D35</f>
        <v>1</v>
      </c>
      <c r="E41" s="69">
        <f>ToT!E35</f>
        <v>0</v>
      </c>
      <c r="F41" s="69">
        <f>ToT!F35</f>
        <v>1</v>
      </c>
      <c r="G41" s="69">
        <f>ToT!G35</f>
        <v>0</v>
      </c>
      <c r="H41" s="69">
        <f>ToT!H35</f>
        <v>0</v>
      </c>
      <c r="I41" s="69">
        <f>ToT!I35</f>
        <v>0</v>
      </c>
      <c r="J41" s="69">
        <f>ToT!J35</f>
        <v>0</v>
      </c>
      <c r="K41" s="69">
        <f>ToT!K35</f>
        <v>0</v>
      </c>
      <c r="L41" s="69">
        <f t="shared" si="0"/>
        <v>5</v>
      </c>
      <c r="M41" s="69">
        <f t="shared" si="1"/>
        <v>5</v>
      </c>
      <c r="N41" s="69">
        <f t="shared" si="2"/>
        <v>2</v>
      </c>
      <c r="O41" s="69">
        <f t="shared" si="3"/>
        <v>2</v>
      </c>
      <c r="P41" s="69">
        <f t="shared" si="4"/>
        <v>2</v>
      </c>
      <c r="Q41" s="69">
        <f t="shared" si="5"/>
        <v>2</v>
      </c>
      <c r="R41" s="70">
        <f t="shared" si="6"/>
        <v>0.40546510810816438</v>
      </c>
      <c r="S41" s="70">
        <f t="shared" si="7"/>
        <v>0.40546510810816438</v>
      </c>
      <c r="T41" s="70">
        <f t="shared" si="8"/>
        <v>0.51466966662980163</v>
      </c>
      <c r="U41" s="70">
        <f t="shared" si="9"/>
        <v>0.51466966662980163</v>
      </c>
      <c r="V41" s="70">
        <f t="shared" si="10"/>
        <v>0.91287092917527679</v>
      </c>
      <c r="W41" s="70">
        <f t="shared" si="11"/>
        <v>0.91287092917527679</v>
      </c>
      <c r="X41" s="70">
        <f t="shared" si="12"/>
        <v>0</v>
      </c>
      <c r="Y41" s="70">
        <f t="shared" si="13"/>
        <v>1.2909944487358056</v>
      </c>
      <c r="Z41" s="70">
        <f t="shared" si="14"/>
        <v>0</v>
      </c>
      <c r="AA41" s="69" t="str">
        <f t="shared" si="15"/>
        <v>Negligible</v>
      </c>
      <c r="AB41" s="69" t="str">
        <f t="shared" si="16"/>
        <v>Tidak Ada Indikasi Bias</v>
      </c>
    </row>
    <row r="42" spans="1:28" ht="37.5" x14ac:dyDescent="0.35">
      <c r="A42" s="71" t="str">
        <f>ToT!A36</f>
        <v>32. Elemen Rencana Pembelajaran Semester (RPS) menurut Standar Nasional Pendidikan Tinggi (SN Dikti) adalah</v>
      </c>
      <c r="B42" s="69">
        <f>ToT!B36</f>
        <v>0</v>
      </c>
      <c r="C42" s="69">
        <f>ToT!C36</f>
        <v>1</v>
      </c>
      <c r="D42" s="69">
        <f>ToT!D36</f>
        <v>0</v>
      </c>
      <c r="E42" s="69">
        <f>ToT!E36</f>
        <v>1</v>
      </c>
      <c r="F42" s="69">
        <f>ToT!F36</f>
        <v>0</v>
      </c>
      <c r="G42" s="69">
        <f>ToT!G36</f>
        <v>0</v>
      </c>
      <c r="H42" s="69">
        <f>ToT!H36</f>
        <v>1</v>
      </c>
      <c r="I42" s="69">
        <f>ToT!I36</f>
        <v>1</v>
      </c>
      <c r="J42" s="69">
        <f>ToT!J36</f>
        <v>1</v>
      </c>
      <c r="K42" s="69">
        <f>ToT!K36</f>
        <v>1</v>
      </c>
      <c r="L42" s="69">
        <f t="shared" si="0"/>
        <v>5</v>
      </c>
      <c r="M42" s="69">
        <f t="shared" si="1"/>
        <v>5</v>
      </c>
      <c r="N42" s="69">
        <f t="shared" si="2"/>
        <v>3</v>
      </c>
      <c r="O42" s="69">
        <f t="shared" si="3"/>
        <v>3</v>
      </c>
      <c r="P42" s="69">
        <f t="shared" si="4"/>
        <v>3</v>
      </c>
      <c r="Q42" s="69">
        <f t="shared" si="5"/>
        <v>3</v>
      </c>
      <c r="R42" s="70">
        <f t="shared" si="6"/>
        <v>-0.40546510810816444</v>
      </c>
      <c r="S42" s="70">
        <f t="shared" si="7"/>
        <v>-0.40546510810816444</v>
      </c>
      <c r="T42" s="70">
        <f t="shared" si="8"/>
        <v>-0.29626054958652714</v>
      </c>
      <c r="U42" s="70">
        <f t="shared" si="9"/>
        <v>-0.29626054958652714</v>
      </c>
      <c r="V42" s="70">
        <f t="shared" si="10"/>
        <v>0.91287092917527679</v>
      </c>
      <c r="W42" s="70">
        <f t="shared" si="11"/>
        <v>0.91287092917527679</v>
      </c>
      <c r="X42" s="70">
        <f t="shared" si="12"/>
        <v>0</v>
      </c>
      <c r="Y42" s="70">
        <f t="shared" si="13"/>
        <v>1.2909944487358056</v>
      </c>
      <c r="Z42" s="70">
        <f t="shared" si="14"/>
        <v>0</v>
      </c>
      <c r="AA42" s="69" t="str">
        <f t="shared" si="15"/>
        <v>Negligible</v>
      </c>
      <c r="AB42" s="69" t="str">
        <f t="shared" si="16"/>
        <v>Tidak Ada Indikasi Bias</v>
      </c>
    </row>
    <row r="43" spans="1:28" ht="50" x14ac:dyDescent="0.35">
      <c r="A43" s="71" t="str">
        <f>ToT!A37</f>
        <v>33. Dibawah ini yang tidak termasuk pihak berwenang untuk menetapkan dan mengesahkan Rencana Pembelajaran Semester adalah</v>
      </c>
      <c r="B43" s="69">
        <f>ToT!B37</f>
        <v>1</v>
      </c>
      <c r="C43" s="69">
        <f>ToT!C37</f>
        <v>1</v>
      </c>
      <c r="D43" s="69">
        <f>ToT!D37</f>
        <v>0</v>
      </c>
      <c r="E43" s="69">
        <f>ToT!E37</f>
        <v>1</v>
      </c>
      <c r="F43" s="69">
        <f>ToT!F37</f>
        <v>1</v>
      </c>
      <c r="G43" s="69">
        <f>ToT!G37</f>
        <v>1</v>
      </c>
      <c r="H43" s="69">
        <f>ToT!H37</f>
        <v>0</v>
      </c>
      <c r="I43" s="69">
        <f>ToT!I37</f>
        <v>0</v>
      </c>
      <c r="J43" s="69">
        <f>ToT!J37</f>
        <v>0</v>
      </c>
      <c r="K43" s="69">
        <f>ToT!K37</f>
        <v>1</v>
      </c>
      <c r="L43" s="69">
        <f t="shared" ref="L43:L74" si="17">COUNTIF($B$8:$K$8,"Laki-Laki")</f>
        <v>5</v>
      </c>
      <c r="M43" s="69">
        <f t="shared" ref="M43:M74" si="18">COUNTIF($B$8:$K$8,"Perempuan")</f>
        <v>5</v>
      </c>
      <c r="N43" s="69">
        <f t="shared" ref="N43:N74" si="19">SUMIF($B$8:$K$8,"Laki-Laki",B43:K43)</f>
        <v>3</v>
      </c>
      <c r="O43" s="69">
        <f t="shared" ref="O43:O74" si="20">SUMIF($B$8:$K$8,"Perempuan",B43:K43)</f>
        <v>3</v>
      </c>
      <c r="P43" s="69">
        <f t="shared" ref="P43:P74" si="21">IF(N43=0,0.3,IF(N43=L43,L43-0.3,N43))</f>
        <v>3</v>
      </c>
      <c r="Q43" s="69">
        <f t="shared" ref="Q43:Q74" si="22">IF(O43=0,0.3,IF(O43=M43,M43-0.3,O43))</f>
        <v>3</v>
      </c>
      <c r="R43" s="70">
        <f t="shared" ref="R43:R74" si="23">LN((L43-P43)/P43)</f>
        <v>-0.40546510810816444</v>
      </c>
      <c r="S43" s="70">
        <f t="shared" ref="S43:S74" si="24">LN((M43-Q43)/Q43)</f>
        <v>-0.40546510810816444</v>
      </c>
      <c r="T43" s="70">
        <f t="shared" ref="T43:T74" si="25">R43-AVERAGE($R$11:$R$110)</f>
        <v>-0.29626054958652714</v>
      </c>
      <c r="U43" s="70">
        <f t="shared" ref="U43:U74" si="26">S43-AVERAGE($S$11:$S$110)</f>
        <v>-0.29626054958652714</v>
      </c>
      <c r="V43" s="70">
        <f t="shared" ref="V43:V74" si="27">SQRT(1/P43+1/(L43-P43))</f>
        <v>0.91287092917527679</v>
      </c>
      <c r="W43" s="70">
        <f t="shared" ref="W43:W74" si="28">SQRT(1/Q43+1/(M43-Q43))</f>
        <v>0.91287092917527679</v>
      </c>
      <c r="X43" s="70">
        <f t="shared" ref="X43:X74" si="29">T43-U43</f>
        <v>0</v>
      </c>
      <c r="Y43" s="70">
        <f t="shared" ref="Y43:Y74" si="30">SQRT(V43^2+W43^2)</f>
        <v>1.2909944487358056</v>
      </c>
      <c r="Z43" s="70">
        <f t="shared" ref="Z43:Z74" si="31">X43/Y43</f>
        <v>0</v>
      </c>
      <c r="AA43" s="69" t="str">
        <f t="shared" ref="AA43:AA74" si="32">IF(AND(ABS(X43)&gt;=$B$4,ABS(Z43)&gt;=$B$5),"DIF Besar - review",IF(AND(ABS(X43)&gt;=$B$3,ABS(Z43)&gt;=$B$5),"DIF Moderat - cek","Negligible"))</f>
        <v>Negligible</v>
      </c>
      <c r="AB43" s="69" t="str">
        <f t="shared" ref="AB43:AB74" si="33">IF(ABS(X43)&gt;=$B$4,"Berpotensi Bias - Tinjau Konten",IF(ABS(X43)&gt;=$B$3,"Indikasi Ringan - Pantau","Tidak Ada Indikasi Bias"))</f>
        <v>Tidak Ada Indikasi Bias</v>
      </c>
    </row>
    <row r="44" spans="1:28" ht="25" x14ac:dyDescent="0.35">
      <c r="A44" s="71" t="str">
        <f>ToT!A38</f>
        <v>34. Tujuan Pembuatan Modul yang benar dibawah ini kecuali</v>
      </c>
      <c r="B44" s="69">
        <f>ToT!B38</f>
        <v>1</v>
      </c>
      <c r="C44" s="69">
        <f>ToT!C38</f>
        <v>0</v>
      </c>
      <c r="D44" s="69">
        <f>ToT!D38</f>
        <v>1</v>
      </c>
      <c r="E44" s="69">
        <f>ToT!E38</f>
        <v>0</v>
      </c>
      <c r="F44" s="69">
        <f>ToT!F38</f>
        <v>0</v>
      </c>
      <c r="G44" s="69">
        <f>ToT!G38</f>
        <v>0</v>
      </c>
      <c r="H44" s="69">
        <f>ToT!H38</f>
        <v>0</v>
      </c>
      <c r="I44" s="69">
        <f>ToT!I38</f>
        <v>0</v>
      </c>
      <c r="J44" s="69">
        <f>ToT!J38</f>
        <v>0</v>
      </c>
      <c r="K44" s="69">
        <f>ToT!K38</f>
        <v>0</v>
      </c>
      <c r="L44" s="69">
        <f t="shared" si="17"/>
        <v>5</v>
      </c>
      <c r="M44" s="69">
        <f t="shared" si="18"/>
        <v>5</v>
      </c>
      <c r="N44" s="69">
        <f t="shared" si="19"/>
        <v>1</v>
      </c>
      <c r="O44" s="69">
        <f t="shared" si="20"/>
        <v>1</v>
      </c>
      <c r="P44" s="69">
        <f t="shared" si="21"/>
        <v>1</v>
      </c>
      <c r="Q44" s="69">
        <f t="shared" si="22"/>
        <v>1</v>
      </c>
      <c r="R44" s="70">
        <f t="shared" si="23"/>
        <v>1.3862943611198906</v>
      </c>
      <c r="S44" s="70">
        <f t="shared" si="24"/>
        <v>1.3862943611198906</v>
      </c>
      <c r="T44" s="70">
        <f t="shared" si="25"/>
        <v>1.4954989196415278</v>
      </c>
      <c r="U44" s="70">
        <f t="shared" si="26"/>
        <v>1.4954989196415278</v>
      </c>
      <c r="V44" s="70">
        <f t="shared" si="27"/>
        <v>1.1180339887498949</v>
      </c>
      <c r="W44" s="70">
        <f t="shared" si="28"/>
        <v>1.1180339887498949</v>
      </c>
      <c r="X44" s="70">
        <f t="shared" si="29"/>
        <v>0</v>
      </c>
      <c r="Y44" s="70">
        <f t="shared" si="30"/>
        <v>1.5811388300841898</v>
      </c>
      <c r="Z44" s="70">
        <f t="shared" si="31"/>
        <v>0</v>
      </c>
      <c r="AA44" s="69" t="str">
        <f t="shared" si="32"/>
        <v>Negligible</v>
      </c>
      <c r="AB44" s="69" t="str">
        <f t="shared" si="33"/>
        <v>Tidak Ada Indikasi Bias</v>
      </c>
    </row>
    <row r="45" spans="1:28" ht="25" x14ac:dyDescent="0.35">
      <c r="A45" s="71" t="str">
        <f>ToT!A39</f>
        <v>35. Komponen yang termuat dalam bahan/modul ajar pembelajaran adalah</v>
      </c>
      <c r="B45" s="69">
        <f>ToT!B39</f>
        <v>0</v>
      </c>
      <c r="C45" s="69">
        <f>ToT!C39</f>
        <v>0</v>
      </c>
      <c r="D45" s="69">
        <f>ToT!D39</f>
        <v>1</v>
      </c>
      <c r="E45" s="69">
        <f>ToT!E39</f>
        <v>0</v>
      </c>
      <c r="F45" s="69">
        <f>ToT!F39</f>
        <v>0</v>
      </c>
      <c r="G45" s="69">
        <f>ToT!G39</f>
        <v>1</v>
      </c>
      <c r="H45" s="69">
        <f>ToT!H39</f>
        <v>1</v>
      </c>
      <c r="I45" s="69">
        <f>ToT!I39</f>
        <v>1</v>
      </c>
      <c r="J45" s="69">
        <f>ToT!J39</f>
        <v>1</v>
      </c>
      <c r="K45" s="69">
        <f>ToT!K39</f>
        <v>1</v>
      </c>
      <c r="L45" s="69">
        <f t="shared" si="17"/>
        <v>5</v>
      </c>
      <c r="M45" s="69">
        <f t="shared" si="18"/>
        <v>5</v>
      </c>
      <c r="N45" s="69">
        <f t="shared" si="19"/>
        <v>3</v>
      </c>
      <c r="O45" s="69">
        <f t="shared" si="20"/>
        <v>3</v>
      </c>
      <c r="P45" s="69">
        <f t="shared" si="21"/>
        <v>3</v>
      </c>
      <c r="Q45" s="69">
        <f t="shared" si="22"/>
        <v>3</v>
      </c>
      <c r="R45" s="70">
        <f t="shared" si="23"/>
        <v>-0.40546510810816444</v>
      </c>
      <c r="S45" s="70">
        <f t="shared" si="24"/>
        <v>-0.40546510810816444</v>
      </c>
      <c r="T45" s="70">
        <f t="shared" si="25"/>
        <v>-0.29626054958652714</v>
      </c>
      <c r="U45" s="70">
        <f t="shared" si="26"/>
        <v>-0.29626054958652714</v>
      </c>
      <c r="V45" s="70">
        <f t="shared" si="27"/>
        <v>0.91287092917527679</v>
      </c>
      <c r="W45" s="70">
        <f t="shared" si="28"/>
        <v>0.91287092917527679</v>
      </c>
      <c r="X45" s="70">
        <f t="shared" si="29"/>
        <v>0</v>
      </c>
      <c r="Y45" s="70">
        <f t="shared" si="30"/>
        <v>1.2909944487358056</v>
      </c>
      <c r="Z45" s="70">
        <f t="shared" si="31"/>
        <v>0</v>
      </c>
      <c r="AA45" s="69" t="str">
        <f t="shared" si="32"/>
        <v>Negligible</v>
      </c>
      <c r="AB45" s="69" t="str">
        <f t="shared" si="33"/>
        <v>Tidak Ada Indikasi Bias</v>
      </c>
    </row>
    <row r="46" spans="1:28" ht="62.5" x14ac:dyDescent="0.35">
      <c r="A46" s="71" t="str">
        <f>ToT!A40</f>
        <v>36. Untuk menghasilkan bahan/ modul ajar yang mampu meningkatkan motivasi belajar, pengembangan modul harus memperhatikan karakteristik yang diperlukan sebagai modul yaitu:</v>
      </c>
      <c r="B46" s="69">
        <f>ToT!B40</f>
        <v>0</v>
      </c>
      <c r="C46" s="69">
        <f>ToT!C40</f>
        <v>1</v>
      </c>
      <c r="D46" s="69">
        <f>ToT!D40</f>
        <v>1</v>
      </c>
      <c r="E46" s="69">
        <f>ToT!E40</f>
        <v>1</v>
      </c>
      <c r="F46" s="69">
        <f>ToT!F40</f>
        <v>0</v>
      </c>
      <c r="G46" s="69">
        <f>ToT!G40</f>
        <v>0</v>
      </c>
      <c r="H46" s="69">
        <f>ToT!H40</f>
        <v>0</v>
      </c>
      <c r="I46" s="69">
        <f>ToT!I40</f>
        <v>1</v>
      </c>
      <c r="J46" s="69">
        <f>ToT!J40</f>
        <v>0</v>
      </c>
      <c r="K46" s="69">
        <f>ToT!K40</f>
        <v>0</v>
      </c>
      <c r="L46" s="69">
        <f t="shared" si="17"/>
        <v>5</v>
      </c>
      <c r="M46" s="69">
        <f t="shared" si="18"/>
        <v>5</v>
      </c>
      <c r="N46" s="69">
        <f t="shared" si="19"/>
        <v>2</v>
      </c>
      <c r="O46" s="69">
        <f t="shared" si="20"/>
        <v>2</v>
      </c>
      <c r="P46" s="69">
        <f t="shared" si="21"/>
        <v>2</v>
      </c>
      <c r="Q46" s="69">
        <f t="shared" si="22"/>
        <v>2</v>
      </c>
      <c r="R46" s="70">
        <f t="shared" si="23"/>
        <v>0.40546510810816438</v>
      </c>
      <c r="S46" s="70">
        <f t="shared" si="24"/>
        <v>0.40546510810816438</v>
      </c>
      <c r="T46" s="70">
        <f t="shared" si="25"/>
        <v>0.51466966662980163</v>
      </c>
      <c r="U46" s="70">
        <f t="shared" si="26"/>
        <v>0.51466966662980163</v>
      </c>
      <c r="V46" s="70">
        <f t="shared" si="27"/>
        <v>0.91287092917527679</v>
      </c>
      <c r="W46" s="70">
        <f t="shared" si="28"/>
        <v>0.91287092917527679</v>
      </c>
      <c r="X46" s="70">
        <f t="shared" si="29"/>
        <v>0</v>
      </c>
      <c r="Y46" s="70">
        <f t="shared" si="30"/>
        <v>1.2909944487358056</v>
      </c>
      <c r="Z46" s="70">
        <f t="shared" si="31"/>
        <v>0</v>
      </c>
      <c r="AA46" s="69" t="str">
        <f t="shared" si="32"/>
        <v>Negligible</v>
      </c>
      <c r="AB46" s="69" t="str">
        <f t="shared" si="33"/>
        <v>Tidak Ada Indikasi Bias</v>
      </c>
    </row>
    <row r="47" spans="1:28" ht="37.5" x14ac:dyDescent="0.35">
      <c r="A47" s="71" t="str">
        <f>ToT!A41</f>
        <v>37. Bahan/modul ajar pembelajaran disusun berdasarkan prinsip-prinsip pengembangan suatu modul, meliputi</v>
      </c>
      <c r="B47" s="69">
        <f>ToT!B41</f>
        <v>0</v>
      </c>
      <c r="C47" s="69">
        <f>ToT!C41</f>
        <v>1</v>
      </c>
      <c r="D47" s="69">
        <f>ToT!D41</f>
        <v>1</v>
      </c>
      <c r="E47" s="69">
        <f>ToT!E41</f>
        <v>1</v>
      </c>
      <c r="F47" s="69">
        <f>ToT!F41</f>
        <v>0</v>
      </c>
      <c r="G47" s="69">
        <f>ToT!G41</f>
        <v>0</v>
      </c>
      <c r="H47" s="69">
        <f>ToT!H41</f>
        <v>0</v>
      </c>
      <c r="I47" s="69">
        <f>ToT!I41</f>
        <v>1</v>
      </c>
      <c r="J47" s="69">
        <f>ToT!J41</f>
        <v>0</v>
      </c>
      <c r="K47" s="69">
        <f>ToT!K41</f>
        <v>0</v>
      </c>
      <c r="L47" s="69">
        <f t="shared" si="17"/>
        <v>5</v>
      </c>
      <c r="M47" s="69">
        <f t="shared" si="18"/>
        <v>5</v>
      </c>
      <c r="N47" s="69">
        <f t="shared" si="19"/>
        <v>2</v>
      </c>
      <c r="O47" s="69">
        <f t="shared" si="20"/>
        <v>2</v>
      </c>
      <c r="P47" s="69">
        <f t="shared" si="21"/>
        <v>2</v>
      </c>
      <c r="Q47" s="69">
        <f t="shared" si="22"/>
        <v>2</v>
      </c>
      <c r="R47" s="70">
        <f t="shared" si="23"/>
        <v>0.40546510810816438</v>
      </c>
      <c r="S47" s="70">
        <f t="shared" si="24"/>
        <v>0.40546510810816438</v>
      </c>
      <c r="T47" s="70">
        <f t="shared" si="25"/>
        <v>0.51466966662980163</v>
      </c>
      <c r="U47" s="70">
        <f t="shared" si="26"/>
        <v>0.51466966662980163</v>
      </c>
      <c r="V47" s="70">
        <f t="shared" si="27"/>
        <v>0.91287092917527679</v>
      </c>
      <c r="W47" s="70">
        <f t="shared" si="28"/>
        <v>0.91287092917527679</v>
      </c>
      <c r="X47" s="70">
        <f t="shared" si="29"/>
        <v>0</v>
      </c>
      <c r="Y47" s="70">
        <f t="shared" si="30"/>
        <v>1.2909944487358056</v>
      </c>
      <c r="Z47" s="70">
        <f t="shared" si="31"/>
        <v>0</v>
      </c>
      <c r="AA47" s="69" t="str">
        <f t="shared" si="32"/>
        <v>Negligible</v>
      </c>
      <c r="AB47" s="69" t="str">
        <f t="shared" si="33"/>
        <v>Tidak Ada Indikasi Bias</v>
      </c>
    </row>
    <row r="48" spans="1:28" ht="37.5" x14ac:dyDescent="0.35">
      <c r="A48" s="71" t="str">
        <f>ToT!A42</f>
        <v>38. Apa yang dimaksud dengan referensi teknis dalam penyusunan bahan/modul ajar pembelajaran</v>
      </c>
      <c r="B48" s="69">
        <f>ToT!B42</f>
        <v>1</v>
      </c>
      <c r="C48" s="69">
        <f>ToT!C42</f>
        <v>1</v>
      </c>
      <c r="D48" s="69">
        <f>ToT!D42</f>
        <v>1</v>
      </c>
      <c r="E48" s="69">
        <f>ToT!E42</f>
        <v>0</v>
      </c>
      <c r="F48" s="69">
        <f>ToT!F42</f>
        <v>1</v>
      </c>
      <c r="G48" s="69">
        <f>ToT!G42</f>
        <v>0</v>
      </c>
      <c r="H48" s="69">
        <f>ToT!H42</f>
        <v>0</v>
      </c>
      <c r="I48" s="69">
        <f>ToT!I42</f>
        <v>1</v>
      </c>
      <c r="J48" s="69">
        <f>ToT!J42</f>
        <v>1</v>
      </c>
      <c r="K48" s="69">
        <f>ToT!K42</f>
        <v>0</v>
      </c>
      <c r="L48" s="69">
        <f t="shared" si="17"/>
        <v>5</v>
      </c>
      <c r="M48" s="69">
        <f t="shared" si="18"/>
        <v>5</v>
      </c>
      <c r="N48" s="69">
        <f t="shared" si="19"/>
        <v>3</v>
      </c>
      <c r="O48" s="69">
        <f t="shared" si="20"/>
        <v>3</v>
      </c>
      <c r="P48" s="69">
        <f t="shared" si="21"/>
        <v>3</v>
      </c>
      <c r="Q48" s="69">
        <f t="shared" si="22"/>
        <v>3</v>
      </c>
      <c r="R48" s="70">
        <f t="shared" si="23"/>
        <v>-0.40546510810816444</v>
      </c>
      <c r="S48" s="70">
        <f t="shared" si="24"/>
        <v>-0.40546510810816444</v>
      </c>
      <c r="T48" s="70">
        <f t="shared" si="25"/>
        <v>-0.29626054958652714</v>
      </c>
      <c r="U48" s="70">
        <f t="shared" si="26"/>
        <v>-0.29626054958652714</v>
      </c>
      <c r="V48" s="70">
        <f t="shared" si="27"/>
        <v>0.91287092917527679</v>
      </c>
      <c r="W48" s="70">
        <f t="shared" si="28"/>
        <v>0.91287092917527679</v>
      </c>
      <c r="X48" s="70">
        <f t="shared" si="29"/>
        <v>0</v>
      </c>
      <c r="Y48" s="70">
        <f t="shared" si="30"/>
        <v>1.2909944487358056</v>
      </c>
      <c r="Z48" s="70">
        <f t="shared" si="31"/>
        <v>0</v>
      </c>
      <c r="AA48" s="69" t="str">
        <f t="shared" si="32"/>
        <v>Negligible</v>
      </c>
      <c r="AB48" s="69" t="str">
        <f t="shared" si="33"/>
        <v>Tidak Ada Indikasi Bias</v>
      </c>
    </row>
    <row r="49" spans="1:28" ht="50" x14ac:dyDescent="0.35">
      <c r="A49" s="71" t="str">
        <f>ToT!A43</f>
        <v>39. Mengapa penting untuk menghimpun referensi teknis dan non-teknis dari berbagai sumber dalam penyusunan bahan/modul ajar pembelajaran</v>
      </c>
      <c r="B49" s="69">
        <f>ToT!B43</f>
        <v>1</v>
      </c>
      <c r="C49" s="69">
        <f>ToT!C43</f>
        <v>1</v>
      </c>
      <c r="D49" s="69">
        <f>ToT!D43</f>
        <v>1</v>
      </c>
      <c r="E49" s="69">
        <f>ToT!E43</f>
        <v>1</v>
      </c>
      <c r="F49" s="69">
        <f>ToT!F43</f>
        <v>0</v>
      </c>
      <c r="G49" s="69">
        <f>ToT!G43</f>
        <v>1</v>
      </c>
      <c r="H49" s="69">
        <f>ToT!H43</f>
        <v>0</v>
      </c>
      <c r="I49" s="69">
        <f>ToT!I43</f>
        <v>0</v>
      </c>
      <c r="J49" s="69">
        <f>ToT!J43</f>
        <v>1</v>
      </c>
      <c r="K49" s="69">
        <f>ToT!K43</f>
        <v>0</v>
      </c>
      <c r="L49" s="69">
        <f t="shared" si="17"/>
        <v>5</v>
      </c>
      <c r="M49" s="69">
        <f t="shared" si="18"/>
        <v>5</v>
      </c>
      <c r="N49" s="69">
        <f t="shared" si="19"/>
        <v>3</v>
      </c>
      <c r="O49" s="69">
        <f t="shared" si="20"/>
        <v>3</v>
      </c>
      <c r="P49" s="69">
        <f t="shared" si="21"/>
        <v>3</v>
      </c>
      <c r="Q49" s="69">
        <f t="shared" si="22"/>
        <v>3</v>
      </c>
      <c r="R49" s="70">
        <f t="shared" si="23"/>
        <v>-0.40546510810816444</v>
      </c>
      <c r="S49" s="70">
        <f t="shared" si="24"/>
        <v>-0.40546510810816444</v>
      </c>
      <c r="T49" s="70">
        <f t="shared" si="25"/>
        <v>-0.29626054958652714</v>
      </c>
      <c r="U49" s="70">
        <f t="shared" si="26"/>
        <v>-0.29626054958652714</v>
      </c>
      <c r="V49" s="70">
        <f t="shared" si="27"/>
        <v>0.91287092917527679</v>
      </c>
      <c r="W49" s="70">
        <f t="shared" si="28"/>
        <v>0.91287092917527679</v>
      </c>
      <c r="X49" s="70">
        <f t="shared" si="29"/>
        <v>0</v>
      </c>
      <c r="Y49" s="70">
        <f t="shared" si="30"/>
        <v>1.2909944487358056</v>
      </c>
      <c r="Z49" s="70">
        <f t="shared" si="31"/>
        <v>0</v>
      </c>
      <c r="AA49" s="69" t="str">
        <f t="shared" si="32"/>
        <v>Negligible</v>
      </c>
      <c r="AB49" s="69" t="str">
        <f t="shared" si="33"/>
        <v>Tidak Ada Indikasi Bias</v>
      </c>
    </row>
    <row r="50" spans="1:28" ht="37.5" x14ac:dyDescent="0.35">
      <c r="A50" s="71" t="str">
        <f>ToT!A44</f>
        <v>40. Apa yang dimaksud dengan referensi non-teknis dalam penyusunan bahan/modul ajar pembelajaran</v>
      </c>
      <c r="B50" s="69">
        <f>ToT!B44</f>
        <v>0</v>
      </c>
      <c r="C50" s="69">
        <f>ToT!C44</f>
        <v>1</v>
      </c>
      <c r="D50" s="69">
        <f>ToT!D44</f>
        <v>0</v>
      </c>
      <c r="E50" s="69">
        <f>ToT!E44</f>
        <v>1</v>
      </c>
      <c r="F50" s="69">
        <f>ToT!F44</f>
        <v>1</v>
      </c>
      <c r="G50" s="69">
        <f>ToT!G44</f>
        <v>1</v>
      </c>
      <c r="H50" s="69">
        <f>ToT!H44</f>
        <v>1</v>
      </c>
      <c r="I50" s="69">
        <f>ToT!I44</f>
        <v>1</v>
      </c>
      <c r="J50" s="69">
        <f>ToT!J44</f>
        <v>1</v>
      </c>
      <c r="K50" s="69">
        <f>ToT!K44</f>
        <v>1</v>
      </c>
      <c r="L50" s="69">
        <f t="shared" si="17"/>
        <v>5</v>
      </c>
      <c r="M50" s="69">
        <f t="shared" si="18"/>
        <v>5</v>
      </c>
      <c r="N50" s="69">
        <f t="shared" si="19"/>
        <v>4</v>
      </c>
      <c r="O50" s="69">
        <f t="shared" si="20"/>
        <v>4</v>
      </c>
      <c r="P50" s="69">
        <f t="shared" si="21"/>
        <v>4</v>
      </c>
      <c r="Q50" s="69">
        <f t="shared" si="22"/>
        <v>4</v>
      </c>
      <c r="R50" s="70">
        <f t="shared" si="23"/>
        <v>-1.3862943611198906</v>
      </c>
      <c r="S50" s="70">
        <f t="shared" si="24"/>
        <v>-1.3862943611198906</v>
      </c>
      <c r="T50" s="70">
        <f t="shared" si="25"/>
        <v>-1.2770898025982533</v>
      </c>
      <c r="U50" s="70">
        <f t="shared" si="26"/>
        <v>-1.2770898025982533</v>
      </c>
      <c r="V50" s="70">
        <f t="shared" si="27"/>
        <v>1.1180339887498949</v>
      </c>
      <c r="W50" s="70">
        <f t="shared" si="28"/>
        <v>1.1180339887498949</v>
      </c>
      <c r="X50" s="70">
        <f t="shared" si="29"/>
        <v>0</v>
      </c>
      <c r="Y50" s="70">
        <f t="shared" si="30"/>
        <v>1.5811388300841898</v>
      </c>
      <c r="Z50" s="70">
        <f t="shared" si="31"/>
        <v>0</v>
      </c>
      <c r="AA50" s="69" t="str">
        <f t="shared" si="32"/>
        <v>Negligible</v>
      </c>
      <c r="AB50" s="69" t="str">
        <f t="shared" si="33"/>
        <v>Tidak Ada Indikasi Bias</v>
      </c>
    </row>
    <row r="51" spans="1:28" ht="37.5" x14ac:dyDescent="0.35">
      <c r="A51" s="71" t="str">
        <f>ToT!A45</f>
        <v>41. Apa yang dimaksud dengan sistematika penulisan bahan/modul ajar pembelajaran</v>
      </c>
      <c r="B51" s="69">
        <f>ToT!B45</f>
        <v>1</v>
      </c>
      <c r="C51" s="69">
        <f>ToT!C45</f>
        <v>1</v>
      </c>
      <c r="D51" s="69">
        <f>ToT!D45</f>
        <v>1</v>
      </c>
      <c r="E51" s="69">
        <f>ToT!E45</f>
        <v>1</v>
      </c>
      <c r="F51" s="69">
        <f>ToT!F45</f>
        <v>1</v>
      </c>
      <c r="G51" s="69">
        <f>ToT!G45</f>
        <v>0</v>
      </c>
      <c r="H51" s="69">
        <f>ToT!H45</f>
        <v>1</v>
      </c>
      <c r="I51" s="69">
        <f>ToT!I45</f>
        <v>1</v>
      </c>
      <c r="J51" s="69">
        <f>ToT!J45</f>
        <v>1</v>
      </c>
      <c r="K51" s="69">
        <f>ToT!K45</f>
        <v>0</v>
      </c>
      <c r="L51" s="69">
        <f t="shared" si="17"/>
        <v>5</v>
      </c>
      <c r="M51" s="69">
        <f t="shared" si="18"/>
        <v>5</v>
      </c>
      <c r="N51" s="69">
        <f t="shared" si="19"/>
        <v>4</v>
      </c>
      <c r="O51" s="69">
        <f t="shared" si="20"/>
        <v>4</v>
      </c>
      <c r="P51" s="69">
        <f t="shared" si="21"/>
        <v>4</v>
      </c>
      <c r="Q51" s="69">
        <f t="shared" si="22"/>
        <v>4</v>
      </c>
      <c r="R51" s="70">
        <f t="shared" si="23"/>
        <v>-1.3862943611198906</v>
      </c>
      <c r="S51" s="70">
        <f t="shared" si="24"/>
        <v>-1.3862943611198906</v>
      </c>
      <c r="T51" s="70">
        <f t="shared" si="25"/>
        <v>-1.2770898025982533</v>
      </c>
      <c r="U51" s="70">
        <f t="shared" si="26"/>
        <v>-1.2770898025982533</v>
      </c>
      <c r="V51" s="70">
        <f t="shared" si="27"/>
        <v>1.1180339887498949</v>
      </c>
      <c r="W51" s="70">
        <f t="shared" si="28"/>
        <v>1.1180339887498949</v>
      </c>
      <c r="X51" s="70">
        <f t="shared" si="29"/>
        <v>0</v>
      </c>
      <c r="Y51" s="70">
        <f t="shared" si="30"/>
        <v>1.5811388300841898</v>
      </c>
      <c r="Z51" s="70">
        <f t="shared" si="31"/>
        <v>0</v>
      </c>
      <c r="AA51" s="69" t="str">
        <f t="shared" si="32"/>
        <v>Negligible</v>
      </c>
      <c r="AB51" s="69" t="str">
        <f t="shared" si="33"/>
        <v>Tidak Ada Indikasi Bias</v>
      </c>
    </row>
    <row r="52" spans="1:28" ht="50" x14ac:dyDescent="0.35">
      <c r="A52" s="71" t="str">
        <f>ToT!A46</f>
        <v>42. Mengapa penting untuk menyesuaikan sistematika penulisan bahan/modul ajar pembelajaran dengan pedoman penulisan yang berlaku</v>
      </c>
      <c r="B52" s="69">
        <f>ToT!B46</f>
        <v>1</v>
      </c>
      <c r="C52" s="69">
        <f>ToT!C46</f>
        <v>0</v>
      </c>
      <c r="D52" s="69">
        <f>ToT!D46</f>
        <v>1</v>
      </c>
      <c r="E52" s="69">
        <f>ToT!E46</f>
        <v>1</v>
      </c>
      <c r="F52" s="69">
        <f>ToT!F46</f>
        <v>1</v>
      </c>
      <c r="G52" s="69">
        <f>ToT!G46</f>
        <v>1</v>
      </c>
      <c r="H52" s="69">
        <f>ToT!H46</f>
        <v>1</v>
      </c>
      <c r="I52" s="69">
        <f>ToT!I46</f>
        <v>0</v>
      </c>
      <c r="J52" s="69">
        <f>ToT!J46</f>
        <v>0</v>
      </c>
      <c r="K52" s="69">
        <f>ToT!K46</f>
        <v>0</v>
      </c>
      <c r="L52" s="69">
        <f t="shared" si="17"/>
        <v>5</v>
      </c>
      <c r="M52" s="69">
        <f t="shared" si="18"/>
        <v>5</v>
      </c>
      <c r="N52" s="69">
        <f t="shared" si="19"/>
        <v>3</v>
      </c>
      <c r="O52" s="69">
        <f t="shared" si="20"/>
        <v>3</v>
      </c>
      <c r="P52" s="69">
        <f t="shared" si="21"/>
        <v>3</v>
      </c>
      <c r="Q52" s="69">
        <f t="shared" si="22"/>
        <v>3</v>
      </c>
      <c r="R52" s="70">
        <f t="shared" si="23"/>
        <v>-0.40546510810816444</v>
      </c>
      <c r="S52" s="70">
        <f t="shared" si="24"/>
        <v>-0.40546510810816444</v>
      </c>
      <c r="T52" s="70">
        <f t="shared" si="25"/>
        <v>-0.29626054958652714</v>
      </c>
      <c r="U52" s="70">
        <f t="shared" si="26"/>
        <v>-0.29626054958652714</v>
      </c>
      <c r="V52" s="70">
        <f t="shared" si="27"/>
        <v>0.91287092917527679</v>
      </c>
      <c r="W52" s="70">
        <f t="shared" si="28"/>
        <v>0.91287092917527679</v>
      </c>
      <c r="X52" s="70">
        <f t="shared" si="29"/>
        <v>0</v>
      </c>
      <c r="Y52" s="70">
        <f t="shared" si="30"/>
        <v>1.2909944487358056</v>
      </c>
      <c r="Z52" s="70">
        <f t="shared" si="31"/>
        <v>0</v>
      </c>
      <c r="AA52" s="69" t="str">
        <f t="shared" si="32"/>
        <v>Negligible</v>
      </c>
      <c r="AB52" s="69" t="str">
        <f t="shared" si="33"/>
        <v>Tidak Ada Indikasi Bias</v>
      </c>
    </row>
    <row r="53" spans="1:28" ht="62.5" customHeight="1" x14ac:dyDescent="0.35">
      <c r="A53" s="71" t="str">
        <f>ToT!A47</f>
        <v>43. Apa yang dimaksud dengan penyesuaian bahan/modul ajar pembelajaran dengan CPL pembelajaran</v>
      </c>
      <c r="B53" s="69">
        <f>ToT!B47</f>
        <v>1</v>
      </c>
      <c r="C53" s="69">
        <f>ToT!C47</f>
        <v>0</v>
      </c>
      <c r="D53" s="69">
        <f>ToT!D47</f>
        <v>0</v>
      </c>
      <c r="E53" s="69">
        <f>ToT!E47</f>
        <v>1</v>
      </c>
      <c r="F53" s="69">
        <f>ToT!F47</f>
        <v>1</v>
      </c>
      <c r="G53" s="69">
        <f>ToT!G47</f>
        <v>1</v>
      </c>
      <c r="H53" s="69">
        <f>ToT!H47</f>
        <v>1</v>
      </c>
      <c r="I53" s="69">
        <f>ToT!I47</f>
        <v>1</v>
      </c>
      <c r="J53" s="69">
        <f>ToT!J47</f>
        <v>1</v>
      </c>
      <c r="K53" s="69">
        <f>ToT!K47</f>
        <v>1</v>
      </c>
      <c r="L53" s="69">
        <f t="shared" si="17"/>
        <v>5</v>
      </c>
      <c r="M53" s="69">
        <f t="shared" si="18"/>
        <v>5</v>
      </c>
      <c r="N53" s="69">
        <f t="shared" si="19"/>
        <v>4</v>
      </c>
      <c r="O53" s="69">
        <f t="shared" si="20"/>
        <v>4</v>
      </c>
      <c r="P53" s="69">
        <f t="shared" si="21"/>
        <v>4</v>
      </c>
      <c r="Q53" s="69">
        <f t="shared" si="22"/>
        <v>4</v>
      </c>
      <c r="R53" s="70">
        <f t="shared" si="23"/>
        <v>-1.3862943611198906</v>
      </c>
      <c r="S53" s="70">
        <f t="shared" si="24"/>
        <v>-1.3862943611198906</v>
      </c>
      <c r="T53" s="70">
        <f t="shared" si="25"/>
        <v>-1.2770898025982533</v>
      </c>
      <c r="U53" s="70">
        <f t="shared" si="26"/>
        <v>-1.2770898025982533</v>
      </c>
      <c r="V53" s="70">
        <f t="shared" si="27"/>
        <v>1.1180339887498949</v>
      </c>
      <c r="W53" s="70">
        <f t="shared" si="28"/>
        <v>1.1180339887498949</v>
      </c>
      <c r="X53" s="70">
        <f t="shared" si="29"/>
        <v>0</v>
      </c>
      <c r="Y53" s="70">
        <f t="shared" si="30"/>
        <v>1.5811388300841898</v>
      </c>
      <c r="Z53" s="70">
        <f t="shared" si="31"/>
        <v>0</v>
      </c>
      <c r="AA53" s="69" t="str">
        <f t="shared" si="32"/>
        <v>Negligible</v>
      </c>
      <c r="AB53" s="69" t="str">
        <f t="shared" si="33"/>
        <v>Tidak Ada Indikasi Bias</v>
      </c>
    </row>
    <row r="54" spans="1:28" ht="62.5" x14ac:dyDescent="0.35">
      <c r="A54" s="71" t="str">
        <f>ToT!A48</f>
        <v>44. Mengapa penting untuk merujuk kepada ketentuan sistematika yang diatur dalam pedoman penulisan yang berlaku saat menyusun Buku Informasi, Buku Kerja, dan Buku Penilaian</v>
      </c>
      <c r="B54" s="69">
        <f>ToT!B48</f>
        <v>0</v>
      </c>
      <c r="C54" s="69">
        <f>ToT!C48</f>
        <v>1</v>
      </c>
      <c r="D54" s="69">
        <f>ToT!D48</f>
        <v>0</v>
      </c>
      <c r="E54" s="69">
        <f>ToT!E48</f>
        <v>1</v>
      </c>
      <c r="F54" s="69">
        <f>ToT!F48</f>
        <v>1</v>
      </c>
      <c r="G54" s="69">
        <f>ToT!G48</f>
        <v>0</v>
      </c>
      <c r="H54" s="69">
        <f>ToT!H48</f>
        <v>0</v>
      </c>
      <c r="I54" s="69">
        <f>ToT!I48</f>
        <v>1</v>
      </c>
      <c r="J54" s="69">
        <f>ToT!J48</f>
        <v>0</v>
      </c>
      <c r="K54" s="69">
        <f>ToT!K48</f>
        <v>0</v>
      </c>
      <c r="L54" s="69">
        <f t="shared" si="17"/>
        <v>5</v>
      </c>
      <c r="M54" s="69">
        <f t="shared" si="18"/>
        <v>5</v>
      </c>
      <c r="N54" s="69">
        <f t="shared" si="19"/>
        <v>2</v>
      </c>
      <c r="O54" s="69">
        <f t="shared" si="20"/>
        <v>2</v>
      </c>
      <c r="P54" s="69">
        <f t="shared" si="21"/>
        <v>2</v>
      </c>
      <c r="Q54" s="69">
        <f t="shared" si="22"/>
        <v>2</v>
      </c>
      <c r="R54" s="70">
        <f t="shared" si="23"/>
        <v>0.40546510810816438</v>
      </c>
      <c r="S54" s="70">
        <f t="shared" si="24"/>
        <v>0.40546510810816438</v>
      </c>
      <c r="T54" s="70">
        <f t="shared" si="25"/>
        <v>0.51466966662980163</v>
      </c>
      <c r="U54" s="70">
        <f t="shared" si="26"/>
        <v>0.51466966662980163</v>
      </c>
      <c r="V54" s="70">
        <f t="shared" si="27"/>
        <v>0.91287092917527679</v>
      </c>
      <c r="W54" s="70">
        <f t="shared" si="28"/>
        <v>0.91287092917527679</v>
      </c>
      <c r="X54" s="70">
        <f t="shared" si="29"/>
        <v>0</v>
      </c>
      <c r="Y54" s="70">
        <f t="shared" si="30"/>
        <v>1.2909944487358056</v>
      </c>
      <c r="Z54" s="70">
        <f t="shared" si="31"/>
        <v>0</v>
      </c>
      <c r="AA54" s="69" t="str">
        <f t="shared" si="32"/>
        <v>Negligible</v>
      </c>
      <c r="AB54" s="69" t="str">
        <f t="shared" si="33"/>
        <v>Tidak Ada Indikasi Bias</v>
      </c>
    </row>
    <row r="55" spans="1:28" ht="37.5" customHeight="1" x14ac:dyDescent="0.35">
      <c r="A55" s="71" t="str">
        <f>ToT!A49</f>
        <v>45. Mengapa penting untuk melakukan perbaikan draf bahan/modul ajar pembelajaran kerja berdasarkan perkembangan IPTEK</v>
      </c>
      <c r="B55" s="69">
        <f>ToT!B49</f>
        <v>0</v>
      </c>
      <c r="C55" s="69">
        <f>ToT!C49</f>
        <v>1</v>
      </c>
      <c r="D55" s="69">
        <f>ToT!D49</f>
        <v>0</v>
      </c>
      <c r="E55" s="69">
        <f>ToT!E49</f>
        <v>0</v>
      </c>
      <c r="F55" s="69">
        <f>ToT!F49</f>
        <v>0</v>
      </c>
      <c r="G55" s="69">
        <f>ToT!G49</f>
        <v>0</v>
      </c>
      <c r="H55" s="69">
        <f>ToT!H49</f>
        <v>0</v>
      </c>
      <c r="I55" s="69">
        <f>ToT!I49</f>
        <v>1</v>
      </c>
      <c r="J55" s="69">
        <f>ToT!J49</f>
        <v>1</v>
      </c>
      <c r="K55" s="69">
        <f>ToT!K49</f>
        <v>1</v>
      </c>
      <c r="L55" s="69">
        <f t="shared" si="17"/>
        <v>5</v>
      </c>
      <c r="M55" s="69">
        <f t="shared" si="18"/>
        <v>5</v>
      </c>
      <c r="N55" s="69">
        <f t="shared" si="19"/>
        <v>2</v>
      </c>
      <c r="O55" s="69">
        <f t="shared" si="20"/>
        <v>2</v>
      </c>
      <c r="P55" s="69">
        <f t="shared" si="21"/>
        <v>2</v>
      </c>
      <c r="Q55" s="69">
        <f t="shared" si="22"/>
        <v>2</v>
      </c>
      <c r="R55" s="70">
        <f t="shared" si="23"/>
        <v>0.40546510810816438</v>
      </c>
      <c r="S55" s="70">
        <f t="shared" si="24"/>
        <v>0.40546510810816438</v>
      </c>
      <c r="T55" s="70">
        <f t="shared" si="25"/>
        <v>0.51466966662980163</v>
      </c>
      <c r="U55" s="70">
        <f t="shared" si="26"/>
        <v>0.51466966662980163</v>
      </c>
      <c r="V55" s="70">
        <f t="shared" si="27"/>
        <v>0.91287092917527679</v>
      </c>
      <c r="W55" s="70">
        <f t="shared" si="28"/>
        <v>0.91287092917527679</v>
      </c>
      <c r="X55" s="70">
        <f t="shared" si="29"/>
        <v>0</v>
      </c>
      <c r="Y55" s="70">
        <f t="shared" si="30"/>
        <v>1.2909944487358056</v>
      </c>
      <c r="Z55" s="70">
        <f t="shared" si="31"/>
        <v>0</v>
      </c>
      <c r="AA55" s="69" t="str">
        <f t="shared" si="32"/>
        <v>Negligible</v>
      </c>
      <c r="AB55" s="69" t="str">
        <f t="shared" si="33"/>
        <v>Tidak Ada Indikasi Bias</v>
      </c>
    </row>
    <row r="56" spans="1:28" ht="37.5" x14ac:dyDescent="0.35">
      <c r="A56" s="71" t="str">
        <f>ToT!A50</f>
        <v>46. Apa yang dimaksud dengan kebutuhan stakeholder dalam konteks perbaikan draf bahan/modul ajar pembelajaran kerja</v>
      </c>
      <c r="B56" s="69">
        <f>ToT!B50</f>
        <v>1</v>
      </c>
      <c r="C56" s="69">
        <f>ToT!C50</f>
        <v>0</v>
      </c>
      <c r="D56" s="69">
        <f>ToT!D50</f>
        <v>0</v>
      </c>
      <c r="E56" s="69">
        <f>ToT!E50</f>
        <v>0</v>
      </c>
      <c r="F56" s="69">
        <f>ToT!F50</f>
        <v>0</v>
      </c>
      <c r="G56" s="69">
        <f>ToT!G50</f>
        <v>0</v>
      </c>
      <c r="H56" s="69">
        <f>ToT!H50</f>
        <v>0</v>
      </c>
      <c r="I56" s="69">
        <f>ToT!I50</f>
        <v>1</v>
      </c>
      <c r="J56" s="69">
        <f>ToT!J50</f>
        <v>1</v>
      </c>
      <c r="K56" s="69">
        <f>ToT!K50</f>
        <v>1</v>
      </c>
      <c r="L56" s="69">
        <f t="shared" si="17"/>
        <v>5</v>
      </c>
      <c r="M56" s="69">
        <f t="shared" si="18"/>
        <v>5</v>
      </c>
      <c r="N56" s="69">
        <f t="shared" si="19"/>
        <v>2</v>
      </c>
      <c r="O56" s="69">
        <f t="shared" si="20"/>
        <v>2</v>
      </c>
      <c r="P56" s="69">
        <f t="shared" si="21"/>
        <v>2</v>
      </c>
      <c r="Q56" s="69">
        <f t="shared" si="22"/>
        <v>2</v>
      </c>
      <c r="R56" s="70">
        <f t="shared" si="23"/>
        <v>0.40546510810816438</v>
      </c>
      <c r="S56" s="70">
        <f t="shared" si="24"/>
        <v>0.40546510810816438</v>
      </c>
      <c r="T56" s="70">
        <f t="shared" si="25"/>
        <v>0.51466966662980163</v>
      </c>
      <c r="U56" s="70">
        <f t="shared" si="26"/>
        <v>0.51466966662980163</v>
      </c>
      <c r="V56" s="70">
        <f t="shared" si="27"/>
        <v>0.91287092917527679</v>
      </c>
      <c r="W56" s="70">
        <f t="shared" si="28"/>
        <v>0.91287092917527679</v>
      </c>
      <c r="X56" s="70">
        <f t="shared" si="29"/>
        <v>0</v>
      </c>
      <c r="Y56" s="70">
        <f t="shared" si="30"/>
        <v>1.2909944487358056</v>
      </c>
      <c r="Z56" s="70">
        <f t="shared" si="31"/>
        <v>0</v>
      </c>
      <c r="AA56" s="69" t="str">
        <f t="shared" si="32"/>
        <v>Negligible</v>
      </c>
      <c r="AB56" s="69" t="str">
        <f t="shared" si="33"/>
        <v>Tidak Ada Indikasi Bias</v>
      </c>
    </row>
    <row r="57" spans="1:28" ht="50" customHeight="1" x14ac:dyDescent="0.35">
      <c r="A57" s="71" t="str">
        <f>ToT!A51</f>
        <v>47. Mengapa penggunaan metode yang tepat penting dalam penyusunan bahan/modul ajar pembelajaran kerja</v>
      </c>
      <c r="B57" s="69">
        <f>ToT!B51</f>
        <v>0</v>
      </c>
      <c r="C57" s="69">
        <f>ToT!C51</f>
        <v>0</v>
      </c>
      <c r="D57" s="69">
        <f>ToT!D51</f>
        <v>0</v>
      </c>
      <c r="E57" s="69">
        <f>ToT!E51</f>
        <v>1</v>
      </c>
      <c r="F57" s="69">
        <f>ToT!F51</f>
        <v>0</v>
      </c>
      <c r="G57" s="69">
        <f>ToT!G51</f>
        <v>1</v>
      </c>
      <c r="H57" s="69">
        <f>ToT!H51</f>
        <v>0</v>
      </c>
      <c r="I57" s="69">
        <f>ToT!I51</f>
        <v>1</v>
      </c>
      <c r="J57" s="69">
        <f>ToT!J51</f>
        <v>1</v>
      </c>
      <c r="K57" s="69">
        <f>ToT!K51</f>
        <v>0</v>
      </c>
      <c r="L57" s="69">
        <f t="shared" si="17"/>
        <v>5</v>
      </c>
      <c r="M57" s="69">
        <f t="shared" si="18"/>
        <v>5</v>
      </c>
      <c r="N57" s="69">
        <f t="shared" si="19"/>
        <v>2</v>
      </c>
      <c r="O57" s="69">
        <f t="shared" si="20"/>
        <v>2</v>
      </c>
      <c r="P57" s="69">
        <f t="shared" si="21"/>
        <v>2</v>
      </c>
      <c r="Q57" s="69">
        <f t="shared" si="22"/>
        <v>2</v>
      </c>
      <c r="R57" s="70">
        <f t="shared" si="23"/>
        <v>0.40546510810816438</v>
      </c>
      <c r="S57" s="70">
        <f t="shared" si="24"/>
        <v>0.40546510810816438</v>
      </c>
      <c r="T57" s="70">
        <f t="shared" si="25"/>
        <v>0.51466966662980163</v>
      </c>
      <c r="U57" s="70">
        <f t="shared" si="26"/>
        <v>0.51466966662980163</v>
      </c>
      <c r="V57" s="70">
        <f t="shared" si="27"/>
        <v>0.91287092917527679</v>
      </c>
      <c r="W57" s="70">
        <f t="shared" si="28"/>
        <v>0.91287092917527679</v>
      </c>
      <c r="X57" s="70">
        <f t="shared" si="29"/>
        <v>0</v>
      </c>
      <c r="Y57" s="70">
        <f t="shared" si="30"/>
        <v>1.2909944487358056</v>
      </c>
      <c r="Z57" s="70">
        <f t="shared" si="31"/>
        <v>0</v>
      </c>
      <c r="AA57" s="69" t="str">
        <f t="shared" si="32"/>
        <v>Negligible</v>
      </c>
      <c r="AB57" s="69" t="str">
        <f t="shared" si="33"/>
        <v>Tidak Ada Indikasi Bias</v>
      </c>
    </row>
    <row r="58" spans="1:28" ht="50" customHeight="1" x14ac:dyDescent="0.35">
      <c r="A58" s="71" t="str">
        <f>ToT!A52</f>
        <v>48. Apa yang dimaksud dengan pengorganisasian materi yang disempurnakan dalam penyusunan bahan/modul ajar pembelajaran kerja</v>
      </c>
      <c r="B58" s="69">
        <f>ToT!B52</f>
        <v>1</v>
      </c>
      <c r="C58" s="69">
        <f>ToT!C52</f>
        <v>0</v>
      </c>
      <c r="D58" s="69">
        <f>ToT!D52</f>
        <v>1</v>
      </c>
      <c r="E58" s="69">
        <f>ToT!E52</f>
        <v>1</v>
      </c>
      <c r="F58" s="69">
        <f>ToT!F52</f>
        <v>1</v>
      </c>
      <c r="G58" s="69">
        <f>ToT!G52</f>
        <v>1</v>
      </c>
      <c r="H58" s="69">
        <f>ToT!H52</f>
        <v>0</v>
      </c>
      <c r="I58" s="69">
        <f>ToT!I52</f>
        <v>1</v>
      </c>
      <c r="J58" s="69">
        <f>ToT!J52</f>
        <v>0</v>
      </c>
      <c r="K58" s="69">
        <f>ToT!K52</f>
        <v>0</v>
      </c>
      <c r="L58" s="69">
        <f t="shared" si="17"/>
        <v>5</v>
      </c>
      <c r="M58" s="69">
        <f t="shared" si="18"/>
        <v>5</v>
      </c>
      <c r="N58" s="69">
        <f t="shared" si="19"/>
        <v>3</v>
      </c>
      <c r="O58" s="69">
        <f t="shared" si="20"/>
        <v>3</v>
      </c>
      <c r="P58" s="69">
        <f t="shared" si="21"/>
        <v>3</v>
      </c>
      <c r="Q58" s="69">
        <f t="shared" si="22"/>
        <v>3</v>
      </c>
      <c r="R58" s="70">
        <f t="shared" si="23"/>
        <v>-0.40546510810816444</v>
      </c>
      <c r="S58" s="70">
        <f t="shared" si="24"/>
        <v>-0.40546510810816444</v>
      </c>
      <c r="T58" s="70">
        <f t="shared" si="25"/>
        <v>-0.29626054958652714</v>
      </c>
      <c r="U58" s="70">
        <f t="shared" si="26"/>
        <v>-0.29626054958652714</v>
      </c>
      <c r="V58" s="70">
        <f t="shared" si="27"/>
        <v>0.91287092917527679</v>
      </c>
      <c r="W58" s="70">
        <f t="shared" si="28"/>
        <v>0.91287092917527679</v>
      </c>
      <c r="X58" s="70">
        <f t="shared" si="29"/>
        <v>0</v>
      </c>
      <c r="Y58" s="70">
        <f t="shared" si="30"/>
        <v>1.2909944487358056</v>
      </c>
      <c r="Z58" s="70">
        <f t="shared" si="31"/>
        <v>0</v>
      </c>
      <c r="AA58" s="69" t="str">
        <f t="shared" si="32"/>
        <v>Negligible</v>
      </c>
      <c r="AB58" s="69" t="str">
        <f t="shared" si="33"/>
        <v>Tidak Ada Indikasi Bias</v>
      </c>
    </row>
    <row r="59" spans="1:28" ht="50" customHeight="1" x14ac:dyDescent="0.35">
      <c r="A59" s="71" t="str">
        <f>ToT!A53</f>
        <v>49. Mengapa penting untuk menjaga tata tulis yang baik dalam penyusunan bahan/modul ajar pembelajaran kerja</v>
      </c>
      <c r="B59" s="69">
        <f>ToT!B53</f>
        <v>0</v>
      </c>
      <c r="C59" s="69">
        <f>ToT!C53</f>
        <v>1</v>
      </c>
      <c r="D59" s="69">
        <f>ToT!D53</f>
        <v>1</v>
      </c>
      <c r="E59" s="69">
        <f>ToT!E53</f>
        <v>0</v>
      </c>
      <c r="F59" s="69">
        <f>ToT!F53</f>
        <v>1</v>
      </c>
      <c r="G59" s="69">
        <f>ToT!G53</f>
        <v>1</v>
      </c>
      <c r="H59" s="69">
        <f>ToT!H53</f>
        <v>1</v>
      </c>
      <c r="I59" s="69">
        <f>ToT!I53</f>
        <v>1</v>
      </c>
      <c r="J59" s="69">
        <f>ToT!J53</f>
        <v>1</v>
      </c>
      <c r="K59" s="69">
        <f>ToT!K53</f>
        <v>1</v>
      </c>
      <c r="L59" s="69">
        <f t="shared" si="17"/>
        <v>5</v>
      </c>
      <c r="M59" s="69">
        <f t="shared" si="18"/>
        <v>5</v>
      </c>
      <c r="N59" s="69">
        <f t="shared" si="19"/>
        <v>4</v>
      </c>
      <c r="O59" s="69">
        <f t="shared" si="20"/>
        <v>4</v>
      </c>
      <c r="P59" s="69">
        <f t="shared" si="21"/>
        <v>4</v>
      </c>
      <c r="Q59" s="69">
        <f t="shared" si="22"/>
        <v>4</v>
      </c>
      <c r="R59" s="70">
        <f t="shared" si="23"/>
        <v>-1.3862943611198906</v>
      </c>
      <c r="S59" s="70">
        <f t="shared" si="24"/>
        <v>-1.3862943611198906</v>
      </c>
      <c r="T59" s="70">
        <f t="shared" si="25"/>
        <v>-1.2770898025982533</v>
      </c>
      <c r="U59" s="70">
        <f t="shared" si="26"/>
        <v>-1.2770898025982533</v>
      </c>
      <c r="V59" s="70">
        <f t="shared" si="27"/>
        <v>1.1180339887498949</v>
      </c>
      <c r="W59" s="70">
        <f t="shared" si="28"/>
        <v>1.1180339887498949</v>
      </c>
      <c r="X59" s="70">
        <f t="shared" si="29"/>
        <v>0</v>
      </c>
      <c r="Y59" s="70">
        <f t="shared" si="30"/>
        <v>1.5811388300841898</v>
      </c>
      <c r="Z59" s="70">
        <f t="shared" si="31"/>
        <v>0</v>
      </c>
      <c r="AA59" s="69" t="str">
        <f t="shared" si="32"/>
        <v>Negligible</v>
      </c>
      <c r="AB59" s="69" t="str">
        <f t="shared" si="33"/>
        <v>Tidak Ada Indikasi Bias</v>
      </c>
    </row>
    <row r="60" spans="1:28" ht="37.5" x14ac:dyDescent="0.35">
      <c r="A60" s="71" t="str">
        <f>ToT!A54</f>
        <v>50. Apa yang dilakukan setelah bahan/modul ajar pembelajaran ditetapkan oleh pimpinan</v>
      </c>
      <c r="B60" s="69">
        <f>ToT!B54</f>
        <v>1</v>
      </c>
      <c r="C60" s="69">
        <f>ToT!C54</f>
        <v>0</v>
      </c>
      <c r="D60" s="69">
        <f>ToT!D54</f>
        <v>0</v>
      </c>
      <c r="E60" s="69">
        <f>ToT!E54</f>
        <v>0</v>
      </c>
      <c r="F60" s="69">
        <f>ToT!F54</f>
        <v>0</v>
      </c>
      <c r="G60" s="69">
        <f>ToT!G54</f>
        <v>0</v>
      </c>
      <c r="H60" s="69">
        <f>ToT!H54</f>
        <v>1</v>
      </c>
      <c r="I60" s="69">
        <f>ToT!I54</f>
        <v>0</v>
      </c>
      <c r="J60" s="69">
        <f>ToT!J54</f>
        <v>1</v>
      </c>
      <c r="K60" s="69">
        <f>ToT!K54</f>
        <v>1</v>
      </c>
      <c r="L60" s="69">
        <f t="shared" si="17"/>
        <v>5</v>
      </c>
      <c r="M60" s="69">
        <f t="shared" si="18"/>
        <v>5</v>
      </c>
      <c r="N60" s="69">
        <f t="shared" si="19"/>
        <v>2</v>
      </c>
      <c r="O60" s="69">
        <f t="shared" si="20"/>
        <v>2</v>
      </c>
      <c r="P60" s="69">
        <f t="shared" si="21"/>
        <v>2</v>
      </c>
      <c r="Q60" s="69">
        <f t="shared" si="22"/>
        <v>2</v>
      </c>
      <c r="R60" s="70">
        <f t="shared" si="23"/>
        <v>0.40546510810816438</v>
      </c>
      <c r="S60" s="70">
        <f t="shared" si="24"/>
        <v>0.40546510810816438</v>
      </c>
      <c r="T60" s="70">
        <f t="shared" si="25"/>
        <v>0.51466966662980163</v>
      </c>
      <c r="U60" s="70">
        <f t="shared" si="26"/>
        <v>0.51466966662980163</v>
      </c>
      <c r="V60" s="70">
        <f t="shared" si="27"/>
        <v>0.91287092917527679</v>
      </c>
      <c r="W60" s="70">
        <f t="shared" si="28"/>
        <v>0.91287092917527679</v>
      </c>
      <c r="X60" s="70">
        <f t="shared" si="29"/>
        <v>0</v>
      </c>
      <c r="Y60" s="70">
        <f t="shared" si="30"/>
        <v>1.2909944487358056</v>
      </c>
      <c r="Z60" s="70">
        <f t="shared" si="31"/>
        <v>0</v>
      </c>
      <c r="AA60" s="69" t="str">
        <f t="shared" si="32"/>
        <v>Negligible</v>
      </c>
      <c r="AB60" s="69" t="str">
        <f t="shared" si="33"/>
        <v>Tidak Ada Indikasi Bias</v>
      </c>
    </row>
    <row r="61" spans="1:28" ht="50" x14ac:dyDescent="0.35">
      <c r="A61" s="71" t="str">
        <f>ToT!A55</f>
        <v>51. Sebuah pendekatan atau paradigma pembelajaran yang meletakan mahasiswa pada pusat proses pembelajaran (the center of the learning process) adalah</v>
      </c>
      <c r="B61" s="69">
        <f>ToT!B55</f>
        <v>1</v>
      </c>
      <c r="C61" s="69">
        <f>ToT!C55</f>
        <v>0</v>
      </c>
      <c r="D61" s="69">
        <f>ToT!D55</f>
        <v>0</v>
      </c>
      <c r="E61" s="69">
        <f>ToT!E55</f>
        <v>0</v>
      </c>
      <c r="F61" s="69">
        <f>ToT!F55</f>
        <v>0</v>
      </c>
      <c r="G61" s="69">
        <f>ToT!G55</f>
        <v>1</v>
      </c>
      <c r="H61" s="69">
        <f>ToT!H55</f>
        <v>0</v>
      </c>
      <c r="I61" s="69">
        <f>ToT!I55</f>
        <v>0</v>
      </c>
      <c r="J61" s="69">
        <f>ToT!J55</f>
        <v>1</v>
      </c>
      <c r="K61" s="69">
        <f>ToT!K55</f>
        <v>1</v>
      </c>
      <c r="L61" s="69">
        <f t="shared" si="17"/>
        <v>5</v>
      </c>
      <c r="M61" s="69">
        <f t="shared" si="18"/>
        <v>5</v>
      </c>
      <c r="N61" s="69">
        <f t="shared" si="19"/>
        <v>2</v>
      </c>
      <c r="O61" s="69">
        <f t="shared" si="20"/>
        <v>2</v>
      </c>
      <c r="P61" s="69">
        <f t="shared" si="21"/>
        <v>2</v>
      </c>
      <c r="Q61" s="69">
        <f t="shared" si="22"/>
        <v>2</v>
      </c>
      <c r="R61" s="70">
        <f t="shared" si="23"/>
        <v>0.40546510810816438</v>
      </c>
      <c r="S61" s="70">
        <f t="shared" si="24"/>
        <v>0.40546510810816438</v>
      </c>
      <c r="T61" s="70">
        <f t="shared" si="25"/>
        <v>0.51466966662980163</v>
      </c>
      <c r="U61" s="70">
        <f t="shared" si="26"/>
        <v>0.51466966662980163</v>
      </c>
      <c r="V61" s="70">
        <f t="shared" si="27"/>
        <v>0.91287092917527679</v>
      </c>
      <c r="W61" s="70">
        <f t="shared" si="28"/>
        <v>0.91287092917527679</v>
      </c>
      <c r="X61" s="70">
        <f t="shared" si="29"/>
        <v>0</v>
      </c>
      <c r="Y61" s="70">
        <f t="shared" si="30"/>
        <v>1.2909944487358056</v>
      </c>
      <c r="Z61" s="70">
        <f t="shared" si="31"/>
        <v>0</v>
      </c>
      <c r="AA61" s="69" t="str">
        <f t="shared" si="32"/>
        <v>Negligible</v>
      </c>
      <c r="AB61" s="69" t="str">
        <f t="shared" si="33"/>
        <v>Tidak Ada Indikasi Bias</v>
      </c>
    </row>
    <row r="62" spans="1:28" ht="37.5" customHeight="1" x14ac:dyDescent="0.35">
      <c r="A62" s="71" t="str">
        <f>ToT!A56</f>
        <v>52. Berdasarkan Indikator Kinerja Utama (IKU) 7: Kelas yang Kolaboratif dan Partisipatif kriteria metode pembelajaran yang digunakan adalah</v>
      </c>
      <c r="B62" s="69">
        <f>ToT!B56</f>
        <v>1</v>
      </c>
      <c r="C62" s="69">
        <f>ToT!C56</f>
        <v>1</v>
      </c>
      <c r="D62" s="69">
        <f>ToT!D56</f>
        <v>0</v>
      </c>
      <c r="E62" s="69">
        <f>ToT!E56</f>
        <v>1</v>
      </c>
      <c r="F62" s="69">
        <f>ToT!F56</f>
        <v>1</v>
      </c>
      <c r="G62" s="69">
        <f>ToT!G56</f>
        <v>0</v>
      </c>
      <c r="H62" s="69">
        <f>ToT!H56</f>
        <v>0</v>
      </c>
      <c r="I62" s="69">
        <f>ToT!I56</f>
        <v>0</v>
      </c>
      <c r="J62" s="69">
        <f>ToT!J56</f>
        <v>0</v>
      </c>
      <c r="K62" s="69">
        <f>ToT!K56</f>
        <v>0</v>
      </c>
      <c r="L62" s="69">
        <f t="shared" si="17"/>
        <v>5</v>
      </c>
      <c r="M62" s="69">
        <f t="shared" si="18"/>
        <v>5</v>
      </c>
      <c r="N62" s="69">
        <f t="shared" si="19"/>
        <v>2</v>
      </c>
      <c r="O62" s="69">
        <f t="shared" si="20"/>
        <v>2</v>
      </c>
      <c r="P62" s="69">
        <f t="shared" si="21"/>
        <v>2</v>
      </c>
      <c r="Q62" s="69">
        <f t="shared" si="22"/>
        <v>2</v>
      </c>
      <c r="R62" s="70">
        <f t="shared" si="23"/>
        <v>0.40546510810816438</v>
      </c>
      <c r="S62" s="70">
        <f t="shared" si="24"/>
        <v>0.40546510810816438</v>
      </c>
      <c r="T62" s="70">
        <f t="shared" si="25"/>
        <v>0.51466966662980163</v>
      </c>
      <c r="U62" s="70">
        <f t="shared" si="26"/>
        <v>0.51466966662980163</v>
      </c>
      <c r="V62" s="70">
        <f t="shared" si="27"/>
        <v>0.91287092917527679</v>
      </c>
      <c r="W62" s="70">
        <f t="shared" si="28"/>
        <v>0.91287092917527679</v>
      </c>
      <c r="X62" s="70">
        <f t="shared" si="29"/>
        <v>0</v>
      </c>
      <c r="Y62" s="70">
        <f t="shared" si="30"/>
        <v>1.2909944487358056</v>
      </c>
      <c r="Z62" s="70">
        <f t="shared" si="31"/>
        <v>0</v>
      </c>
      <c r="AA62" s="69" t="str">
        <f t="shared" si="32"/>
        <v>Negligible</v>
      </c>
      <c r="AB62" s="69" t="str">
        <f t="shared" si="33"/>
        <v>Tidak Ada Indikasi Bias</v>
      </c>
    </row>
    <row r="63" spans="1:28" ht="37.5" x14ac:dyDescent="0.35">
      <c r="A63" s="71" t="str">
        <f>ToT!A57</f>
        <v>53. Bagaimana cara menetapkan metode pembelajaran yang efektif sesuai dengan karakteristik mata kuliah</v>
      </c>
      <c r="B63" s="69">
        <f>ToT!B57</f>
        <v>0</v>
      </c>
      <c r="C63" s="69">
        <f>ToT!C57</f>
        <v>1</v>
      </c>
      <c r="D63" s="69">
        <f>ToT!D57</f>
        <v>1</v>
      </c>
      <c r="E63" s="69">
        <f>ToT!E57</f>
        <v>0</v>
      </c>
      <c r="F63" s="69">
        <f>ToT!F57</f>
        <v>1</v>
      </c>
      <c r="G63" s="69">
        <f>ToT!G57</f>
        <v>1</v>
      </c>
      <c r="H63" s="69">
        <f>ToT!H57</f>
        <v>1</v>
      </c>
      <c r="I63" s="69">
        <f>ToT!I57</f>
        <v>1</v>
      </c>
      <c r="J63" s="69">
        <f>ToT!J57</f>
        <v>1</v>
      </c>
      <c r="K63" s="69">
        <f>ToT!K57</f>
        <v>1</v>
      </c>
      <c r="L63" s="69">
        <f t="shared" si="17"/>
        <v>5</v>
      </c>
      <c r="M63" s="69">
        <f t="shared" si="18"/>
        <v>5</v>
      </c>
      <c r="N63" s="69">
        <f t="shared" si="19"/>
        <v>4</v>
      </c>
      <c r="O63" s="69">
        <f t="shared" si="20"/>
        <v>4</v>
      </c>
      <c r="P63" s="69">
        <f t="shared" si="21"/>
        <v>4</v>
      </c>
      <c r="Q63" s="69">
        <f t="shared" si="22"/>
        <v>4</v>
      </c>
      <c r="R63" s="70">
        <f t="shared" si="23"/>
        <v>-1.3862943611198906</v>
      </c>
      <c r="S63" s="70">
        <f t="shared" si="24"/>
        <v>-1.3862943611198906</v>
      </c>
      <c r="T63" s="70">
        <f t="shared" si="25"/>
        <v>-1.2770898025982533</v>
      </c>
      <c r="U63" s="70">
        <f t="shared" si="26"/>
        <v>-1.2770898025982533</v>
      </c>
      <c r="V63" s="70">
        <f t="shared" si="27"/>
        <v>1.1180339887498949</v>
      </c>
      <c r="W63" s="70">
        <f t="shared" si="28"/>
        <v>1.1180339887498949</v>
      </c>
      <c r="X63" s="70">
        <f t="shared" si="29"/>
        <v>0</v>
      </c>
      <c r="Y63" s="70">
        <f t="shared" si="30"/>
        <v>1.5811388300841898</v>
      </c>
      <c r="Z63" s="70">
        <f t="shared" si="31"/>
        <v>0</v>
      </c>
      <c r="AA63" s="69" t="str">
        <f t="shared" si="32"/>
        <v>Negligible</v>
      </c>
      <c r="AB63" s="69" t="str">
        <f t="shared" si="33"/>
        <v>Tidak Ada Indikasi Bias</v>
      </c>
    </row>
    <row r="64" spans="1:28" ht="37.5" customHeight="1" x14ac:dyDescent="0.35">
      <c r="A64" s="71" t="str">
        <f>ToT!A58</f>
        <v>54. Elemen student-centered lerarning (SCL) adalah</v>
      </c>
      <c r="B64" s="69">
        <f>ToT!B58</f>
        <v>1</v>
      </c>
      <c r="C64" s="69">
        <f>ToT!C58</f>
        <v>1</v>
      </c>
      <c r="D64" s="69">
        <f>ToT!D58</f>
        <v>1</v>
      </c>
      <c r="E64" s="69">
        <f>ToT!E58</f>
        <v>1</v>
      </c>
      <c r="F64" s="69">
        <f>ToT!F58</f>
        <v>1</v>
      </c>
      <c r="G64" s="69">
        <f>ToT!G58</f>
        <v>0</v>
      </c>
      <c r="H64" s="69">
        <f>ToT!H58</f>
        <v>0</v>
      </c>
      <c r="I64" s="69">
        <f>ToT!I58</f>
        <v>1</v>
      </c>
      <c r="J64" s="69">
        <f>ToT!J58</f>
        <v>0</v>
      </c>
      <c r="K64" s="69">
        <f>ToT!K58</f>
        <v>0</v>
      </c>
      <c r="L64" s="69">
        <f t="shared" si="17"/>
        <v>5</v>
      </c>
      <c r="M64" s="69">
        <f t="shared" si="18"/>
        <v>5</v>
      </c>
      <c r="N64" s="69">
        <f t="shared" si="19"/>
        <v>3</v>
      </c>
      <c r="O64" s="69">
        <f t="shared" si="20"/>
        <v>3</v>
      </c>
      <c r="P64" s="69">
        <f t="shared" si="21"/>
        <v>3</v>
      </c>
      <c r="Q64" s="69">
        <f t="shared" si="22"/>
        <v>3</v>
      </c>
      <c r="R64" s="70">
        <f t="shared" si="23"/>
        <v>-0.40546510810816444</v>
      </c>
      <c r="S64" s="70">
        <f t="shared" si="24"/>
        <v>-0.40546510810816444</v>
      </c>
      <c r="T64" s="70">
        <f t="shared" si="25"/>
        <v>-0.29626054958652714</v>
      </c>
      <c r="U64" s="70">
        <f t="shared" si="26"/>
        <v>-0.29626054958652714</v>
      </c>
      <c r="V64" s="70">
        <f t="shared" si="27"/>
        <v>0.91287092917527679</v>
      </c>
      <c r="W64" s="70">
        <f t="shared" si="28"/>
        <v>0.91287092917527679</v>
      </c>
      <c r="X64" s="70">
        <f t="shared" si="29"/>
        <v>0</v>
      </c>
      <c r="Y64" s="70">
        <f t="shared" si="30"/>
        <v>1.2909944487358056</v>
      </c>
      <c r="Z64" s="70">
        <f t="shared" si="31"/>
        <v>0</v>
      </c>
      <c r="AA64" s="69" t="str">
        <f t="shared" si="32"/>
        <v>Negligible</v>
      </c>
      <c r="AB64" s="69" t="str">
        <f t="shared" si="33"/>
        <v>Tidak Ada Indikasi Bias</v>
      </c>
    </row>
    <row r="65" spans="1:28" ht="37.5" customHeight="1" x14ac:dyDescent="0.35">
      <c r="A65" s="71" t="str">
        <f>ToT!A59</f>
        <v>55. Manfaat dari penggunaan media pembelajaran adalah</v>
      </c>
      <c r="B65" s="69">
        <f>ToT!B59</f>
        <v>0</v>
      </c>
      <c r="C65" s="69">
        <f>ToT!C59</f>
        <v>1</v>
      </c>
      <c r="D65" s="69">
        <f>ToT!D59</f>
        <v>0</v>
      </c>
      <c r="E65" s="69">
        <f>ToT!E59</f>
        <v>1</v>
      </c>
      <c r="F65" s="69">
        <f>ToT!F59</f>
        <v>1</v>
      </c>
      <c r="G65" s="69">
        <f>ToT!G59</f>
        <v>1</v>
      </c>
      <c r="H65" s="69">
        <f>ToT!H59</f>
        <v>0</v>
      </c>
      <c r="I65" s="69">
        <f>ToT!I59</f>
        <v>0</v>
      </c>
      <c r="J65" s="69">
        <f>ToT!J59</f>
        <v>0</v>
      </c>
      <c r="K65" s="69">
        <f>ToT!K59</f>
        <v>0</v>
      </c>
      <c r="L65" s="69">
        <f t="shared" si="17"/>
        <v>5</v>
      </c>
      <c r="M65" s="69">
        <f t="shared" si="18"/>
        <v>5</v>
      </c>
      <c r="N65" s="69">
        <f t="shared" si="19"/>
        <v>2</v>
      </c>
      <c r="O65" s="69">
        <f t="shared" si="20"/>
        <v>2</v>
      </c>
      <c r="P65" s="69">
        <f t="shared" si="21"/>
        <v>2</v>
      </c>
      <c r="Q65" s="69">
        <f t="shared" si="22"/>
        <v>2</v>
      </c>
      <c r="R65" s="70">
        <f t="shared" si="23"/>
        <v>0.40546510810816438</v>
      </c>
      <c r="S65" s="70">
        <f t="shared" si="24"/>
        <v>0.40546510810816438</v>
      </c>
      <c r="T65" s="70">
        <f t="shared" si="25"/>
        <v>0.51466966662980163</v>
      </c>
      <c r="U65" s="70">
        <f t="shared" si="26"/>
        <v>0.51466966662980163</v>
      </c>
      <c r="V65" s="70">
        <f t="shared" si="27"/>
        <v>0.91287092917527679</v>
      </c>
      <c r="W65" s="70">
        <f t="shared" si="28"/>
        <v>0.91287092917527679</v>
      </c>
      <c r="X65" s="70">
        <f t="shared" si="29"/>
        <v>0</v>
      </c>
      <c r="Y65" s="70">
        <f t="shared" si="30"/>
        <v>1.2909944487358056</v>
      </c>
      <c r="Z65" s="70">
        <f t="shared" si="31"/>
        <v>0</v>
      </c>
      <c r="AA65" s="69" t="str">
        <f t="shared" si="32"/>
        <v>Negligible</v>
      </c>
      <c r="AB65" s="69" t="str">
        <f t="shared" si="33"/>
        <v>Tidak Ada Indikasi Bias</v>
      </c>
    </row>
    <row r="66" spans="1:28" ht="37.5" customHeight="1" x14ac:dyDescent="0.35">
      <c r="A66" s="71" t="str">
        <f>ToT!A60</f>
        <v>56. Apa yang menjadi fokus utama saat mendesain media pembelajaran untuk mendukung CPMK</v>
      </c>
      <c r="B66" s="69">
        <f>ToT!B60</f>
        <v>0</v>
      </c>
      <c r="C66" s="69">
        <f>ToT!C60</f>
        <v>0</v>
      </c>
      <c r="D66" s="69">
        <f>ToT!D60</f>
        <v>1</v>
      </c>
      <c r="E66" s="69">
        <f>ToT!E60</f>
        <v>0</v>
      </c>
      <c r="F66" s="69">
        <f>ToT!F60</f>
        <v>0</v>
      </c>
      <c r="G66" s="69">
        <f>ToT!G60</f>
        <v>1</v>
      </c>
      <c r="H66" s="69">
        <f>ToT!H60</f>
        <v>1</v>
      </c>
      <c r="I66" s="69">
        <f>ToT!I60</f>
        <v>1</v>
      </c>
      <c r="J66" s="69">
        <f>ToT!J60</f>
        <v>1</v>
      </c>
      <c r="K66" s="69">
        <f>ToT!K60</f>
        <v>1</v>
      </c>
      <c r="L66" s="69">
        <f t="shared" si="17"/>
        <v>5</v>
      </c>
      <c r="M66" s="69">
        <f t="shared" si="18"/>
        <v>5</v>
      </c>
      <c r="N66" s="69">
        <f t="shared" si="19"/>
        <v>3</v>
      </c>
      <c r="O66" s="69">
        <f t="shared" si="20"/>
        <v>3</v>
      </c>
      <c r="P66" s="69">
        <f t="shared" si="21"/>
        <v>3</v>
      </c>
      <c r="Q66" s="69">
        <f t="shared" si="22"/>
        <v>3</v>
      </c>
      <c r="R66" s="70">
        <f t="shared" si="23"/>
        <v>-0.40546510810816444</v>
      </c>
      <c r="S66" s="70">
        <f t="shared" si="24"/>
        <v>-0.40546510810816444</v>
      </c>
      <c r="T66" s="70">
        <f t="shared" si="25"/>
        <v>-0.29626054958652714</v>
      </c>
      <c r="U66" s="70">
        <f t="shared" si="26"/>
        <v>-0.29626054958652714</v>
      </c>
      <c r="V66" s="70">
        <f t="shared" si="27"/>
        <v>0.91287092917527679</v>
      </c>
      <c r="W66" s="70">
        <f t="shared" si="28"/>
        <v>0.91287092917527679</v>
      </c>
      <c r="X66" s="70">
        <f t="shared" si="29"/>
        <v>0</v>
      </c>
      <c r="Y66" s="70">
        <f t="shared" si="30"/>
        <v>1.2909944487358056</v>
      </c>
      <c r="Z66" s="70">
        <f t="shared" si="31"/>
        <v>0</v>
      </c>
      <c r="AA66" s="69" t="str">
        <f t="shared" si="32"/>
        <v>Negligible</v>
      </c>
      <c r="AB66" s="69" t="str">
        <f t="shared" si="33"/>
        <v>Tidak Ada Indikasi Bias</v>
      </c>
    </row>
    <row r="67" spans="1:28" ht="37.5" customHeight="1" x14ac:dyDescent="0.35">
      <c r="A67" s="71" t="str">
        <f>ToT!A61</f>
        <v>57. Bagaimana media pembelajaran dapat membantu mencapai CPMK</v>
      </c>
      <c r="B67" s="69">
        <f>ToT!B61</f>
        <v>1</v>
      </c>
      <c r="C67" s="69">
        <f>ToT!C61</f>
        <v>0</v>
      </c>
      <c r="D67" s="69">
        <f>ToT!D61</f>
        <v>0</v>
      </c>
      <c r="E67" s="69">
        <f>ToT!E61</f>
        <v>1</v>
      </c>
      <c r="F67" s="69">
        <f>ToT!F61</f>
        <v>1</v>
      </c>
      <c r="G67" s="69">
        <f>ToT!G61</f>
        <v>1</v>
      </c>
      <c r="H67" s="69">
        <f>ToT!H61</f>
        <v>1</v>
      </c>
      <c r="I67" s="69">
        <f>ToT!I61</f>
        <v>1</v>
      </c>
      <c r="J67" s="69">
        <f>ToT!J61</f>
        <v>1</v>
      </c>
      <c r="K67" s="69">
        <f>ToT!K61</f>
        <v>1</v>
      </c>
      <c r="L67" s="69">
        <f t="shared" si="17"/>
        <v>5</v>
      </c>
      <c r="M67" s="69">
        <f t="shared" si="18"/>
        <v>5</v>
      </c>
      <c r="N67" s="69">
        <f t="shared" si="19"/>
        <v>4</v>
      </c>
      <c r="O67" s="69">
        <f t="shared" si="20"/>
        <v>4</v>
      </c>
      <c r="P67" s="69">
        <f t="shared" si="21"/>
        <v>4</v>
      </c>
      <c r="Q67" s="69">
        <f t="shared" si="22"/>
        <v>4</v>
      </c>
      <c r="R67" s="70">
        <f t="shared" si="23"/>
        <v>-1.3862943611198906</v>
      </c>
      <c r="S67" s="70">
        <f t="shared" si="24"/>
        <v>-1.3862943611198906</v>
      </c>
      <c r="T67" s="70">
        <f t="shared" si="25"/>
        <v>-1.2770898025982533</v>
      </c>
      <c r="U67" s="70">
        <f t="shared" si="26"/>
        <v>-1.2770898025982533</v>
      </c>
      <c r="V67" s="70">
        <f t="shared" si="27"/>
        <v>1.1180339887498949</v>
      </c>
      <c r="W67" s="70">
        <f t="shared" si="28"/>
        <v>1.1180339887498949</v>
      </c>
      <c r="X67" s="70">
        <f t="shared" si="29"/>
        <v>0</v>
      </c>
      <c r="Y67" s="70">
        <f t="shared" si="30"/>
        <v>1.5811388300841898</v>
      </c>
      <c r="Z67" s="70">
        <f t="shared" si="31"/>
        <v>0</v>
      </c>
      <c r="AA67" s="69" t="str">
        <f t="shared" si="32"/>
        <v>Negligible</v>
      </c>
      <c r="AB67" s="69" t="str">
        <f t="shared" si="33"/>
        <v>Tidak Ada Indikasi Bias</v>
      </c>
    </row>
    <row r="68" spans="1:28" ht="50" x14ac:dyDescent="0.35">
      <c r="A68" s="71" t="str">
        <f>ToT!A62</f>
        <v>58. Apa yang harus dipertimbangkan saat menyusun media pembelajaran untuk mendukung metode pembelajaran tertentu</v>
      </c>
      <c r="B68" s="69">
        <f>ToT!B62</f>
        <v>0</v>
      </c>
      <c r="C68" s="69">
        <f>ToT!C62</f>
        <v>1</v>
      </c>
      <c r="D68" s="69">
        <f>ToT!D62</f>
        <v>0</v>
      </c>
      <c r="E68" s="69">
        <f>ToT!E62</f>
        <v>1</v>
      </c>
      <c r="F68" s="69">
        <f>ToT!F62</f>
        <v>0</v>
      </c>
      <c r="G68" s="69">
        <f>ToT!G62</f>
        <v>1</v>
      </c>
      <c r="H68" s="69">
        <f>ToT!H62</f>
        <v>0</v>
      </c>
      <c r="I68" s="69">
        <f>ToT!I62</f>
        <v>1</v>
      </c>
      <c r="J68" s="69">
        <f>ToT!J62</f>
        <v>1</v>
      </c>
      <c r="K68" s="69">
        <f>ToT!K62</f>
        <v>1</v>
      </c>
      <c r="L68" s="69">
        <f t="shared" si="17"/>
        <v>5</v>
      </c>
      <c r="M68" s="69">
        <f t="shared" si="18"/>
        <v>5</v>
      </c>
      <c r="N68" s="69">
        <f t="shared" si="19"/>
        <v>3</v>
      </c>
      <c r="O68" s="69">
        <f t="shared" si="20"/>
        <v>3</v>
      </c>
      <c r="P68" s="69">
        <f t="shared" si="21"/>
        <v>3</v>
      </c>
      <c r="Q68" s="69">
        <f t="shared" si="22"/>
        <v>3</v>
      </c>
      <c r="R68" s="70">
        <f t="shared" si="23"/>
        <v>-0.40546510810816444</v>
      </c>
      <c r="S68" s="70">
        <f t="shared" si="24"/>
        <v>-0.40546510810816444</v>
      </c>
      <c r="T68" s="70">
        <f t="shared" si="25"/>
        <v>-0.29626054958652714</v>
      </c>
      <c r="U68" s="70">
        <f t="shared" si="26"/>
        <v>-0.29626054958652714</v>
      </c>
      <c r="V68" s="70">
        <f t="shared" si="27"/>
        <v>0.91287092917527679</v>
      </c>
      <c r="W68" s="70">
        <f t="shared" si="28"/>
        <v>0.91287092917527679</v>
      </c>
      <c r="X68" s="70">
        <f t="shared" si="29"/>
        <v>0</v>
      </c>
      <c r="Y68" s="70">
        <f t="shared" si="30"/>
        <v>1.2909944487358056</v>
      </c>
      <c r="Z68" s="70">
        <f t="shared" si="31"/>
        <v>0</v>
      </c>
      <c r="AA68" s="69" t="str">
        <f t="shared" si="32"/>
        <v>Negligible</v>
      </c>
      <c r="AB68" s="69" t="str">
        <f t="shared" si="33"/>
        <v>Tidak Ada Indikasi Bias</v>
      </c>
    </row>
    <row r="69" spans="1:28" ht="25" x14ac:dyDescent="0.35">
      <c r="A69" s="71" t="str">
        <f>ToT!A63</f>
        <v>59. Mengapa validasi media pembelajaran oleh pihak yang berwenang penting</v>
      </c>
      <c r="B69" s="69">
        <f>ToT!B63</f>
        <v>1</v>
      </c>
      <c r="C69" s="69">
        <f>ToT!C63</f>
        <v>1</v>
      </c>
      <c r="D69" s="69">
        <f>ToT!D63</f>
        <v>1</v>
      </c>
      <c r="E69" s="69">
        <f>ToT!E63</f>
        <v>1</v>
      </c>
      <c r="F69" s="69">
        <f>ToT!F63</f>
        <v>1</v>
      </c>
      <c r="G69" s="69">
        <f>ToT!G63</f>
        <v>1</v>
      </c>
      <c r="H69" s="69">
        <f>ToT!H63</f>
        <v>0</v>
      </c>
      <c r="I69" s="69">
        <f>ToT!I63</f>
        <v>0</v>
      </c>
      <c r="J69" s="69">
        <f>ToT!J63</f>
        <v>0</v>
      </c>
      <c r="K69" s="69">
        <f>ToT!K63</f>
        <v>0</v>
      </c>
      <c r="L69" s="69">
        <f t="shared" si="17"/>
        <v>5</v>
      </c>
      <c r="M69" s="69">
        <f t="shared" si="18"/>
        <v>5</v>
      </c>
      <c r="N69" s="69">
        <f t="shared" si="19"/>
        <v>3</v>
      </c>
      <c r="O69" s="69">
        <f t="shared" si="20"/>
        <v>3</v>
      </c>
      <c r="P69" s="69">
        <f t="shared" si="21"/>
        <v>3</v>
      </c>
      <c r="Q69" s="69">
        <f t="shared" si="22"/>
        <v>3</v>
      </c>
      <c r="R69" s="70">
        <f t="shared" si="23"/>
        <v>-0.40546510810816444</v>
      </c>
      <c r="S69" s="70">
        <f t="shared" si="24"/>
        <v>-0.40546510810816444</v>
      </c>
      <c r="T69" s="70">
        <f t="shared" si="25"/>
        <v>-0.29626054958652714</v>
      </c>
      <c r="U69" s="70">
        <f t="shared" si="26"/>
        <v>-0.29626054958652714</v>
      </c>
      <c r="V69" s="70">
        <f t="shared" si="27"/>
        <v>0.91287092917527679</v>
      </c>
      <c r="W69" s="70">
        <f t="shared" si="28"/>
        <v>0.91287092917527679</v>
      </c>
      <c r="X69" s="70">
        <f t="shared" si="29"/>
        <v>0</v>
      </c>
      <c r="Y69" s="70">
        <f t="shared" si="30"/>
        <v>1.2909944487358056</v>
      </c>
      <c r="Z69" s="70">
        <f t="shared" si="31"/>
        <v>0</v>
      </c>
      <c r="AA69" s="69" t="str">
        <f t="shared" si="32"/>
        <v>Negligible</v>
      </c>
      <c r="AB69" s="69" t="str">
        <f t="shared" si="33"/>
        <v>Tidak Ada Indikasi Bias</v>
      </c>
    </row>
    <row r="70" spans="1:28" ht="37.5" x14ac:dyDescent="0.35">
      <c r="A70" s="71" t="str">
        <f>ToT!A64</f>
        <v>60. Bagaimana proses validasi media pembelajaran biasanya dilakukan oleh pihak yang berwenang</v>
      </c>
      <c r="B70" s="69">
        <f>ToT!B64</f>
        <v>0</v>
      </c>
      <c r="C70" s="69">
        <f>ToT!C64</f>
        <v>0</v>
      </c>
      <c r="D70" s="69">
        <f>ToT!D64</f>
        <v>0</v>
      </c>
      <c r="E70" s="69">
        <f>ToT!E64</f>
        <v>0</v>
      </c>
      <c r="F70" s="69">
        <f>ToT!F64</f>
        <v>0</v>
      </c>
      <c r="G70" s="69">
        <f>ToT!G64</f>
        <v>0</v>
      </c>
      <c r="H70" s="69">
        <f>ToT!H64</f>
        <v>0</v>
      </c>
      <c r="I70" s="69">
        <f>ToT!I64</f>
        <v>1</v>
      </c>
      <c r="J70" s="69">
        <f>ToT!J64</f>
        <v>1</v>
      </c>
      <c r="K70" s="69">
        <f>ToT!K64</f>
        <v>0</v>
      </c>
      <c r="L70" s="69">
        <f t="shared" si="17"/>
        <v>5</v>
      </c>
      <c r="M70" s="69">
        <f t="shared" si="18"/>
        <v>5</v>
      </c>
      <c r="N70" s="69">
        <f t="shared" si="19"/>
        <v>1</v>
      </c>
      <c r="O70" s="69">
        <f t="shared" si="20"/>
        <v>1</v>
      </c>
      <c r="P70" s="69">
        <f t="shared" si="21"/>
        <v>1</v>
      </c>
      <c r="Q70" s="69">
        <f t="shared" si="22"/>
        <v>1</v>
      </c>
      <c r="R70" s="70">
        <f t="shared" si="23"/>
        <v>1.3862943611198906</v>
      </c>
      <c r="S70" s="70">
        <f t="shared" si="24"/>
        <v>1.3862943611198906</v>
      </c>
      <c r="T70" s="70">
        <f t="shared" si="25"/>
        <v>1.4954989196415278</v>
      </c>
      <c r="U70" s="70">
        <f t="shared" si="26"/>
        <v>1.4954989196415278</v>
      </c>
      <c r="V70" s="70">
        <f t="shared" si="27"/>
        <v>1.1180339887498949</v>
      </c>
      <c r="W70" s="70">
        <f t="shared" si="28"/>
        <v>1.1180339887498949</v>
      </c>
      <c r="X70" s="70">
        <f t="shared" si="29"/>
        <v>0</v>
      </c>
      <c r="Y70" s="70">
        <f t="shared" si="30"/>
        <v>1.5811388300841898</v>
      </c>
      <c r="Z70" s="70">
        <f t="shared" si="31"/>
        <v>0</v>
      </c>
      <c r="AA70" s="69" t="str">
        <f t="shared" si="32"/>
        <v>Negligible</v>
      </c>
      <c r="AB70" s="69" t="str">
        <f t="shared" si="33"/>
        <v>Tidak Ada Indikasi Bias</v>
      </c>
    </row>
    <row r="71" spans="1:28" ht="37.5" x14ac:dyDescent="0.35">
      <c r="A71" s="71" t="str">
        <f>ToT!A65</f>
        <v>61. Mengapa penting untuk memilih pembelajaran berbasis TIK yang sesuai dengan CPMK dan CPL</v>
      </c>
      <c r="B71" s="69">
        <f>ToT!B65</f>
        <v>1</v>
      </c>
      <c r="C71" s="69">
        <f>ToT!C65</f>
        <v>1</v>
      </c>
      <c r="D71" s="69">
        <f>ToT!D65</f>
        <v>0</v>
      </c>
      <c r="E71" s="69">
        <f>ToT!E65</f>
        <v>1</v>
      </c>
      <c r="F71" s="69">
        <f>ToT!F65</f>
        <v>0</v>
      </c>
      <c r="G71" s="69">
        <f>ToT!G65</f>
        <v>0</v>
      </c>
      <c r="H71" s="69">
        <f>ToT!H65</f>
        <v>0</v>
      </c>
      <c r="I71" s="69">
        <f>ToT!I65</f>
        <v>0</v>
      </c>
      <c r="J71" s="69">
        <f>ToT!J65</f>
        <v>1</v>
      </c>
      <c r="K71" s="69">
        <f>ToT!K65</f>
        <v>0</v>
      </c>
      <c r="L71" s="69">
        <f t="shared" si="17"/>
        <v>5</v>
      </c>
      <c r="M71" s="69">
        <f t="shared" si="18"/>
        <v>5</v>
      </c>
      <c r="N71" s="69">
        <f t="shared" si="19"/>
        <v>2</v>
      </c>
      <c r="O71" s="69">
        <f t="shared" si="20"/>
        <v>2</v>
      </c>
      <c r="P71" s="69">
        <f t="shared" si="21"/>
        <v>2</v>
      </c>
      <c r="Q71" s="69">
        <f t="shared" si="22"/>
        <v>2</v>
      </c>
      <c r="R71" s="70">
        <f t="shared" si="23"/>
        <v>0.40546510810816438</v>
      </c>
      <c r="S71" s="70">
        <f t="shared" si="24"/>
        <v>0.40546510810816438</v>
      </c>
      <c r="T71" s="70">
        <f t="shared" si="25"/>
        <v>0.51466966662980163</v>
      </c>
      <c r="U71" s="70">
        <f t="shared" si="26"/>
        <v>0.51466966662980163</v>
      </c>
      <c r="V71" s="70">
        <f t="shared" si="27"/>
        <v>0.91287092917527679</v>
      </c>
      <c r="W71" s="70">
        <f t="shared" si="28"/>
        <v>0.91287092917527679</v>
      </c>
      <c r="X71" s="70">
        <f t="shared" si="29"/>
        <v>0</v>
      </c>
      <c r="Y71" s="70">
        <f t="shared" si="30"/>
        <v>1.2909944487358056</v>
      </c>
      <c r="Z71" s="70">
        <f t="shared" si="31"/>
        <v>0</v>
      </c>
      <c r="AA71" s="69" t="str">
        <f t="shared" si="32"/>
        <v>Negligible</v>
      </c>
      <c r="AB71" s="69" t="str">
        <f t="shared" si="33"/>
        <v>Tidak Ada Indikasi Bias</v>
      </c>
    </row>
    <row r="72" spans="1:28" ht="50" x14ac:dyDescent="0.35">
      <c r="A72" s="71" t="str">
        <f>ToT!A66</f>
        <v>62. Apa yang harus dipertimbangkan saat menentukan ketersediaan peralatan TIK untuk mendukung pencapaian CPMK dan CPL</v>
      </c>
      <c r="B72" s="69">
        <f>ToT!B66</f>
        <v>0</v>
      </c>
      <c r="C72" s="69">
        <f>ToT!C66</f>
        <v>1</v>
      </c>
      <c r="D72" s="69">
        <f>ToT!D66</f>
        <v>1</v>
      </c>
      <c r="E72" s="69">
        <f>ToT!E66</f>
        <v>0</v>
      </c>
      <c r="F72" s="69">
        <f>ToT!F66</f>
        <v>0</v>
      </c>
      <c r="G72" s="69">
        <f>ToT!G66</f>
        <v>0</v>
      </c>
      <c r="H72" s="69">
        <f>ToT!H66</f>
        <v>0</v>
      </c>
      <c r="I72" s="69">
        <f>ToT!I66</f>
        <v>0</v>
      </c>
      <c r="J72" s="69">
        <f>ToT!J66</f>
        <v>0</v>
      </c>
      <c r="K72" s="69">
        <f>ToT!K66</f>
        <v>0</v>
      </c>
      <c r="L72" s="69">
        <f t="shared" si="17"/>
        <v>5</v>
      </c>
      <c r="M72" s="69">
        <f t="shared" si="18"/>
        <v>5</v>
      </c>
      <c r="N72" s="69">
        <f t="shared" si="19"/>
        <v>1</v>
      </c>
      <c r="O72" s="69">
        <f t="shared" si="20"/>
        <v>1</v>
      </c>
      <c r="P72" s="69">
        <f t="shared" si="21"/>
        <v>1</v>
      </c>
      <c r="Q72" s="69">
        <f t="shared" si="22"/>
        <v>1</v>
      </c>
      <c r="R72" s="70">
        <f t="shared" si="23"/>
        <v>1.3862943611198906</v>
      </c>
      <c r="S72" s="70">
        <f t="shared" si="24"/>
        <v>1.3862943611198906</v>
      </c>
      <c r="T72" s="70">
        <f t="shared" si="25"/>
        <v>1.4954989196415278</v>
      </c>
      <c r="U72" s="70">
        <f t="shared" si="26"/>
        <v>1.4954989196415278</v>
      </c>
      <c r="V72" s="70">
        <f t="shared" si="27"/>
        <v>1.1180339887498949</v>
      </c>
      <c r="W72" s="70">
        <f t="shared" si="28"/>
        <v>1.1180339887498949</v>
      </c>
      <c r="X72" s="70">
        <f t="shared" si="29"/>
        <v>0</v>
      </c>
      <c r="Y72" s="70">
        <f t="shared" si="30"/>
        <v>1.5811388300841898</v>
      </c>
      <c r="Z72" s="70">
        <f t="shared" si="31"/>
        <v>0</v>
      </c>
      <c r="AA72" s="69" t="str">
        <f t="shared" si="32"/>
        <v>Negligible</v>
      </c>
      <c r="AB72" s="69" t="str">
        <f t="shared" si="33"/>
        <v>Tidak Ada Indikasi Bias</v>
      </c>
    </row>
    <row r="73" spans="1:28" ht="25" x14ac:dyDescent="0.35">
      <c r="A73" s="71" t="str">
        <f>ToT!A67</f>
        <v>63. Mengapa penting untuk menyesuaikan peralatan TIK dengan CPMK dan CPL</v>
      </c>
      <c r="B73" s="69">
        <f>ToT!B67</f>
        <v>0</v>
      </c>
      <c r="C73" s="69">
        <f>ToT!C67</f>
        <v>1</v>
      </c>
      <c r="D73" s="69">
        <f>ToT!D67</f>
        <v>0</v>
      </c>
      <c r="E73" s="69">
        <f>ToT!E67</f>
        <v>0</v>
      </c>
      <c r="F73" s="69">
        <f>ToT!F67</f>
        <v>0</v>
      </c>
      <c r="G73" s="69">
        <f>ToT!G67</f>
        <v>0</v>
      </c>
      <c r="H73" s="69">
        <f>ToT!H67</f>
        <v>0</v>
      </c>
      <c r="I73" s="69">
        <f>ToT!I67</f>
        <v>1</v>
      </c>
      <c r="J73" s="69">
        <f>ToT!J67</f>
        <v>1</v>
      </c>
      <c r="K73" s="69">
        <f>ToT!K67</f>
        <v>1</v>
      </c>
      <c r="L73" s="69">
        <f t="shared" si="17"/>
        <v>5</v>
      </c>
      <c r="M73" s="69">
        <f t="shared" si="18"/>
        <v>5</v>
      </c>
      <c r="N73" s="69">
        <f t="shared" si="19"/>
        <v>2</v>
      </c>
      <c r="O73" s="69">
        <f t="shared" si="20"/>
        <v>2</v>
      </c>
      <c r="P73" s="69">
        <f t="shared" si="21"/>
        <v>2</v>
      </c>
      <c r="Q73" s="69">
        <f t="shared" si="22"/>
        <v>2</v>
      </c>
      <c r="R73" s="70">
        <f t="shared" si="23"/>
        <v>0.40546510810816438</v>
      </c>
      <c r="S73" s="70">
        <f t="shared" si="24"/>
        <v>0.40546510810816438</v>
      </c>
      <c r="T73" s="70">
        <f t="shared" si="25"/>
        <v>0.51466966662980163</v>
      </c>
      <c r="U73" s="70">
        <f t="shared" si="26"/>
        <v>0.51466966662980163</v>
      </c>
      <c r="V73" s="70">
        <f t="shared" si="27"/>
        <v>0.91287092917527679</v>
      </c>
      <c r="W73" s="70">
        <f t="shared" si="28"/>
        <v>0.91287092917527679</v>
      </c>
      <c r="X73" s="70">
        <f t="shared" si="29"/>
        <v>0</v>
      </c>
      <c r="Y73" s="70">
        <f t="shared" si="30"/>
        <v>1.2909944487358056</v>
      </c>
      <c r="Z73" s="70">
        <f t="shared" si="31"/>
        <v>0</v>
      </c>
      <c r="AA73" s="69" t="str">
        <f t="shared" si="32"/>
        <v>Negligible</v>
      </c>
      <c r="AB73" s="69" t="str">
        <f t="shared" si="33"/>
        <v>Tidak Ada Indikasi Bias</v>
      </c>
    </row>
    <row r="74" spans="1:28" ht="37.5" x14ac:dyDescent="0.35">
      <c r="A74" s="71" t="str">
        <f>ToT!A68</f>
        <v>64. Bagaimana cara menentukan kesesuaian pembelajaran berbasis TIK dengan CPL</v>
      </c>
      <c r="B74" s="69">
        <f>ToT!B68</f>
        <v>0</v>
      </c>
      <c r="C74" s="69">
        <f>ToT!C68</f>
        <v>1</v>
      </c>
      <c r="D74" s="69">
        <f>ToT!D68</f>
        <v>0</v>
      </c>
      <c r="E74" s="69">
        <f>ToT!E68</f>
        <v>0</v>
      </c>
      <c r="F74" s="69">
        <f>ToT!F68</f>
        <v>0</v>
      </c>
      <c r="G74" s="69">
        <f>ToT!G68</f>
        <v>0</v>
      </c>
      <c r="H74" s="69">
        <f>ToT!H68</f>
        <v>0</v>
      </c>
      <c r="I74" s="69">
        <f>ToT!I68</f>
        <v>1</v>
      </c>
      <c r="J74" s="69">
        <f>ToT!J68</f>
        <v>1</v>
      </c>
      <c r="K74" s="69">
        <f>ToT!K68</f>
        <v>1</v>
      </c>
      <c r="L74" s="69">
        <f t="shared" si="17"/>
        <v>5</v>
      </c>
      <c r="M74" s="69">
        <f t="shared" si="18"/>
        <v>5</v>
      </c>
      <c r="N74" s="69">
        <f t="shared" si="19"/>
        <v>2</v>
      </c>
      <c r="O74" s="69">
        <f t="shared" si="20"/>
        <v>2</v>
      </c>
      <c r="P74" s="69">
        <f t="shared" si="21"/>
        <v>2</v>
      </c>
      <c r="Q74" s="69">
        <f t="shared" si="22"/>
        <v>2</v>
      </c>
      <c r="R74" s="70">
        <f t="shared" si="23"/>
        <v>0.40546510810816438</v>
      </c>
      <c r="S74" s="70">
        <f t="shared" si="24"/>
        <v>0.40546510810816438</v>
      </c>
      <c r="T74" s="70">
        <f t="shared" si="25"/>
        <v>0.51466966662980163</v>
      </c>
      <c r="U74" s="70">
        <f t="shared" si="26"/>
        <v>0.51466966662980163</v>
      </c>
      <c r="V74" s="70">
        <f t="shared" si="27"/>
        <v>0.91287092917527679</v>
      </c>
      <c r="W74" s="70">
        <f t="shared" si="28"/>
        <v>0.91287092917527679</v>
      </c>
      <c r="X74" s="70">
        <f t="shared" si="29"/>
        <v>0</v>
      </c>
      <c r="Y74" s="70">
        <f t="shared" si="30"/>
        <v>1.2909944487358056</v>
      </c>
      <c r="Z74" s="70">
        <f t="shared" si="31"/>
        <v>0</v>
      </c>
      <c r="AA74" s="69" t="str">
        <f t="shared" si="32"/>
        <v>Negligible</v>
      </c>
      <c r="AB74" s="69" t="str">
        <f t="shared" si="33"/>
        <v>Tidak Ada Indikasi Bias</v>
      </c>
    </row>
    <row r="75" spans="1:28" ht="37.5" x14ac:dyDescent="0.35">
      <c r="A75" s="71" t="str">
        <f>ToT!A69</f>
        <v>65. Mengapa penggunaan peralatan pembelajaran berbasis kombinasi TIK penting dalam proses pembelajaran</v>
      </c>
      <c r="B75" s="69">
        <f>ToT!B69</f>
        <v>1</v>
      </c>
      <c r="C75" s="69">
        <f>ToT!C69</f>
        <v>1</v>
      </c>
      <c r="D75" s="69">
        <f>ToT!D69</f>
        <v>1</v>
      </c>
      <c r="E75" s="69">
        <f>ToT!E69</f>
        <v>0</v>
      </c>
      <c r="F75" s="69">
        <f>ToT!F69</f>
        <v>0</v>
      </c>
      <c r="G75" s="69">
        <f>ToT!G69</f>
        <v>0</v>
      </c>
      <c r="H75" s="69">
        <f>ToT!H69</f>
        <v>0</v>
      </c>
      <c r="I75" s="69">
        <f>ToT!I69</f>
        <v>0</v>
      </c>
      <c r="J75" s="69">
        <f>ToT!J69</f>
        <v>1</v>
      </c>
      <c r="K75" s="69">
        <f>ToT!K69</f>
        <v>0</v>
      </c>
      <c r="L75" s="69">
        <f t="shared" ref="L75:L110" si="34">COUNTIF($B$8:$K$8,"Laki-Laki")</f>
        <v>5</v>
      </c>
      <c r="M75" s="69">
        <f t="shared" ref="M75:M110" si="35">COUNTIF($B$8:$K$8,"Perempuan")</f>
        <v>5</v>
      </c>
      <c r="N75" s="69">
        <f t="shared" ref="N75:N110" si="36">SUMIF($B$8:$K$8,"Laki-Laki",B75:K75)</f>
        <v>2</v>
      </c>
      <c r="O75" s="69">
        <f t="shared" ref="O75:O110" si="37">SUMIF($B$8:$K$8,"Perempuan",B75:K75)</f>
        <v>2</v>
      </c>
      <c r="P75" s="69">
        <f t="shared" ref="P75:P110" si="38">IF(N75=0,0.3,IF(N75=L75,L75-0.3,N75))</f>
        <v>2</v>
      </c>
      <c r="Q75" s="69">
        <f t="shared" ref="Q75:Q110" si="39">IF(O75=0,0.3,IF(O75=M75,M75-0.3,O75))</f>
        <v>2</v>
      </c>
      <c r="R75" s="70">
        <f t="shared" ref="R75:R110" si="40">LN((L75-P75)/P75)</f>
        <v>0.40546510810816438</v>
      </c>
      <c r="S75" s="70">
        <f t="shared" ref="S75:S110" si="41">LN((M75-Q75)/Q75)</f>
        <v>0.40546510810816438</v>
      </c>
      <c r="T75" s="70">
        <f t="shared" ref="T75:T110" si="42">R75-AVERAGE($R$11:$R$110)</f>
        <v>0.51466966662980163</v>
      </c>
      <c r="U75" s="70">
        <f t="shared" ref="U75:U110" si="43">S75-AVERAGE($S$11:$S$110)</f>
        <v>0.51466966662980163</v>
      </c>
      <c r="V75" s="70">
        <f t="shared" ref="V75:V110" si="44">SQRT(1/P75+1/(L75-P75))</f>
        <v>0.91287092917527679</v>
      </c>
      <c r="W75" s="70">
        <f t="shared" ref="W75:W110" si="45">SQRT(1/Q75+1/(M75-Q75))</f>
        <v>0.91287092917527679</v>
      </c>
      <c r="X75" s="70">
        <f t="shared" ref="X75:X110" si="46">T75-U75</f>
        <v>0</v>
      </c>
      <c r="Y75" s="70">
        <f t="shared" ref="Y75:Y110" si="47">SQRT(V75^2+W75^2)</f>
        <v>1.2909944487358056</v>
      </c>
      <c r="Z75" s="70">
        <f t="shared" ref="Z75:Z106" si="48">X75/Y75</f>
        <v>0</v>
      </c>
      <c r="AA75" s="69" t="str">
        <f t="shared" ref="AA75:AA106" si="49">IF(AND(ABS(X75)&gt;=$B$4,ABS(Z75)&gt;=$B$5),"DIF Besar - review",IF(AND(ABS(X75)&gt;=$B$3,ABS(Z75)&gt;=$B$5),"DIF Moderat - cek","Negligible"))</f>
        <v>Negligible</v>
      </c>
      <c r="AB75" s="69" t="str">
        <f t="shared" ref="AB75:AB110" si="50">IF(ABS(X75)&gt;=$B$4,"Berpotensi Bias - Tinjau Konten",IF(ABS(X75)&gt;=$B$3,"Indikasi Ringan - Pantau","Tidak Ada Indikasi Bias"))</f>
        <v>Tidak Ada Indikasi Bias</v>
      </c>
    </row>
    <row r="76" spans="1:28" ht="50" x14ac:dyDescent="0.35">
      <c r="A76" s="71" t="str">
        <f>ToT!A70</f>
        <v>66. Mengapa penting bagi penyelenggara pembelajaran untuk menentukan penggunaan peralatan pembelajaran berbasis kombinasi TIK</v>
      </c>
      <c r="B76" s="69">
        <f>ToT!B70</f>
        <v>0</v>
      </c>
      <c r="C76" s="69">
        <f>ToT!C70</f>
        <v>1</v>
      </c>
      <c r="D76" s="69">
        <f>ToT!D70</f>
        <v>0</v>
      </c>
      <c r="E76" s="69">
        <f>ToT!E70</f>
        <v>1</v>
      </c>
      <c r="F76" s="69">
        <f>ToT!F70</f>
        <v>0</v>
      </c>
      <c r="G76" s="69">
        <f>ToT!G70</f>
        <v>0</v>
      </c>
      <c r="H76" s="69">
        <f>ToT!H70</f>
        <v>0</v>
      </c>
      <c r="I76" s="69">
        <f>ToT!I70</f>
        <v>0</v>
      </c>
      <c r="J76" s="69">
        <f>ToT!J70</f>
        <v>0</v>
      </c>
      <c r="K76" s="69">
        <f>ToT!K70</f>
        <v>0</v>
      </c>
      <c r="L76" s="69">
        <f t="shared" si="34"/>
        <v>5</v>
      </c>
      <c r="M76" s="69">
        <f t="shared" si="35"/>
        <v>5</v>
      </c>
      <c r="N76" s="69">
        <f t="shared" si="36"/>
        <v>1</v>
      </c>
      <c r="O76" s="69">
        <f t="shared" si="37"/>
        <v>1</v>
      </c>
      <c r="P76" s="69">
        <f t="shared" si="38"/>
        <v>1</v>
      </c>
      <c r="Q76" s="69">
        <f t="shared" si="39"/>
        <v>1</v>
      </c>
      <c r="R76" s="70">
        <f t="shared" si="40"/>
        <v>1.3862943611198906</v>
      </c>
      <c r="S76" s="70">
        <f t="shared" si="41"/>
        <v>1.3862943611198906</v>
      </c>
      <c r="T76" s="70">
        <f t="shared" si="42"/>
        <v>1.4954989196415278</v>
      </c>
      <c r="U76" s="70">
        <f t="shared" si="43"/>
        <v>1.4954989196415278</v>
      </c>
      <c r="V76" s="70">
        <f t="shared" si="44"/>
        <v>1.1180339887498949</v>
      </c>
      <c r="W76" s="70">
        <f t="shared" si="45"/>
        <v>1.1180339887498949</v>
      </c>
      <c r="X76" s="70">
        <f t="shared" si="46"/>
        <v>0</v>
      </c>
      <c r="Y76" s="70">
        <f t="shared" si="47"/>
        <v>1.5811388300841898</v>
      </c>
      <c r="Z76" s="70">
        <f t="shared" si="48"/>
        <v>0</v>
      </c>
      <c r="AA76" s="69" t="str">
        <f t="shared" si="49"/>
        <v>Negligible</v>
      </c>
      <c r="AB76" s="69" t="str">
        <f t="shared" si="50"/>
        <v>Tidak Ada Indikasi Bias</v>
      </c>
    </row>
    <row r="77" spans="1:28" ht="37.5" x14ac:dyDescent="0.35">
      <c r="A77" s="71" t="str">
        <f>ToT!A71</f>
        <v>67. Mengapa penting bagi media pembelajaran inovatif untuk disusun secara efektif</v>
      </c>
      <c r="B77" s="69">
        <f>ToT!B71</f>
        <v>0</v>
      </c>
      <c r="C77" s="69">
        <f>ToT!C71</f>
        <v>0</v>
      </c>
      <c r="D77" s="69">
        <f>ToT!D71</f>
        <v>1</v>
      </c>
      <c r="E77" s="69">
        <f>ToT!E71</f>
        <v>0</v>
      </c>
      <c r="F77" s="69">
        <f>ToT!F71</f>
        <v>0</v>
      </c>
      <c r="G77" s="69">
        <f>ToT!G71</f>
        <v>1</v>
      </c>
      <c r="H77" s="69">
        <f>ToT!H71</f>
        <v>0</v>
      </c>
      <c r="I77" s="69">
        <f>ToT!I71</f>
        <v>1</v>
      </c>
      <c r="J77" s="69">
        <f>ToT!J71</f>
        <v>0</v>
      </c>
      <c r="K77" s="69">
        <f>ToT!K71</f>
        <v>1</v>
      </c>
      <c r="L77" s="69">
        <f t="shared" si="34"/>
        <v>5</v>
      </c>
      <c r="M77" s="69">
        <f t="shared" si="35"/>
        <v>5</v>
      </c>
      <c r="N77" s="69">
        <f t="shared" si="36"/>
        <v>2</v>
      </c>
      <c r="O77" s="69">
        <f t="shared" si="37"/>
        <v>2</v>
      </c>
      <c r="P77" s="69">
        <f t="shared" si="38"/>
        <v>2</v>
      </c>
      <c r="Q77" s="69">
        <f t="shared" si="39"/>
        <v>2</v>
      </c>
      <c r="R77" s="70">
        <f t="shared" si="40"/>
        <v>0.40546510810816438</v>
      </c>
      <c r="S77" s="70">
        <f t="shared" si="41"/>
        <v>0.40546510810816438</v>
      </c>
      <c r="T77" s="70">
        <f t="shared" si="42"/>
        <v>0.51466966662980163</v>
      </c>
      <c r="U77" s="70">
        <f t="shared" si="43"/>
        <v>0.51466966662980163</v>
      </c>
      <c r="V77" s="70">
        <f t="shared" si="44"/>
        <v>0.91287092917527679</v>
      </c>
      <c r="W77" s="70">
        <f t="shared" si="45"/>
        <v>0.91287092917527679</v>
      </c>
      <c r="X77" s="70">
        <f t="shared" si="46"/>
        <v>0</v>
      </c>
      <c r="Y77" s="70">
        <f t="shared" si="47"/>
        <v>1.2909944487358056</v>
      </c>
      <c r="Z77" s="70">
        <f t="shared" si="48"/>
        <v>0</v>
      </c>
      <c r="AA77" s="69" t="str">
        <f t="shared" si="49"/>
        <v>Negligible</v>
      </c>
      <c r="AB77" s="69" t="str">
        <f t="shared" si="50"/>
        <v>Tidak Ada Indikasi Bias</v>
      </c>
    </row>
    <row r="78" spans="1:28" ht="100" x14ac:dyDescent="0.35">
      <c r="A78" s="71" t="str">
        <f>ToT!A72</f>
        <v>68. Komponen dan ciri-ciri metode pembelajaran inovatif melibatkan berbagai aspek yang berfokus pada meningkatkan efektivitas dan keterlibatan siswa dalam proses pembelajaran. Berikut ini adalah beberapa komponen dan ciri-ciri penting metode pembelajaran inovatif adalah</v>
      </c>
      <c r="B78" s="69">
        <f>ToT!B72</f>
        <v>1</v>
      </c>
      <c r="C78" s="69">
        <f>ToT!C72</f>
        <v>1</v>
      </c>
      <c r="D78" s="69">
        <f>ToT!D72</f>
        <v>1</v>
      </c>
      <c r="E78" s="69">
        <f>ToT!E72</f>
        <v>1</v>
      </c>
      <c r="F78" s="69">
        <f>ToT!F72</f>
        <v>1</v>
      </c>
      <c r="G78" s="69">
        <f>ToT!G72</f>
        <v>0</v>
      </c>
      <c r="H78" s="69">
        <f>ToT!H72</f>
        <v>0</v>
      </c>
      <c r="I78" s="69">
        <f>ToT!I72</f>
        <v>1</v>
      </c>
      <c r="J78" s="69">
        <f>ToT!J72</f>
        <v>0</v>
      </c>
      <c r="K78" s="69">
        <f>ToT!K72</f>
        <v>0</v>
      </c>
      <c r="L78" s="69">
        <f t="shared" si="34"/>
        <v>5</v>
      </c>
      <c r="M78" s="69">
        <f t="shared" si="35"/>
        <v>5</v>
      </c>
      <c r="N78" s="69">
        <f t="shared" si="36"/>
        <v>3</v>
      </c>
      <c r="O78" s="69">
        <f t="shared" si="37"/>
        <v>3</v>
      </c>
      <c r="P78" s="69">
        <f t="shared" si="38"/>
        <v>3</v>
      </c>
      <c r="Q78" s="69">
        <f t="shared" si="39"/>
        <v>3</v>
      </c>
      <c r="R78" s="70">
        <f t="shared" si="40"/>
        <v>-0.40546510810816444</v>
      </c>
      <c r="S78" s="70">
        <f t="shared" si="41"/>
        <v>-0.40546510810816444</v>
      </c>
      <c r="T78" s="70">
        <f t="shared" si="42"/>
        <v>-0.29626054958652714</v>
      </c>
      <c r="U78" s="70">
        <f t="shared" si="43"/>
        <v>-0.29626054958652714</v>
      </c>
      <c r="V78" s="70">
        <f t="shared" si="44"/>
        <v>0.91287092917527679</v>
      </c>
      <c r="W78" s="70">
        <f t="shared" si="45"/>
        <v>0.91287092917527679</v>
      </c>
      <c r="X78" s="70">
        <f t="shared" si="46"/>
        <v>0</v>
      </c>
      <c r="Y78" s="70">
        <f t="shared" si="47"/>
        <v>1.2909944487358056</v>
      </c>
      <c r="Z78" s="70">
        <f t="shared" si="48"/>
        <v>0</v>
      </c>
      <c r="AA78" s="69" t="str">
        <f t="shared" si="49"/>
        <v>Negligible</v>
      </c>
      <c r="AB78" s="69" t="str">
        <f t="shared" si="50"/>
        <v>Tidak Ada Indikasi Bias</v>
      </c>
    </row>
    <row r="79" spans="1:28" ht="25" x14ac:dyDescent="0.35">
      <c r="A79" s="71" t="str">
        <f>ToT!A73</f>
        <v>69. Apa yang menjadi fokus utama saat memvalidasi media pembelajaran inovatif</v>
      </c>
      <c r="B79" s="69">
        <f>ToT!B73</f>
        <v>1</v>
      </c>
      <c r="C79" s="69">
        <f>ToT!C73</f>
        <v>1</v>
      </c>
      <c r="D79" s="69">
        <f>ToT!D73</f>
        <v>0</v>
      </c>
      <c r="E79" s="69">
        <f>ToT!E73</f>
        <v>1</v>
      </c>
      <c r="F79" s="69">
        <f>ToT!F73</f>
        <v>1</v>
      </c>
      <c r="G79" s="69">
        <f>ToT!G73</f>
        <v>1</v>
      </c>
      <c r="H79" s="69">
        <f>ToT!H73</f>
        <v>0</v>
      </c>
      <c r="I79" s="69">
        <f>ToT!I73</f>
        <v>0</v>
      </c>
      <c r="J79" s="69">
        <f>ToT!J73</f>
        <v>0</v>
      </c>
      <c r="K79" s="69">
        <f>ToT!K73</f>
        <v>1</v>
      </c>
      <c r="L79" s="69">
        <f t="shared" si="34"/>
        <v>5</v>
      </c>
      <c r="M79" s="69">
        <f t="shared" si="35"/>
        <v>5</v>
      </c>
      <c r="N79" s="69">
        <f t="shared" si="36"/>
        <v>3</v>
      </c>
      <c r="O79" s="69">
        <f t="shared" si="37"/>
        <v>3</v>
      </c>
      <c r="P79" s="69">
        <f t="shared" si="38"/>
        <v>3</v>
      </c>
      <c r="Q79" s="69">
        <f t="shared" si="39"/>
        <v>3</v>
      </c>
      <c r="R79" s="70">
        <f t="shared" si="40"/>
        <v>-0.40546510810816444</v>
      </c>
      <c r="S79" s="70">
        <f t="shared" si="41"/>
        <v>-0.40546510810816444</v>
      </c>
      <c r="T79" s="70">
        <f t="shared" si="42"/>
        <v>-0.29626054958652714</v>
      </c>
      <c r="U79" s="70">
        <f t="shared" si="43"/>
        <v>-0.29626054958652714</v>
      </c>
      <c r="V79" s="70">
        <f t="shared" si="44"/>
        <v>0.91287092917527679</v>
      </c>
      <c r="W79" s="70">
        <f t="shared" si="45"/>
        <v>0.91287092917527679</v>
      </c>
      <c r="X79" s="70">
        <f t="shared" si="46"/>
        <v>0</v>
      </c>
      <c r="Y79" s="70">
        <f t="shared" si="47"/>
        <v>1.2909944487358056</v>
      </c>
      <c r="Z79" s="70">
        <f t="shared" si="48"/>
        <v>0</v>
      </c>
      <c r="AA79" s="69" t="str">
        <f t="shared" si="49"/>
        <v>Negligible</v>
      </c>
      <c r="AB79" s="69" t="str">
        <f t="shared" si="50"/>
        <v>Tidak Ada Indikasi Bias</v>
      </c>
    </row>
    <row r="80" spans="1:28" ht="37.5" x14ac:dyDescent="0.35">
      <c r="A80" s="71" t="str">
        <f>ToT!A74</f>
        <v>70. Bagaimana proses validasi media pembelajaran inovatif biasanya dilakukan oleh pihak yang berwenang</v>
      </c>
      <c r="B80" s="69">
        <f>ToT!B74</f>
        <v>1</v>
      </c>
      <c r="C80" s="69">
        <f>ToT!C74</f>
        <v>1</v>
      </c>
      <c r="D80" s="69">
        <f>ToT!D74</f>
        <v>1</v>
      </c>
      <c r="E80" s="69">
        <f>ToT!E74</f>
        <v>1</v>
      </c>
      <c r="F80" s="69">
        <f>ToT!F74</f>
        <v>1</v>
      </c>
      <c r="G80" s="69">
        <f>ToT!G74</f>
        <v>1</v>
      </c>
      <c r="H80" s="69">
        <f>ToT!H74</f>
        <v>1</v>
      </c>
      <c r="I80" s="69">
        <f>ToT!I74</f>
        <v>0</v>
      </c>
      <c r="J80" s="69">
        <f>ToT!J74</f>
        <v>0</v>
      </c>
      <c r="K80" s="69">
        <f>ToT!K74</f>
        <v>1</v>
      </c>
      <c r="L80" s="69">
        <f t="shared" si="34"/>
        <v>5</v>
      </c>
      <c r="M80" s="69">
        <f t="shared" si="35"/>
        <v>5</v>
      </c>
      <c r="N80" s="69">
        <f t="shared" si="36"/>
        <v>4</v>
      </c>
      <c r="O80" s="69">
        <f t="shared" si="37"/>
        <v>4</v>
      </c>
      <c r="P80" s="69">
        <f t="shared" si="38"/>
        <v>4</v>
      </c>
      <c r="Q80" s="69">
        <f t="shared" si="39"/>
        <v>4</v>
      </c>
      <c r="R80" s="70">
        <f t="shared" si="40"/>
        <v>-1.3862943611198906</v>
      </c>
      <c r="S80" s="70">
        <f t="shared" si="41"/>
        <v>-1.3862943611198906</v>
      </c>
      <c r="T80" s="70">
        <f t="shared" si="42"/>
        <v>-1.2770898025982533</v>
      </c>
      <c r="U80" s="70">
        <f t="shared" si="43"/>
        <v>-1.2770898025982533</v>
      </c>
      <c r="V80" s="70">
        <f t="shared" si="44"/>
        <v>1.1180339887498949</v>
      </c>
      <c r="W80" s="70">
        <f t="shared" si="45"/>
        <v>1.1180339887498949</v>
      </c>
      <c r="X80" s="70">
        <f t="shared" si="46"/>
        <v>0</v>
      </c>
      <c r="Y80" s="70">
        <f t="shared" si="47"/>
        <v>1.5811388300841898</v>
      </c>
      <c r="Z80" s="70">
        <f t="shared" si="48"/>
        <v>0</v>
      </c>
      <c r="AA80" s="69" t="str">
        <f t="shared" si="49"/>
        <v>Negligible</v>
      </c>
      <c r="AB80" s="69" t="str">
        <f t="shared" si="50"/>
        <v>Tidak Ada Indikasi Bias</v>
      </c>
    </row>
    <row r="81" spans="1:28" ht="62.5" x14ac:dyDescent="0.35">
      <c r="A81" s="71" t="str">
        <f>ToT!A75</f>
        <v>71. Implementasi metode pembelajaran inovatif yang efektif melibatkan beberapa langkah penting untuk memastikan keberhasilannya. Berikut adalah beberapa langkah yang dapat diambil kecuali adalah</v>
      </c>
      <c r="B81" s="69">
        <f>ToT!B75</f>
        <v>1</v>
      </c>
      <c r="C81" s="69">
        <f>ToT!C75</f>
        <v>1</v>
      </c>
      <c r="D81" s="69">
        <f>ToT!D75</f>
        <v>1</v>
      </c>
      <c r="E81" s="69">
        <f>ToT!E75</f>
        <v>1</v>
      </c>
      <c r="F81" s="69">
        <f>ToT!F75</f>
        <v>1</v>
      </c>
      <c r="G81" s="69">
        <f>ToT!G75</f>
        <v>1</v>
      </c>
      <c r="H81" s="69">
        <f>ToT!H75</f>
        <v>0</v>
      </c>
      <c r="I81" s="69">
        <f>ToT!I75</f>
        <v>1</v>
      </c>
      <c r="J81" s="69">
        <f>ToT!J75</f>
        <v>0</v>
      </c>
      <c r="K81" s="69">
        <f>ToT!K75</f>
        <v>1</v>
      </c>
      <c r="L81" s="69">
        <f t="shared" si="34"/>
        <v>5</v>
      </c>
      <c r="M81" s="69">
        <f t="shared" si="35"/>
        <v>5</v>
      </c>
      <c r="N81" s="69">
        <f t="shared" si="36"/>
        <v>4</v>
      </c>
      <c r="O81" s="69">
        <f t="shared" si="37"/>
        <v>4</v>
      </c>
      <c r="P81" s="69">
        <f t="shared" si="38"/>
        <v>4</v>
      </c>
      <c r="Q81" s="69">
        <f t="shared" si="39"/>
        <v>4</v>
      </c>
      <c r="R81" s="70">
        <f t="shared" si="40"/>
        <v>-1.3862943611198906</v>
      </c>
      <c r="S81" s="70">
        <f t="shared" si="41"/>
        <v>-1.3862943611198906</v>
      </c>
      <c r="T81" s="70">
        <f t="shared" si="42"/>
        <v>-1.2770898025982533</v>
      </c>
      <c r="U81" s="70">
        <f t="shared" si="43"/>
        <v>-1.2770898025982533</v>
      </c>
      <c r="V81" s="70">
        <f t="shared" si="44"/>
        <v>1.1180339887498949</v>
      </c>
      <c r="W81" s="70">
        <f t="shared" si="45"/>
        <v>1.1180339887498949</v>
      </c>
      <c r="X81" s="70">
        <f t="shared" si="46"/>
        <v>0</v>
      </c>
      <c r="Y81" s="70">
        <f t="shared" si="47"/>
        <v>1.5811388300841898</v>
      </c>
      <c r="Z81" s="70">
        <f t="shared" si="48"/>
        <v>0</v>
      </c>
      <c r="AA81" s="69" t="str">
        <f t="shared" si="49"/>
        <v>Negligible</v>
      </c>
      <c r="AB81" s="69" t="str">
        <f t="shared" si="50"/>
        <v>Tidak Ada Indikasi Bias</v>
      </c>
    </row>
    <row r="82" spans="1:28" ht="37.5" x14ac:dyDescent="0.35">
      <c r="A82" s="71" t="str">
        <f>ToT!A76</f>
        <v>72. Apa yang dimaksud dengan "materi pembelajaran" dalam konteks Outcome-Based Education (OBE)?</v>
      </c>
      <c r="B82" s="69">
        <f>ToT!B76</f>
        <v>1</v>
      </c>
      <c r="C82" s="69">
        <f>ToT!C76</f>
        <v>1</v>
      </c>
      <c r="D82" s="69">
        <f>ToT!D76</f>
        <v>1</v>
      </c>
      <c r="E82" s="69">
        <f>ToT!E76</f>
        <v>1</v>
      </c>
      <c r="F82" s="69">
        <f>ToT!F76</f>
        <v>0</v>
      </c>
      <c r="G82" s="69">
        <f>ToT!G76</f>
        <v>0</v>
      </c>
      <c r="H82" s="69">
        <f>ToT!H76</f>
        <v>1</v>
      </c>
      <c r="I82" s="69">
        <f>ToT!I76</f>
        <v>0</v>
      </c>
      <c r="J82" s="69">
        <f>ToT!J76</f>
        <v>0</v>
      </c>
      <c r="K82" s="69">
        <f>ToT!K76</f>
        <v>1</v>
      </c>
      <c r="L82" s="69">
        <f t="shared" si="34"/>
        <v>5</v>
      </c>
      <c r="M82" s="69">
        <f t="shared" si="35"/>
        <v>5</v>
      </c>
      <c r="N82" s="69">
        <f t="shared" si="36"/>
        <v>3</v>
      </c>
      <c r="O82" s="69">
        <f t="shared" si="37"/>
        <v>3</v>
      </c>
      <c r="P82" s="69">
        <f t="shared" si="38"/>
        <v>3</v>
      </c>
      <c r="Q82" s="69">
        <f t="shared" si="39"/>
        <v>3</v>
      </c>
      <c r="R82" s="70">
        <f t="shared" si="40"/>
        <v>-0.40546510810816444</v>
      </c>
      <c r="S82" s="70">
        <f t="shared" si="41"/>
        <v>-0.40546510810816444</v>
      </c>
      <c r="T82" s="70">
        <f t="shared" si="42"/>
        <v>-0.29626054958652714</v>
      </c>
      <c r="U82" s="70">
        <f t="shared" si="43"/>
        <v>-0.29626054958652714</v>
      </c>
      <c r="V82" s="70">
        <f t="shared" si="44"/>
        <v>0.91287092917527679</v>
      </c>
      <c r="W82" s="70">
        <f t="shared" si="45"/>
        <v>0.91287092917527679</v>
      </c>
      <c r="X82" s="70">
        <f t="shared" si="46"/>
        <v>0</v>
      </c>
      <c r="Y82" s="70">
        <f t="shared" si="47"/>
        <v>1.2909944487358056</v>
      </c>
      <c r="Z82" s="70">
        <f t="shared" si="48"/>
        <v>0</v>
      </c>
      <c r="AA82" s="69" t="str">
        <f t="shared" si="49"/>
        <v>Negligible</v>
      </c>
      <c r="AB82" s="69" t="str">
        <f t="shared" si="50"/>
        <v>Tidak Ada Indikasi Bias</v>
      </c>
    </row>
    <row r="83" spans="1:28" ht="50" x14ac:dyDescent="0.35">
      <c r="A83" s="71" t="str">
        <f>ToT!A77</f>
        <v>73. Berapa beban belajar dalam sistem SKS yang biasanya diimplementasikan dalam kurikulum pembelajaran tingkat perguruan tinggi</v>
      </c>
      <c r="B83" s="69">
        <f>ToT!B77</f>
        <v>1</v>
      </c>
      <c r="C83" s="69">
        <f>ToT!C77</f>
        <v>0</v>
      </c>
      <c r="D83" s="69">
        <f>ToT!D77</f>
        <v>1</v>
      </c>
      <c r="E83" s="69">
        <f>ToT!E77</f>
        <v>1</v>
      </c>
      <c r="F83" s="69">
        <f>ToT!F77</f>
        <v>1</v>
      </c>
      <c r="G83" s="69">
        <f>ToT!G77</f>
        <v>0</v>
      </c>
      <c r="H83" s="69">
        <f>ToT!H77</f>
        <v>1</v>
      </c>
      <c r="I83" s="69">
        <f>ToT!I77</f>
        <v>1</v>
      </c>
      <c r="J83" s="69">
        <f>ToT!J77</f>
        <v>0</v>
      </c>
      <c r="K83" s="69">
        <f>ToT!K77</f>
        <v>0</v>
      </c>
      <c r="L83" s="69">
        <f t="shared" si="34"/>
        <v>5</v>
      </c>
      <c r="M83" s="69">
        <f t="shared" si="35"/>
        <v>5</v>
      </c>
      <c r="N83" s="69">
        <f t="shared" si="36"/>
        <v>3</v>
      </c>
      <c r="O83" s="69">
        <f t="shared" si="37"/>
        <v>3</v>
      </c>
      <c r="P83" s="69">
        <f t="shared" si="38"/>
        <v>3</v>
      </c>
      <c r="Q83" s="69">
        <f t="shared" si="39"/>
        <v>3</v>
      </c>
      <c r="R83" s="70">
        <f t="shared" si="40"/>
        <v>-0.40546510810816444</v>
      </c>
      <c r="S83" s="70">
        <f t="shared" si="41"/>
        <v>-0.40546510810816444</v>
      </c>
      <c r="T83" s="70">
        <f t="shared" si="42"/>
        <v>-0.29626054958652714</v>
      </c>
      <c r="U83" s="70">
        <f t="shared" si="43"/>
        <v>-0.29626054958652714</v>
      </c>
      <c r="V83" s="70">
        <f t="shared" si="44"/>
        <v>0.91287092917527679</v>
      </c>
      <c r="W83" s="70">
        <f t="shared" si="45"/>
        <v>0.91287092917527679</v>
      </c>
      <c r="X83" s="70">
        <f t="shared" si="46"/>
        <v>0</v>
      </c>
      <c r="Y83" s="70">
        <f t="shared" si="47"/>
        <v>1.2909944487358056</v>
      </c>
      <c r="Z83" s="70">
        <f t="shared" si="48"/>
        <v>0</v>
      </c>
      <c r="AA83" s="69" t="str">
        <f t="shared" si="49"/>
        <v>Negligible</v>
      </c>
      <c r="AB83" s="69" t="str">
        <f t="shared" si="50"/>
        <v>Tidak Ada Indikasi Bias</v>
      </c>
    </row>
    <row r="84" spans="1:28" ht="50" x14ac:dyDescent="0.35">
      <c r="A84" s="71" t="str">
        <f>ToT!A78</f>
        <v>74. Bentuk-bentuk pelaksanaan pembelajaran yang dapat secara efektif memfasilitasi pemenuhan capaian pembelajaran lulusan adalah</v>
      </c>
      <c r="B84" s="69">
        <f>ToT!B78</f>
        <v>1</v>
      </c>
      <c r="C84" s="69">
        <f>ToT!C78</f>
        <v>0</v>
      </c>
      <c r="D84" s="69">
        <f>ToT!D78</f>
        <v>1</v>
      </c>
      <c r="E84" s="69">
        <f>ToT!E78</f>
        <v>1</v>
      </c>
      <c r="F84" s="69">
        <f>ToT!F78</f>
        <v>1</v>
      </c>
      <c r="G84" s="69">
        <f>ToT!G78</f>
        <v>1</v>
      </c>
      <c r="H84" s="69">
        <f>ToT!H78</f>
        <v>1</v>
      </c>
      <c r="I84" s="69">
        <f>ToT!I78</f>
        <v>0</v>
      </c>
      <c r="J84" s="69">
        <f>ToT!J78</f>
        <v>0</v>
      </c>
      <c r="K84" s="69">
        <f>ToT!K78</f>
        <v>0</v>
      </c>
      <c r="L84" s="69">
        <f t="shared" si="34"/>
        <v>5</v>
      </c>
      <c r="M84" s="69">
        <f t="shared" si="35"/>
        <v>5</v>
      </c>
      <c r="N84" s="69">
        <f t="shared" si="36"/>
        <v>3</v>
      </c>
      <c r="O84" s="69">
        <f t="shared" si="37"/>
        <v>3</v>
      </c>
      <c r="P84" s="69">
        <f t="shared" si="38"/>
        <v>3</v>
      </c>
      <c r="Q84" s="69">
        <f t="shared" si="39"/>
        <v>3</v>
      </c>
      <c r="R84" s="70">
        <f t="shared" si="40"/>
        <v>-0.40546510810816444</v>
      </c>
      <c r="S84" s="70">
        <f t="shared" si="41"/>
        <v>-0.40546510810816444</v>
      </c>
      <c r="T84" s="70">
        <f t="shared" si="42"/>
        <v>-0.29626054958652714</v>
      </c>
      <c r="U84" s="70">
        <f t="shared" si="43"/>
        <v>-0.29626054958652714</v>
      </c>
      <c r="V84" s="70">
        <f t="shared" si="44"/>
        <v>0.91287092917527679</v>
      </c>
      <c r="W84" s="70">
        <f t="shared" si="45"/>
        <v>0.91287092917527679</v>
      </c>
      <c r="X84" s="70">
        <f t="shared" si="46"/>
        <v>0</v>
      </c>
      <c r="Y84" s="70">
        <f t="shared" si="47"/>
        <v>1.2909944487358056</v>
      </c>
      <c r="Z84" s="70">
        <f t="shared" si="48"/>
        <v>0</v>
      </c>
      <c r="AA84" s="69" t="str">
        <f t="shared" si="49"/>
        <v>Negligible</v>
      </c>
      <c r="AB84" s="69" t="str">
        <f t="shared" si="50"/>
        <v>Tidak Ada Indikasi Bias</v>
      </c>
    </row>
    <row r="85" spans="1:28" ht="100" x14ac:dyDescent="0.35">
      <c r="A85" s="71" t="str">
        <f>ToT!A79</f>
        <v>75. Jumlah, jenis, dan spesifikasi sarana ditetapkan berdasarkan rasio penggunaan sarana sesuai dengan karakteristik metode dan bentuk pembelajaran, serta harus menjamin terselenggaranya proses pembelajaran dan pelayanan administrasi akademik. Standar sarana pembelajaran paling sedikit terdiri atas</v>
      </c>
      <c r="B85" s="69">
        <f>ToT!B79</f>
        <v>1</v>
      </c>
      <c r="C85" s="69">
        <f>ToT!C79</f>
        <v>1</v>
      </c>
      <c r="D85" s="69">
        <f>ToT!D79</f>
        <v>1</v>
      </c>
      <c r="E85" s="69">
        <f>ToT!E79</f>
        <v>1</v>
      </c>
      <c r="F85" s="69">
        <f>ToT!F79</f>
        <v>1</v>
      </c>
      <c r="G85" s="69">
        <f>ToT!G79</f>
        <v>0</v>
      </c>
      <c r="H85" s="69">
        <f>ToT!H79</f>
        <v>1</v>
      </c>
      <c r="I85" s="69">
        <f>ToT!I79</f>
        <v>0</v>
      </c>
      <c r="J85" s="69">
        <f>ToT!J79</f>
        <v>0</v>
      </c>
      <c r="K85" s="69">
        <f>ToT!K79</f>
        <v>0</v>
      </c>
      <c r="L85" s="69">
        <f t="shared" si="34"/>
        <v>5</v>
      </c>
      <c r="M85" s="69">
        <f t="shared" si="35"/>
        <v>5</v>
      </c>
      <c r="N85" s="69">
        <f t="shared" si="36"/>
        <v>3</v>
      </c>
      <c r="O85" s="69">
        <f t="shared" si="37"/>
        <v>3</v>
      </c>
      <c r="P85" s="69">
        <f t="shared" si="38"/>
        <v>3</v>
      </c>
      <c r="Q85" s="69">
        <f t="shared" si="39"/>
        <v>3</v>
      </c>
      <c r="R85" s="70">
        <f t="shared" si="40"/>
        <v>-0.40546510810816444</v>
      </c>
      <c r="S85" s="70">
        <f t="shared" si="41"/>
        <v>-0.40546510810816444</v>
      </c>
      <c r="T85" s="70">
        <f t="shared" si="42"/>
        <v>-0.29626054958652714</v>
      </c>
      <c r="U85" s="70">
        <f t="shared" si="43"/>
        <v>-0.29626054958652714</v>
      </c>
      <c r="V85" s="70">
        <f t="shared" si="44"/>
        <v>0.91287092917527679</v>
      </c>
      <c r="W85" s="70">
        <f t="shared" si="45"/>
        <v>0.91287092917527679</v>
      </c>
      <c r="X85" s="70">
        <f t="shared" si="46"/>
        <v>0</v>
      </c>
      <c r="Y85" s="70">
        <f t="shared" si="47"/>
        <v>1.2909944487358056</v>
      </c>
      <c r="Z85" s="70">
        <f t="shared" si="48"/>
        <v>0</v>
      </c>
      <c r="AA85" s="69" t="str">
        <f t="shared" si="49"/>
        <v>Negligible</v>
      </c>
      <c r="AB85" s="69" t="str">
        <f t="shared" si="50"/>
        <v>Tidak Ada Indikasi Bias</v>
      </c>
    </row>
    <row r="86" spans="1:28" ht="25" x14ac:dyDescent="0.35">
      <c r="A86" s="71" t="str">
        <f>ToT!A80</f>
        <v>76. Standar pengelolaan pembelajaran harus mengacu pada</v>
      </c>
      <c r="B86" s="69">
        <f>ToT!B80</f>
        <v>1</v>
      </c>
      <c r="C86" s="69">
        <f>ToT!C80</f>
        <v>1</v>
      </c>
      <c r="D86" s="69">
        <f>ToT!D80</f>
        <v>0</v>
      </c>
      <c r="E86" s="69">
        <f>ToT!E80</f>
        <v>1</v>
      </c>
      <c r="F86" s="69">
        <f>ToT!F80</f>
        <v>1</v>
      </c>
      <c r="G86" s="69">
        <f>ToT!G80</f>
        <v>1</v>
      </c>
      <c r="H86" s="69">
        <f>ToT!H80</f>
        <v>0</v>
      </c>
      <c r="I86" s="69">
        <f>ToT!I80</f>
        <v>0</v>
      </c>
      <c r="J86" s="69">
        <f>ToT!J80</f>
        <v>1</v>
      </c>
      <c r="K86" s="69">
        <f>ToT!K80</f>
        <v>0</v>
      </c>
      <c r="L86" s="69">
        <f t="shared" si="34"/>
        <v>5</v>
      </c>
      <c r="M86" s="69">
        <f t="shared" si="35"/>
        <v>5</v>
      </c>
      <c r="N86" s="69">
        <f t="shared" si="36"/>
        <v>3</v>
      </c>
      <c r="O86" s="69">
        <f t="shared" si="37"/>
        <v>3</v>
      </c>
      <c r="P86" s="69">
        <f t="shared" si="38"/>
        <v>3</v>
      </c>
      <c r="Q86" s="69">
        <f t="shared" si="39"/>
        <v>3</v>
      </c>
      <c r="R86" s="70">
        <f t="shared" si="40"/>
        <v>-0.40546510810816444</v>
      </c>
      <c r="S86" s="70">
        <f t="shared" si="41"/>
        <v>-0.40546510810816444</v>
      </c>
      <c r="T86" s="70">
        <f t="shared" si="42"/>
        <v>-0.29626054958652714</v>
      </c>
      <c r="U86" s="70">
        <f t="shared" si="43"/>
        <v>-0.29626054958652714</v>
      </c>
      <c r="V86" s="70">
        <f t="shared" si="44"/>
        <v>0.91287092917527679</v>
      </c>
      <c r="W86" s="70">
        <f t="shared" si="45"/>
        <v>0.91287092917527679</v>
      </c>
      <c r="X86" s="70">
        <f t="shared" si="46"/>
        <v>0</v>
      </c>
      <c r="Y86" s="70">
        <f t="shared" si="47"/>
        <v>1.2909944487358056</v>
      </c>
      <c r="Z86" s="70">
        <f t="shared" si="48"/>
        <v>0</v>
      </c>
      <c r="AA86" s="69" t="str">
        <f t="shared" si="49"/>
        <v>Negligible</v>
      </c>
      <c r="AB86" s="69" t="str">
        <f t="shared" si="50"/>
        <v>Tidak Ada Indikasi Bias</v>
      </c>
    </row>
    <row r="87" spans="1:28" ht="37.5" x14ac:dyDescent="0.35">
      <c r="A87" s="71" t="str">
        <f>ToT!A81</f>
        <v>77. Mengapa penting untuk mengidentifikasi tempat pembelajaran sesuai dengan kebutuhan pembelajaran</v>
      </c>
      <c r="B87" s="69">
        <f>ToT!B81</f>
        <v>0</v>
      </c>
      <c r="C87" s="69">
        <f>ToT!C81</f>
        <v>0</v>
      </c>
      <c r="D87" s="69">
        <f>ToT!D81</f>
        <v>0</v>
      </c>
      <c r="E87" s="69">
        <f>ToT!E81</f>
        <v>0</v>
      </c>
      <c r="F87" s="69">
        <f>ToT!F81</f>
        <v>0</v>
      </c>
      <c r="G87" s="69">
        <f>ToT!G81</f>
        <v>0</v>
      </c>
      <c r="H87" s="69">
        <f>ToT!H81</f>
        <v>0</v>
      </c>
      <c r="I87" s="69">
        <f>ToT!I81</f>
        <v>1</v>
      </c>
      <c r="J87" s="69">
        <f>ToT!J81</f>
        <v>0</v>
      </c>
      <c r="K87" s="69">
        <f>ToT!K81</f>
        <v>1</v>
      </c>
      <c r="L87" s="69">
        <f t="shared" si="34"/>
        <v>5</v>
      </c>
      <c r="M87" s="69">
        <f t="shared" si="35"/>
        <v>5</v>
      </c>
      <c r="N87" s="69">
        <f t="shared" si="36"/>
        <v>1</v>
      </c>
      <c r="O87" s="69">
        <f t="shared" si="37"/>
        <v>1</v>
      </c>
      <c r="P87" s="69">
        <f t="shared" si="38"/>
        <v>1</v>
      </c>
      <c r="Q87" s="69">
        <f t="shared" si="39"/>
        <v>1</v>
      </c>
      <c r="R87" s="70">
        <f t="shared" si="40"/>
        <v>1.3862943611198906</v>
      </c>
      <c r="S87" s="70">
        <f t="shared" si="41"/>
        <v>1.3862943611198906</v>
      </c>
      <c r="T87" s="70">
        <f t="shared" si="42"/>
        <v>1.4954989196415278</v>
      </c>
      <c r="U87" s="70">
        <f t="shared" si="43"/>
        <v>1.4954989196415278</v>
      </c>
      <c r="V87" s="70">
        <f t="shared" si="44"/>
        <v>1.1180339887498949</v>
      </c>
      <c r="W87" s="70">
        <f t="shared" si="45"/>
        <v>1.1180339887498949</v>
      </c>
      <c r="X87" s="70">
        <f t="shared" si="46"/>
        <v>0</v>
      </c>
      <c r="Y87" s="70">
        <f t="shared" si="47"/>
        <v>1.5811388300841898</v>
      </c>
      <c r="Z87" s="70">
        <f t="shared" si="48"/>
        <v>0</v>
      </c>
      <c r="AA87" s="69" t="str">
        <f t="shared" si="49"/>
        <v>Negligible</v>
      </c>
      <c r="AB87" s="69" t="str">
        <f t="shared" si="50"/>
        <v>Tidak Ada Indikasi Bias</v>
      </c>
    </row>
    <row r="88" spans="1:28" ht="37.5" x14ac:dyDescent="0.35">
      <c r="A88" s="71" t="str">
        <f>ToT!A82</f>
        <v>78. Apa yang dimaksud dengan tempat pembelajaran yang sesuai dengan metode pembelajaran</v>
      </c>
      <c r="B88" s="69">
        <f>ToT!B82</f>
        <v>1</v>
      </c>
      <c r="C88" s="69">
        <f>ToT!C82</f>
        <v>0</v>
      </c>
      <c r="D88" s="69">
        <f>ToT!D82</f>
        <v>1</v>
      </c>
      <c r="E88" s="69">
        <f>ToT!E82</f>
        <v>1</v>
      </c>
      <c r="F88" s="69">
        <f>ToT!F82</f>
        <v>1</v>
      </c>
      <c r="G88" s="69">
        <f>ToT!G82</f>
        <v>0</v>
      </c>
      <c r="H88" s="69">
        <f>ToT!H82</f>
        <v>1</v>
      </c>
      <c r="I88" s="69">
        <f>ToT!I82</f>
        <v>1</v>
      </c>
      <c r="J88" s="69">
        <f>ToT!J82</f>
        <v>0</v>
      </c>
      <c r="K88" s="69">
        <f>ToT!K82</f>
        <v>0</v>
      </c>
      <c r="L88" s="69">
        <f t="shared" si="34"/>
        <v>5</v>
      </c>
      <c r="M88" s="69">
        <f t="shared" si="35"/>
        <v>5</v>
      </c>
      <c r="N88" s="69">
        <f t="shared" si="36"/>
        <v>3</v>
      </c>
      <c r="O88" s="69">
        <f t="shared" si="37"/>
        <v>3</v>
      </c>
      <c r="P88" s="69">
        <f t="shared" si="38"/>
        <v>3</v>
      </c>
      <c r="Q88" s="69">
        <f t="shared" si="39"/>
        <v>3</v>
      </c>
      <c r="R88" s="70">
        <f t="shared" si="40"/>
        <v>-0.40546510810816444</v>
      </c>
      <c r="S88" s="70">
        <f t="shared" si="41"/>
        <v>-0.40546510810816444</v>
      </c>
      <c r="T88" s="70">
        <f t="shared" si="42"/>
        <v>-0.29626054958652714</v>
      </c>
      <c r="U88" s="70">
        <f t="shared" si="43"/>
        <v>-0.29626054958652714</v>
      </c>
      <c r="V88" s="70">
        <f t="shared" si="44"/>
        <v>0.91287092917527679</v>
      </c>
      <c r="W88" s="70">
        <f t="shared" si="45"/>
        <v>0.91287092917527679</v>
      </c>
      <c r="X88" s="70">
        <f t="shared" si="46"/>
        <v>0</v>
      </c>
      <c r="Y88" s="70">
        <f t="shared" si="47"/>
        <v>1.2909944487358056</v>
      </c>
      <c r="Z88" s="70">
        <f t="shared" si="48"/>
        <v>0</v>
      </c>
      <c r="AA88" s="69" t="str">
        <f t="shared" si="49"/>
        <v>Negligible</v>
      </c>
      <c r="AB88" s="69" t="str">
        <f t="shared" si="50"/>
        <v>Tidak Ada Indikasi Bias</v>
      </c>
    </row>
    <row r="89" spans="1:28" ht="37.5" x14ac:dyDescent="0.35">
      <c r="A89" s="71" t="str">
        <f>ToT!A83</f>
        <v>79. Cakupan penilaian pembelajaran untuk pemenuhan capaian pembelajaran lulusan adalah</v>
      </c>
      <c r="B89" s="69">
        <f>ToT!B83</f>
        <v>0</v>
      </c>
      <c r="C89" s="69">
        <f>ToT!C83</f>
        <v>1</v>
      </c>
      <c r="D89" s="69">
        <f>ToT!D83</f>
        <v>0</v>
      </c>
      <c r="E89" s="69">
        <f>ToT!E83</f>
        <v>1</v>
      </c>
      <c r="F89" s="69">
        <f>ToT!F83</f>
        <v>0</v>
      </c>
      <c r="G89" s="69">
        <f>ToT!G83</f>
        <v>1</v>
      </c>
      <c r="H89" s="69">
        <f>ToT!H83</f>
        <v>1</v>
      </c>
      <c r="I89" s="69">
        <f>ToT!I83</f>
        <v>0</v>
      </c>
      <c r="J89" s="69">
        <f>ToT!J83</f>
        <v>1</v>
      </c>
      <c r="K89" s="69">
        <f>ToT!K83</f>
        <v>1</v>
      </c>
      <c r="L89" s="69">
        <f t="shared" si="34"/>
        <v>5</v>
      </c>
      <c r="M89" s="69">
        <f t="shared" si="35"/>
        <v>5</v>
      </c>
      <c r="N89" s="69">
        <f t="shared" si="36"/>
        <v>3</v>
      </c>
      <c r="O89" s="69">
        <f t="shared" si="37"/>
        <v>3</v>
      </c>
      <c r="P89" s="69">
        <f t="shared" si="38"/>
        <v>3</v>
      </c>
      <c r="Q89" s="69">
        <f t="shared" si="39"/>
        <v>3</v>
      </c>
      <c r="R89" s="70">
        <f t="shared" si="40"/>
        <v>-0.40546510810816444</v>
      </c>
      <c r="S89" s="70">
        <f t="shared" si="41"/>
        <v>-0.40546510810816444</v>
      </c>
      <c r="T89" s="70">
        <f t="shared" si="42"/>
        <v>-0.29626054958652714</v>
      </c>
      <c r="U89" s="70">
        <f t="shared" si="43"/>
        <v>-0.29626054958652714</v>
      </c>
      <c r="V89" s="70">
        <f t="shared" si="44"/>
        <v>0.91287092917527679</v>
      </c>
      <c r="W89" s="70">
        <f t="shared" si="45"/>
        <v>0.91287092917527679</v>
      </c>
      <c r="X89" s="70">
        <f t="shared" si="46"/>
        <v>0</v>
      </c>
      <c r="Y89" s="70">
        <f t="shared" si="47"/>
        <v>1.2909944487358056</v>
      </c>
      <c r="Z89" s="70">
        <f t="shared" si="48"/>
        <v>0</v>
      </c>
      <c r="AA89" s="69" t="str">
        <f t="shared" si="49"/>
        <v>Negligible</v>
      </c>
      <c r="AB89" s="69" t="str">
        <f t="shared" si="50"/>
        <v>Tidak Ada Indikasi Bias</v>
      </c>
    </row>
    <row r="90" spans="1:28" ht="37.5" x14ac:dyDescent="0.35">
      <c r="A90" s="71" t="str">
        <f>ToT!A84</f>
        <v>80. Tujuan utama dari penilaian hasil pembelajaran mahamahasiswa berdasarkan CPMK dan CPL adalah</v>
      </c>
      <c r="B90" s="69">
        <f>ToT!B84</f>
        <v>1</v>
      </c>
      <c r="C90" s="69">
        <f>ToT!C84</f>
        <v>1</v>
      </c>
      <c r="D90" s="69">
        <f>ToT!D84</f>
        <v>1</v>
      </c>
      <c r="E90" s="69">
        <f>ToT!E84</f>
        <v>1</v>
      </c>
      <c r="F90" s="69">
        <f>ToT!F84</f>
        <v>1</v>
      </c>
      <c r="G90" s="69">
        <f>ToT!G84</f>
        <v>1</v>
      </c>
      <c r="H90" s="69">
        <f>ToT!H84</f>
        <v>0</v>
      </c>
      <c r="I90" s="69">
        <f>ToT!I84</f>
        <v>1</v>
      </c>
      <c r="J90" s="69">
        <f>ToT!J84</f>
        <v>0</v>
      </c>
      <c r="K90" s="69">
        <f>ToT!K84</f>
        <v>1</v>
      </c>
      <c r="L90" s="69">
        <f t="shared" si="34"/>
        <v>5</v>
      </c>
      <c r="M90" s="69">
        <f t="shared" si="35"/>
        <v>5</v>
      </c>
      <c r="N90" s="69">
        <f t="shared" si="36"/>
        <v>4</v>
      </c>
      <c r="O90" s="69">
        <f t="shared" si="37"/>
        <v>4</v>
      </c>
      <c r="P90" s="69">
        <f t="shared" si="38"/>
        <v>4</v>
      </c>
      <c r="Q90" s="69">
        <f t="shared" si="39"/>
        <v>4</v>
      </c>
      <c r="R90" s="70">
        <f t="shared" si="40"/>
        <v>-1.3862943611198906</v>
      </c>
      <c r="S90" s="70">
        <f t="shared" si="41"/>
        <v>-1.3862943611198906</v>
      </c>
      <c r="T90" s="70">
        <f t="shared" si="42"/>
        <v>-1.2770898025982533</v>
      </c>
      <c r="U90" s="70">
        <f t="shared" si="43"/>
        <v>-1.2770898025982533</v>
      </c>
      <c r="V90" s="70">
        <f t="shared" si="44"/>
        <v>1.1180339887498949</v>
      </c>
      <c r="W90" s="70">
        <f t="shared" si="45"/>
        <v>1.1180339887498949</v>
      </c>
      <c r="X90" s="70">
        <f t="shared" si="46"/>
        <v>0</v>
      </c>
      <c r="Y90" s="70">
        <f t="shared" si="47"/>
        <v>1.5811388300841898</v>
      </c>
      <c r="Z90" s="70">
        <f t="shared" si="48"/>
        <v>0</v>
      </c>
      <c r="AA90" s="69" t="str">
        <f t="shared" si="49"/>
        <v>Negligible</v>
      </c>
      <c r="AB90" s="69" t="str">
        <f t="shared" si="50"/>
        <v>Tidak Ada Indikasi Bias</v>
      </c>
    </row>
    <row r="91" spans="1:28" ht="37.5" customHeight="1" x14ac:dyDescent="0.35">
      <c r="A91" s="71" t="str">
        <f>ToT!A85</f>
        <v>81. Salah satu ciri dari perangkat penilaian pembelajaran OBE adalah</v>
      </c>
      <c r="B91" s="69">
        <f>ToT!B85</f>
        <v>0</v>
      </c>
      <c r="C91" s="69">
        <f>ToT!C85</f>
        <v>1</v>
      </c>
      <c r="D91" s="69">
        <f>ToT!D85</f>
        <v>1</v>
      </c>
      <c r="E91" s="69">
        <f>ToT!E85</f>
        <v>1</v>
      </c>
      <c r="F91" s="69">
        <f>ToT!F85</f>
        <v>1</v>
      </c>
      <c r="G91" s="69">
        <f>ToT!G85</f>
        <v>1</v>
      </c>
      <c r="H91" s="69">
        <f>ToT!H85</f>
        <v>0</v>
      </c>
      <c r="I91" s="69">
        <f>ToT!I85</f>
        <v>1</v>
      </c>
      <c r="J91" s="69">
        <f>ToT!J85</f>
        <v>0</v>
      </c>
      <c r="K91" s="69">
        <f>ToT!K85</f>
        <v>0</v>
      </c>
      <c r="L91" s="69">
        <f t="shared" si="34"/>
        <v>5</v>
      </c>
      <c r="M91" s="69">
        <f t="shared" si="35"/>
        <v>5</v>
      </c>
      <c r="N91" s="69">
        <f t="shared" si="36"/>
        <v>3</v>
      </c>
      <c r="O91" s="69">
        <f t="shared" si="37"/>
        <v>3</v>
      </c>
      <c r="P91" s="69">
        <f t="shared" si="38"/>
        <v>3</v>
      </c>
      <c r="Q91" s="69">
        <f t="shared" si="39"/>
        <v>3</v>
      </c>
      <c r="R91" s="70">
        <f t="shared" si="40"/>
        <v>-0.40546510810816444</v>
      </c>
      <c r="S91" s="70">
        <f t="shared" si="41"/>
        <v>-0.40546510810816444</v>
      </c>
      <c r="T91" s="70">
        <f t="shared" si="42"/>
        <v>-0.29626054958652714</v>
      </c>
      <c r="U91" s="70">
        <f t="shared" si="43"/>
        <v>-0.29626054958652714</v>
      </c>
      <c r="V91" s="70">
        <f t="shared" si="44"/>
        <v>0.91287092917527679</v>
      </c>
      <c r="W91" s="70">
        <f t="shared" si="45"/>
        <v>0.91287092917527679</v>
      </c>
      <c r="X91" s="70">
        <f t="shared" si="46"/>
        <v>0</v>
      </c>
      <c r="Y91" s="70">
        <f t="shared" si="47"/>
        <v>1.2909944487358056</v>
      </c>
      <c r="Z91" s="70">
        <f t="shared" si="48"/>
        <v>0</v>
      </c>
      <c r="AA91" s="69" t="str">
        <f t="shared" si="49"/>
        <v>Negligible</v>
      </c>
      <c r="AB91" s="69" t="str">
        <f t="shared" si="50"/>
        <v>Tidak Ada Indikasi Bias</v>
      </c>
    </row>
    <row r="92" spans="1:28" ht="75" x14ac:dyDescent="0.35">
      <c r="A92" s="71" t="str">
        <f>ToT!A86</f>
        <v>82. Instrument yang digunakan untuk menilai setiap kriteria/dimensi secara terpisah, selanjutnya mengkombinasikan penilaian dari setiap kriteria untuk memberikan penilaian terhadap mutu kinerja secara keseluruhan adalah</v>
      </c>
      <c r="B92" s="69">
        <f>ToT!B86</f>
        <v>1</v>
      </c>
      <c r="C92" s="69">
        <f>ToT!C86</f>
        <v>1</v>
      </c>
      <c r="D92" s="69">
        <f>ToT!D86</f>
        <v>1</v>
      </c>
      <c r="E92" s="69">
        <f>ToT!E86</f>
        <v>0</v>
      </c>
      <c r="F92" s="69">
        <f>ToT!F86</f>
        <v>1</v>
      </c>
      <c r="G92" s="69">
        <f>ToT!G86</f>
        <v>1</v>
      </c>
      <c r="H92" s="69">
        <f>ToT!H86</f>
        <v>0</v>
      </c>
      <c r="I92" s="69">
        <f>ToT!I86</f>
        <v>0</v>
      </c>
      <c r="J92" s="69">
        <f>ToT!J86</f>
        <v>1</v>
      </c>
      <c r="K92" s="69">
        <f>ToT!K86</f>
        <v>0</v>
      </c>
      <c r="L92" s="69">
        <f t="shared" si="34"/>
        <v>5</v>
      </c>
      <c r="M92" s="69">
        <f t="shared" si="35"/>
        <v>5</v>
      </c>
      <c r="N92" s="69">
        <f t="shared" si="36"/>
        <v>3</v>
      </c>
      <c r="O92" s="69">
        <f t="shared" si="37"/>
        <v>3</v>
      </c>
      <c r="P92" s="69">
        <f t="shared" si="38"/>
        <v>3</v>
      </c>
      <c r="Q92" s="69">
        <f t="shared" si="39"/>
        <v>3</v>
      </c>
      <c r="R92" s="70">
        <f t="shared" si="40"/>
        <v>-0.40546510810816444</v>
      </c>
      <c r="S92" s="70">
        <f t="shared" si="41"/>
        <v>-0.40546510810816444</v>
      </c>
      <c r="T92" s="70">
        <f t="shared" si="42"/>
        <v>-0.29626054958652714</v>
      </c>
      <c r="U92" s="70">
        <f t="shared" si="43"/>
        <v>-0.29626054958652714</v>
      </c>
      <c r="V92" s="70">
        <f t="shared" si="44"/>
        <v>0.91287092917527679</v>
      </c>
      <c r="W92" s="70">
        <f t="shared" si="45"/>
        <v>0.91287092917527679</v>
      </c>
      <c r="X92" s="70">
        <f t="shared" si="46"/>
        <v>0</v>
      </c>
      <c r="Y92" s="70">
        <f t="shared" si="47"/>
        <v>1.2909944487358056</v>
      </c>
      <c r="Z92" s="70">
        <f t="shared" si="48"/>
        <v>0</v>
      </c>
      <c r="AA92" s="69" t="str">
        <f t="shared" si="49"/>
        <v>Negligible</v>
      </c>
      <c r="AB92" s="69" t="str">
        <f t="shared" si="50"/>
        <v>Tidak Ada Indikasi Bias</v>
      </c>
    </row>
    <row r="93" spans="1:28" ht="37.5" x14ac:dyDescent="0.35">
      <c r="A93" s="71" t="str">
        <f>ToT!A87</f>
        <v>83. Prinsip penilaian yang terintegrasi untuk mengukur capaian pembelajaran lulusan adalah</v>
      </c>
      <c r="B93" s="69">
        <f>ToT!B87</f>
        <v>0</v>
      </c>
      <c r="C93" s="69">
        <f>ToT!C87</f>
        <v>0</v>
      </c>
      <c r="D93" s="69">
        <f>ToT!D87</f>
        <v>0</v>
      </c>
      <c r="E93" s="69">
        <f>ToT!E87</f>
        <v>1</v>
      </c>
      <c r="F93" s="69">
        <f>ToT!F87</f>
        <v>0</v>
      </c>
      <c r="G93" s="69">
        <f>ToT!G87</f>
        <v>0</v>
      </c>
      <c r="H93" s="69">
        <f>ToT!H87</f>
        <v>1</v>
      </c>
      <c r="I93" s="69">
        <f>ToT!I87</f>
        <v>1</v>
      </c>
      <c r="J93" s="69">
        <f>ToT!J87</f>
        <v>0</v>
      </c>
      <c r="K93" s="69">
        <f>ToT!K87</f>
        <v>1</v>
      </c>
      <c r="L93" s="69">
        <f t="shared" si="34"/>
        <v>5</v>
      </c>
      <c r="M93" s="69">
        <f t="shared" si="35"/>
        <v>5</v>
      </c>
      <c r="N93" s="69">
        <f t="shared" si="36"/>
        <v>2</v>
      </c>
      <c r="O93" s="69">
        <f t="shared" si="37"/>
        <v>2</v>
      </c>
      <c r="P93" s="69">
        <f t="shared" si="38"/>
        <v>2</v>
      </c>
      <c r="Q93" s="69">
        <f t="shared" si="39"/>
        <v>2</v>
      </c>
      <c r="R93" s="70">
        <f t="shared" si="40"/>
        <v>0.40546510810816438</v>
      </c>
      <c r="S93" s="70">
        <f t="shared" si="41"/>
        <v>0.40546510810816438</v>
      </c>
      <c r="T93" s="70">
        <f t="shared" si="42"/>
        <v>0.51466966662980163</v>
      </c>
      <c r="U93" s="70">
        <f t="shared" si="43"/>
        <v>0.51466966662980163</v>
      </c>
      <c r="V93" s="70">
        <f t="shared" si="44"/>
        <v>0.91287092917527679</v>
      </c>
      <c r="W93" s="70">
        <f t="shared" si="45"/>
        <v>0.91287092917527679</v>
      </c>
      <c r="X93" s="70">
        <f t="shared" si="46"/>
        <v>0</v>
      </c>
      <c r="Y93" s="70">
        <f t="shared" si="47"/>
        <v>1.2909944487358056</v>
      </c>
      <c r="Z93" s="70">
        <f t="shared" si="48"/>
        <v>0</v>
      </c>
      <c r="AA93" s="69" t="str">
        <f t="shared" si="49"/>
        <v>Negligible</v>
      </c>
      <c r="AB93" s="69" t="str">
        <f t="shared" si="50"/>
        <v>Tidak Ada Indikasi Bias</v>
      </c>
    </row>
    <row r="94" spans="1:28" ht="25" x14ac:dyDescent="0.35">
      <c r="A94" s="71" t="str">
        <f>ToT!A88</f>
        <v>84. Mekanisme penilaian capaian pembelajaran lulusan adalah</v>
      </c>
      <c r="B94" s="69">
        <f>ToT!B88</f>
        <v>0</v>
      </c>
      <c r="C94" s="69">
        <f>ToT!C88</f>
        <v>0</v>
      </c>
      <c r="D94" s="69">
        <f>ToT!D88</f>
        <v>1</v>
      </c>
      <c r="E94" s="69">
        <f>ToT!E88</f>
        <v>1</v>
      </c>
      <c r="F94" s="69">
        <f>ToT!F88</f>
        <v>0</v>
      </c>
      <c r="G94" s="69">
        <f>ToT!G88</f>
        <v>1</v>
      </c>
      <c r="H94" s="69">
        <f>ToT!H88</f>
        <v>1</v>
      </c>
      <c r="I94" s="69">
        <f>ToT!I88</f>
        <v>1</v>
      </c>
      <c r="J94" s="69">
        <f>ToT!J88</f>
        <v>1</v>
      </c>
      <c r="K94" s="69">
        <f>ToT!K88</f>
        <v>0</v>
      </c>
      <c r="L94" s="69">
        <f t="shared" si="34"/>
        <v>5</v>
      </c>
      <c r="M94" s="69">
        <f t="shared" si="35"/>
        <v>5</v>
      </c>
      <c r="N94" s="69">
        <f t="shared" si="36"/>
        <v>3</v>
      </c>
      <c r="O94" s="69">
        <f t="shared" si="37"/>
        <v>3</v>
      </c>
      <c r="P94" s="69">
        <f t="shared" si="38"/>
        <v>3</v>
      </c>
      <c r="Q94" s="69">
        <f t="shared" si="39"/>
        <v>3</v>
      </c>
      <c r="R94" s="70">
        <f t="shared" si="40"/>
        <v>-0.40546510810816444</v>
      </c>
      <c r="S94" s="70">
        <f t="shared" si="41"/>
        <v>-0.40546510810816444</v>
      </c>
      <c r="T94" s="70">
        <f t="shared" si="42"/>
        <v>-0.29626054958652714</v>
      </c>
      <c r="U94" s="70">
        <f t="shared" si="43"/>
        <v>-0.29626054958652714</v>
      </c>
      <c r="V94" s="70">
        <f t="shared" si="44"/>
        <v>0.91287092917527679</v>
      </c>
      <c r="W94" s="70">
        <f t="shared" si="45"/>
        <v>0.91287092917527679</v>
      </c>
      <c r="X94" s="70">
        <f t="shared" si="46"/>
        <v>0</v>
      </c>
      <c r="Y94" s="70">
        <f t="shared" si="47"/>
        <v>1.2909944487358056</v>
      </c>
      <c r="Z94" s="70">
        <f t="shared" si="48"/>
        <v>0</v>
      </c>
      <c r="AA94" s="69" t="str">
        <f t="shared" si="49"/>
        <v>Negligible</v>
      </c>
      <c r="AB94" s="69" t="str">
        <f t="shared" si="50"/>
        <v>Tidak Ada Indikasi Bias</v>
      </c>
    </row>
    <row r="95" spans="1:28" ht="25" x14ac:dyDescent="0.35">
      <c r="A95" s="71" t="str">
        <f>ToT!A89</f>
        <v>85. Mengapa penting untuk menganalisis hasil penilaian CPMK dan CPL</v>
      </c>
      <c r="B95" s="69">
        <f>ToT!B89</f>
        <v>1</v>
      </c>
      <c r="C95" s="69">
        <f>ToT!C89</f>
        <v>1</v>
      </c>
      <c r="D95" s="69">
        <f>ToT!D89</f>
        <v>1</v>
      </c>
      <c r="E95" s="69">
        <f>ToT!E89</f>
        <v>1</v>
      </c>
      <c r="F95" s="69">
        <f>ToT!F89</f>
        <v>0</v>
      </c>
      <c r="G95" s="69">
        <f>ToT!G89</f>
        <v>0</v>
      </c>
      <c r="H95" s="69">
        <f>ToT!H89</f>
        <v>0</v>
      </c>
      <c r="I95" s="69">
        <f>ToT!I89</f>
        <v>0</v>
      </c>
      <c r="J95" s="69">
        <f>ToT!J89</f>
        <v>0</v>
      </c>
      <c r="K95" s="69">
        <f>ToT!K89</f>
        <v>0</v>
      </c>
      <c r="L95" s="69">
        <f t="shared" si="34"/>
        <v>5</v>
      </c>
      <c r="M95" s="69">
        <f t="shared" si="35"/>
        <v>5</v>
      </c>
      <c r="N95" s="69">
        <f t="shared" si="36"/>
        <v>2</v>
      </c>
      <c r="O95" s="69">
        <f t="shared" si="37"/>
        <v>2</v>
      </c>
      <c r="P95" s="69">
        <f t="shared" si="38"/>
        <v>2</v>
      </c>
      <c r="Q95" s="69">
        <f t="shared" si="39"/>
        <v>2</v>
      </c>
      <c r="R95" s="70">
        <f t="shared" si="40"/>
        <v>0.40546510810816438</v>
      </c>
      <c r="S95" s="70">
        <f t="shared" si="41"/>
        <v>0.40546510810816438</v>
      </c>
      <c r="T95" s="70">
        <f t="shared" si="42"/>
        <v>0.51466966662980163</v>
      </c>
      <c r="U95" s="70">
        <f t="shared" si="43"/>
        <v>0.51466966662980163</v>
      </c>
      <c r="V95" s="70">
        <f t="shared" si="44"/>
        <v>0.91287092917527679</v>
      </c>
      <c r="W95" s="70">
        <f t="shared" si="45"/>
        <v>0.91287092917527679</v>
      </c>
      <c r="X95" s="70">
        <f t="shared" si="46"/>
        <v>0</v>
      </c>
      <c r="Y95" s="70">
        <f t="shared" si="47"/>
        <v>1.2909944487358056</v>
      </c>
      <c r="Z95" s="70">
        <f t="shared" si="48"/>
        <v>0</v>
      </c>
      <c r="AA95" s="69" t="str">
        <f t="shared" si="49"/>
        <v>Negligible</v>
      </c>
      <c r="AB95" s="69" t="str">
        <f t="shared" si="50"/>
        <v>Tidak Ada Indikasi Bias</v>
      </c>
    </row>
    <row r="96" spans="1:28" ht="37.5" x14ac:dyDescent="0.35">
      <c r="A96" s="71" t="str">
        <f>ToT!A90</f>
        <v>86. Bagaimana cara merencanakan perbaikan proses pembelajaran berdasarkan hasil penilaian CPMK dan CPL</v>
      </c>
      <c r="B96" s="69">
        <f>ToT!B90</f>
        <v>0</v>
      </c>
      <c r="C96" s="69">
        <f>ToT!C90</f>
        <v>0</v>
      </c>
      <c r="D96" s="69">
        <f>ToT!D90</f>
        <v>0</v>
      </c>
      <c r="E96" s="69">
        <f>ToT!E90</f>
        <v>0</v>
      </c>
      <c r="F96" s="69">
        <f>ToT!F90</f>
        <v>0</v>
      </c>
      <c r="G96" s="69">
        <f>ToT!G90</f>
        <v>0</v>
      </c>
      <c r="H96" s="69">
        <f>ToT!H90</f>
        <v>1</v>
      </c>
      <c r="I96" s="69">
        <f>ToT!I90</f>
        <v>0</v>
      </c>
      <c r="J96" s="69">
        <f>ToT!J90</f>
        <v>1</v>
      </c>
      <c r="K96" s="69">
        <f>ToT!K90</f>
        <v>0</v>
      </c>
      <c r="L96" s="69">
        <f t="shared" si="34"/>
        <v>5</v>
      </c>
      <c r="M96" s="69">
        <f t="shared" si="35"/>
        <v>5</v>
      </c>
      <c r="N96" s="69">
        <f t="shared" si="36"/>
        <v>1</v>
      </c>
      <c r="O96" s="69">
        <f t="shared" si="37"/>
        <v>1</v>
      </c>
      <c r="P96" s="69">
        <f t="shared" si="38"/>
        <v>1</v>
      </c>
      <c r="Q96" s="69">
        <f t="shared" si="39"/>
        <v>1</v>
      </c>
      <c r="R96" s="70">
        <f t="shared" si="40"/>
        <v>1.3862943611198906</v>
      </c>
      <c r="S96" s="70">
        <f t="shared" si="41"/>
        <v>1.3862943611198906</v>
      </c>
      <c r="T96" s="70">
        <f t="shared" si="42"/>
        <v>1.4954989196415278</v>
      </c>
      <c r="U96" s="70">
        <f t="shared" si="43"/>
        <v>1.4954989196415278</v>
      </c>
      <c r="V96" s="70">
        <f t="shared" si="44"/>
        <v>1.1180339887498949</v>
      </c>
      <c r="W96" s="70">
        <f t="shared" si="45"/>
        <v>1.1180339887498949</v>
      </c>
      <c r="X96" s="70">
        <f t="shared" si="46"/>
        <v>0</v>
      </c>
      <c r="Y96" s="70">
        <f t="shared" si="47"/>
        <v>1.5811388300841898</v>
      </c>
      <c r="Z96" s="70">
        <f t="shared" si="48"/>
        <v>0</v>
      </c>
      <c r="AA96" s="69" t="str">
        <f t="shared" si="49"/>
        <v>Negligible</v>
      </c>
      <c r="AB96" s="69" t="str">
        <f t="shared" si="50"/>
        <v>Tidak Ada Indikasi Bias</v>
      </c>
    </row>
    <row r="97" spans="1:28" ht="37.5" customHeight="1" x14ac:dyDescent="0.35">
      <c r="A97" s="71" t="str">
        <f>ToT!A91</f>
        <v>87. Apa yang dimaksud dengan validasi dalam konteks penyusunan laporan penilaian pembelajaran</v>
      </c>
      <c r="B97" s="69">
        <f>ToT!B91</f>
        <v>0</v>
      </c>
      <c r="C97" s="69">
        <f>ToT!C91</f>
        <v>0</v>
      </c>
      <c r="D97" s="69">
        <f>ToT!D91</f>
        <v>0</v>
      </c>
      <c r="E97" s="69">
        <f>ToT!E91</f>
        <v>1</v>
      </c>
      <c r="F97" s="69">
        <f>ToT!F91</f>
        <v>0</v>
      </c>
      <c r="G97" s="69">
        <f>ToT!G91</f>
        <v>1</v>
      </c>
      <c r="H97" s="69">
        <f>ToT!H91</f>
        <v>0</v>
      </c>
      <c r="I97" s="69">
        <f>ToT!I91</f>
        <v>1</v>
      </c>
      <c r="J97" s="69">
        <f>ToT!J91</f>
        <v>0</v>
      </c>
      <c r="K97" s="69">
        <f>ToT!K91</f>
        <v>1</v>
      </c>
      <c r="L97" s="69">
        <f t="shared" si="34"/>
        <v>5</v>
      </c>
      <c r="M97" s="69">
        <f t="shared" si="35"/>
        <v>5</v>
      </c>
      <c r="N97" s="69">
        <f t="shared" si="36"/>
        <v>2</v>
      </c>
      <c r="O97" s="69">
        <f t="shared" si="37"/>
        <v>2</v>
      </c>
      <c r="P97" s="69">
        <f t="shared" si="38"/>
        <v>2</v>
      </c>
      <c r="Q97" s="69">
        <f t="shared" si="39"/>
        <v>2</v>
      </c>
      <c r="R97" s="70">
        <f t="shared" si="40"/>
        <v>0.40546510810816438</v>
      </c>
      <c r="S97" s="70">
        <f t="shared" si="41"/>
        <v>0.40546510810816438</v>
      </c>
      <c r="T97" s="70">
        <f t="shared" si="42"/>
        <v>0.51466966662980163</v>
      </c>
      <c r="U97" s="70">
        <f t="shared" si="43"/>
        <v>0.51466966662980163</v>
      </c>
      <c r="V97" s="70">
        <f t="shared" si="44"/>
        <v>0.91287092917527679</v>
      </c>
      <c r="W97" s="70">
        <f t="shared" si="45"/>
        <v>0.91287092917527679</v>
      </c>
      <c r="X97" s="70">
        <f t="shared" si="46"/>
        <v>0</v>
      </c>
      <c r="Y97" s="70">
        <f t="shared" si="47"/>
        <v>1.2909944487358056</v>
      </c>
      <c r="Z97" s="70">
        <f t="shared" si="48"/>
        <v>0</v>
      </c>
      <c r="AA97" s="69" t="str">
        <f t="shared" si="49"/>
        <v>Negligible</v>
      </c>
      <c r="AB97" s="69" t="str">
        <f t="shared" si="50"/>
        <v>Tidak Ada Indikasi Bias</v>
      </c>
    </row>
    <row r="98" spans="1:28" ht="37.5" x14ac:dyDescent="0.35">
      <c r="A98" s="71" t="str">
        <f>ToT!A92</f>
        <v>88. Tujuan utama dari penyusunan dan validasi laporan penilaian pembelajaran adalah</v>
      </c>
      <c r="B98" s="69">
        <f>ToT!B92</f>
        <v>1</v>
      </c>
      <c r="C98" s="69">
        <f>ToT!C92</f>
        <v>0</v>
      </c>
      <c r="D98" s="69">
        <f>ToT!D92</f>
        <v>0</v>
      </c>
      <c r="E98" s="69">
        <f>ToT!E92</f>
        <v>0</v>
      </c>
      <c r="F98" s="69">
        <f>ToT!F92</f>
        <v>1</v>
      </c>
      <c r="G98" s="69">
        <f>ToT!G92</f>
        <v>1</v>
      </c>
      <c r="H98" s="69">
        <f>ToT!H92</f>
        <v>1</v>
      </c>
      <c r="I98" s="69">
        <f>ToT!I92</f>
        <v>0</v>
      </c>
      <c r="J98" s="69">
        <f>ToT!J92</f>
        <v>1</v>
      </c>
      <c r="K98" s="69">
        <f>ToT!K92</f>
        <v>1</v>
      </c>
      <c r="L98" s="69">
        <f t="shared" si="34"/>
        <v>5</v>
      </c>
      <c r="M98" s="69">
        <f t="shared" si="35"/>
        <v>5</v>
      </c>
      <c r="N98" s="69">
        <f t="shared" si="36"/>
        <v>3</v>
      </c>
      <c r="O98" s="69">
        <f t="shared" si="37"/>
        <v>3</v>
      </c>
      <c r="P98" s="69">
        <f t="shared" si="38"/>
        <v>3</v>
      </c>
      <c r="Q98" s="69">
        <f t="shared" si="39"/>
        <v>3</v>
      </c>
      <c r="R98" s="70">
        <f t="shared" si="40"/>
        <v>-0.40546510810816444</v>
      </c>
      <c r="S98" s="70">
        <f t="shared" si="41"/>
        <v>-0.40546510810816444</v>
      </c>
      <c r="T98" s="70">
        <f t="shared" si="42"/>
        <v>-0.29626054958652714</v>
      </c>
      <c r="U98" s="70">
        <f t="shared" si="43"/>
        <v>-0.29626054958652714</v>
      </c>
      <c r="V98" s="70">
        <f t="shared" si="44"/>
        <v>0.91287092917527679</v>
      </c>
      <c r="W98" s="70">
        <f t="shared" si="45"/>
        <v>0.91287092917527679</v>
      </c>
      <c r="X98" s="70">
        <f t="shared" si="46"/>
        <v>0</v>
      </c>
      <c r="Y98" s="70">
        <f t="shared" si="47"/>
        <v>1.2909944487358056</v>
      </c>
      <c r="Z98" s="70">
        <f t="shared" si="48"/>
        <v>0</v>
      </c>
      <c r="AA98" s="69" t="str">
        <f t="shared" si="49"/>
        <v>Negligible</v>
      </c>
      <c r="AB98" s="69" t="str">
        <f t="shared" si="50"/>
        <v>Tidak Ada Indikasi Bias</v>
      </c>
    </row>
    <row r="99" spans="1:28" ht="37.5" x14ac:dyDescent="0.35">
      <c r="A99" s="71" t="str">
        <f>ToT!A93</f>
        <v>89. Langkah apa yang perlu dilakukan dalam merancang program pembelajaran OBE</v>
      </c>
      <c r="B99" s="69">
        <f>ToT!B93</f>
        <v>0</v>
      </c>
      <c r="C99" s="69">
        <f>ToT!C93</f>
        <v>0</v>
      </c>
      <c r="D99" s="69">
        <f>ToT!D93</f>
        <v>0</v>
      </c>
      <c r="E99" s="69">
        <f>ToT!E93</f>
        <v>0</v>
      </c>
      <c r="F99" s="69">
        <f>ToT!F93</f>
        <v>1</v>
      </c>
      <c r="G99" s="69">
        <f>ToT!G93</f>
        <v>1</v>
      </c>
      <c r="H99" s="69">
        <f>ToT!H93</f>
        <v>1</v>
      </c>
      <c r="I99" s="69">
        <f>ToT!I93</f>
        <v>1</v>
      </c>
      <c r="J99" s="69">
        <f>ToT!J93</f>
        <v>1</v>
      </c>
      <c r="K99" s="69">
        <f>ToT!K93</f>
        <v>1</v>
      </c>
      <c r="L99" s="69">
        <f t="shared" si="34"/>
        <v>5</v>
      </c>
      <c r="M99" s="69">
        <f t="shared" si="35"/>
        <v>5</v>
      </c>
      <c r="N99" s="69">
        <f t="shared" si="36"/>
        <v>3</v>
      </c>
      <c r="O99" s="69">
        <f t="shared" si="37"/>
        <v>3</v>
      </c>
      <c r="P99" s="69">
        <f t="shared" si="38"/>
        <v>3</v>
      </c>
      <c r="Q99" s="69">
        <f t="shared" si="39"/>
        <v>3</v>
      </c>
      <c r="R99" s="70">
        <f t="shared" si="40"/>
        <v>-0.40546510810816444</v>
      </c>
      <c r="S99" s="70">
        <f t="shared" si="41"/>
        <v>-0.40546510810816444</v>
      </c>
      <c r="T99" s="70">
        <f t="shared" si="42"/>
        <v>-0.29626054958652714</v>
      </c>
      <c r="U99" s="70">
        <f t="shared" si="43"/>
        <v>-0.29626054958652714</v>
      </c>
      <c r="V99" s="70">
        <f t="shared" si="44"/>
        <v>0.91287092917527679</v>
      </c>
      <c r="W99" s="70">
        <f t="shared" si="45"/>
        <v>0.91287092917527679</v>
      </c>
      <c r="X99" s="70">
        <f t="shared" si="46"/>
        <v>0</v>
      </c>
      <c r="Y99" s="70">
        <f t="shared" si="47"/>
        <v>1.2909944487358056</v>
      </c>
      <c r="Z99" s="70">
        <f t="shared" si="48"/>
        <v>0</v>
      </c>
      <c r="AA99" s="69" t="str">
        <f t="shared" si="49"/>
        <v>Negligible</v>
      </c>
      <c r="AB99" s="69" t="str">
        <f t="shared" si="50"/>
        <v>Tidak Ada Indikasi Bias</v>
      </c>
    </row>
    <row r="100" spans="1:28" ht="37.5" customHeight="1" x14ac:dyDescent="0.35">
      <c r="A100" s="71" t="str">
        <f>ToT!A94</f>
        <v>90. Mengapa penting untuk menyusun rencana tindak lanjut berdasarkan hasil penilaian pembelajaran OBE</v>
      </c>
      <c r="B100" s="69">
        <f>ToT!B94</f>
        <v>1</v>
      </c>
      <c r="C100" s="69">
        <f>ToT!C94</f>
        <v>0</v>
      </c>
      <c r="D100" s="69">
        <f>ToT!D94</f>
        <v>0</v>
      </c>
      <c r="E100" s="69">
        <f>ToT!E94</f>
        <v>1</v>
      </c>
      <c r="F100" s="69">
        <f>ToT!F94</f>
        <v>1</v>
      </c>
      <c r="G100" s="69">
        <f>ToT!G94</f>
        <v>0</v>
      </c>
      <c r="H100" s="69">
        <f>ToT!H94</f>
        <v>1</v>
      </c>
      <c r="I100" s="69">
        <f>ToT!I94</f>
        <v>0</v>
      </c>
      <c r="J100" s="69">
        <f>ToT!J94</f>
        <v>0</v>
      </c>
      <c r="K100" s="69">
        <f>ToT!K94</f>
        <v>0</v>
      </c>
      <c r="L100" s="69">
        <f t="shared" si="34"/>
        <v>5</v>
      </c>
      <c r="M100" s="69">
        <f t="shared" si="35"/>
        <v>5</v>
      </c>
      <c r="N100" s="69">
        <f t="shared" si="36"/>
        <v>2</v>
      </c>
      <c r="O100" s="69">
        <f t="shared" si="37"/>
        <v>2</v>
      </c>
      <c r="P100" s="69">
        <f t="shared" si="38"/>
        <v>2</v>
      </c>
      <c r="Q100" s="69">
        <f t="shared" si="39"/>
        <v>2</v>
      </c>
      <c r="R100" s="70">
        <f t="shared" si="40"/>
        <v>0.40546510810816438</v>
      </c>
      <c r="S100" s="70">
        <f t="shared" si="41"/>
        <v>0.40546510810816438</v>
      </c>
      <c r="T100" s="70">
        <f t="shared" si="42"/>
        <v>0.51466966662980163</v>
      </c>
      <c r="U100" s="70">
        <f t="shared" si="43"/>
        <v>0.51466966662980163</v>
      </c>
      <c r="V100" s="70">
        <f t="shared" si="44"/>
        <v>0.91287092917527679</v>
      </c>
      <c r="W100" s="70">
        <f t="shared" si="45"/>
        <v>0.91287092917527679</v>
      </c>
      <c r="X100" s="70">
        <f t="shared" si="46"/>
        <v>0</v>
      </c>
      <c r="Y100" s="70">
        <f t="shared" si="47"/>
        <v>1.2909944487358056</v>
      </c>
      <c r="Z100" s="70">
        <f t="shared" si="48"/>
        <v>0</v>
      </c>
      <c r="AA100" s="69" t="str">
        <f t="shared" si="49"/>
        <v>Negligible</v>
      </c>
      <c r="AB100" s="69" t="str">
        <f t="shared" si="50"/>
        <v>Tidak Ada Indikasi Bias</v>
      </c>
    </row>
    <row r="101" spans="1:28" ht="37.5" x14ac:dyDescent="0.35">
      <c r="A101" s="71" t="str">
        <f>ToT!A95</f>
        <v>91. Apa yang menjadi tujuan utama dari pengembangan program pembelajaran Outcome Based Education (OBE)</v>
      </c>
      <c r="B101" s="69">
        <f>ToT!B95</f>
        <v>1</v>
      </c>
      <c r="C101" s="69">
        <f>ToT!C95</f>
        <v>0</v>
      </c>
      <c r="D101" s="69">
        <f>ToT!D95</f>
        <v>1</v>
      </c>
      <c r="E101" s="69">
        <f>ToT!E95</f>
        <v>0</v>
      </c>
      <c r="F101" s="69">
        <f>ToT!F95</f>
        <v>1</v>
      </c>
      <c r="G101" s="69">
        <f>ToT!G95</f>
        <v>1</v>
      </c>
      <c r="H101" s="69">
        <f>ToT!H95</f>
        <v>1</v>
      </c>
      <c r="I101" s="69">
        <f>ToT!I95</f>
        <v>1</v>
      </c>
      <c r="J101" s="69">
        <f>ToT!J95</f>
        <v>1</v>
      </c>
      <c r="K101" s="69">
        <f>ToT!K95</f>
        <v>1</v>
      </c>
      <c r="L101" s="69">
        <f t="shared" si="34"/>
        <v>5</v>
      </c>
      <c r="M101" s="69">
        <f t="shared" si="35"/>
        <v>5</v>
      </c>
      <c r="N101" s="69">
        <f t="shared" si="36"/>
        <v>4</v>
      </c>
      <c r="O101" s="69">
        <f t="shared" si="37"/>
        <v>4</v>
      </c>
      <c r="P101" s="69">
        <f t="shared" si="38"/>
        <v>4</v>
      </c>
      <c r="Q101" s="69">
        <f t="shared" si="39"/>
        <v>4</v>
      </c>
      <c r="R101" s="70">
        <f t="shared" si="40"/>
        <v>-1.3862943611198906</v>
      </c>
      <c r="S101" s="70">
        <f t="shared" si="41"/>
        <v>-1.3862943611198906</v>
      </c>
      <c r="T101" s="70">
        <f t="shared" si="42"/>
        <v>-1.2770898025982533</v>
      </c>
      <c r="U101" s="70">
        <f t="shared" si="43"/>
        <v>-1.2770898025982533</v>
      </c>
      <c r="V101" s="70">
        <f t="shared" si="44"/>
        <v>1.1180339887498949</v>
      </c>
      <c r="W101" s="70">
        <f t="shared" si="45"/>
        <v>1.1180339887498949</v>
      </c>
      <c r="X101" s="70">
        <f t="shared" si="46"/>
        <v>0</v>
      </c>
      <c r="Y101" s="70">
        <f t="shared" si="47"/>
        <v>1.5811388300841898</v>
      </c>
      <c r="Z101" s="70">
        <f t="shared" si="48"/>
        <v>0</v>
      </c>
      <c r="AA101" s="69" t="str">
        <f t="shared" si="49"/>
        <v>Negligible</v>
      </c>
      <c r="AB101" s="69" t="str">
        <f t="shared" si="50"/>
        <v>Tidak Ada Indikasi Bias</v>
      </c>
    </row>
    <row r="102" spans="1:28" ht="37.5" x14ac:dyDescent="0.35">
      <c r="A102" s="71" t="str">
        <f>ToT!A96</f>
        <v>92. Langkah apa yang perlu diambil untuk mengidentifikasi pengembangan program pembelajaran OBE</v>
      </c>
      <c r="B102" s="69">
        <f>ToT!B96</f>
        <v>1</v>
      </c>
      <c r="C102" s="69">
        <f>ToT!C96</f>
        <v>1</v>
      </c>
      <c r="D102" s="69">
        <f>ToT!D96</f>
        <v>1</v>
      </c>
      <c r="E102" s="69">
        <f>ToT!E96</f>
        <v>1</v>
      </c>
      <c r="F102" s="69">
        <f>ToT!F96</f>
        <v>1</v>
      </c>
      <c r="G102" s="69">
        <f>ToT!G96</f>
        <v>0</v>
      </c>
      <c r="H102" s="69">
        <f>ToT!H96</f>
        <v>0</v>
      </c>
      <c r="I102" s="69">
        <f>ToT!I96</f>
        <v>1</v>
      </c>
      <c r="J102" s="69">
        <f>ToT!J96</f>
        <v>0</v>
      </c>
      <c r="K102" s="69">
        <f>ToT!K96</f>
        <v>0</v>
      </c>
      <c r="L102" s="69">
        <f t="shared" si="34"/>
        <v>5</v>
      </c>
      <c r="M102" s="69">
        <f t="shared" si="35"/>
        <v>5</v>
      </c>
      <c r="N102" s="69">
        <f t="shared" si="36"/>
        <v>3</v>
      </c>
      <c r="O102" s="69">
        <f t="shared" si="37"/>
        <v>3</v>
      </c>
      <c r="P102" s="69">
        <f t="shared" si="38"/>
        <v>3</v>
      </c>
      <c r="Q102" s="69">
        <f t="shared" si="39"/>
        <v>3</v>
      </c>
      <c r="R102" s="70">
        <f t="shared" si="40"/>
        <v>-0.40546510810816444</v>
      </c>
      <c r="S102" s="70">
        <f t="shared" si="41"/>
        <v>-0.40546510810816444</v>
      </c>
      <c r="T102" s="70">
        <f t="shared" si="42"/>
        <v>-0.29626054958652714</v>
      </c>
      <c r="U102" s="70">
        <f t="shared" si="43"/>
        <v>-0.29626054958652714</v>
      </c>
      <c r="V102" s="70">
        <f t="shared" si="44"/>
        <v>0.91287092917527679</v>
      </c>
      <c r="W102" s="70">
        <f t="shared" si="45"/>
        <v>0.91287092917527679</v>
      </c>
      <c r="X102" s="70">
        <f t="shared" si="46"/>
        <v>0</v>
      </c>
      <c r="Y102" s="70">
        <f t="shared" si="47"/>
        <v>1.2909944487358056</v>
      </c>
      <c r="Z102" s="70">
        <f t="shared" si="48"/>
        <v>0</v>
      </c>
      <c r="AA102" s="69" t="str">
        <f t="shared" si="49"/>
        <v>Negligible</v>
      </c>
      <c r="AB102" s="69" t="str">
        <f t="shared" si="50"/>
        <v>Tidak Ada Indikasi Bias</v>
      </c>
    </row>
    <row r="103" spans="1:28" ht="37.5" customHeight="1" x14ac:dyDescent="0.35">
      <c r="A103" s="71" t="str">
        <f>ToT!A97</f>
        <v>93. Apa manfaat dari validasi rencana tindak lanjut oleh pihak yang berwenang</v>
      </c>
      <c r="B103" s="69">
        <f>ToT!B97</f>
        <v>1</v>
      </c>
      <c r="C103" s="69">
        <f>ToT!C97</f>
        <v>0</v>
      </c>
      <c r="D103" s="69">
        <f>ToT!D97</f>
        <v>1</v>
      </c>
      <c r="E103" s="69">
        <f>ToT!E97</f>
        <v>1</v>
      </c>
      <c r="F103" s="69">
        <f>ToT!F97</f>
        <v>0</v>
      </c>
      <c r="G103" s="69">
        <f>ToT!G97</f>
        <v>1</v>
      </c>
      <c r="H103" s="69">
        <f>ToT!H97</f>
        <v>0</v>
      </c>
      <c r="I103" s="69">
        <f>ToT!I97</f>
        <v>0</v>
      </c>
      <c r="J103" s="69">
        <f>ToT!J97</f>
        <v>0</v>
      </c>
      <c r="K103" s="69">
        <f>ToT!K97</f>
        <v>0</v>
      </c>
      <c r="L103" s="69">
        <f t="shared" si="34"/>
        <v>5</v>
      </c>
      <c r="M103" s="69">
        <f t="shared" si="35"/>
        <v>5</v>
      </c>
      <c r="N103" s="69">
        <f t="shared" si="36"/>
        <v>2</v>
      </c>
      <c r="O103" s="69">
        <f t="shared" si="37"/>
        <v>2</v>
      </c>
      <c r="P103" s="69">
        <f t="shared" si="38"/>
        <v>2</v>
      </c>
      <c r="Q103" s="69">
        <f t="shared" si="39"/>
        <v>2</v>
      </c>
      <c r="R103" s="70">
        <f t="shared" si="40"/>
        <v>0.40546510810816438</v>
      </c>
      <c r="S103" s="70">
        <f t="shared" si="41"/>
        <v>0.40546510810816438</v>
      </c>
      <c r="T103" s="70">
        <f t="shared" si="42"/>
        <v>0.51466966662980163</v>
      </c>
      <c r="U103" s="70">
        <f t="shared" si="43"/>
        <v>0.51466966662980163</v>
      </c>
      <c r="V103" s="70">
        <f t="shared" si="44"/>
        <v>0.91287092917527679</v>
      </c>
      <c r="W103" s="70">
        <f t="shared" si="45"/>
        <v>0.91287092917527679</v>
      </c>
      <c r="X103" s="70">
        <f t="shared" si="46"/>
        <v>0</v>
      </c>
      <c r="Y103" s="70">
        <f t="shared" si="47"/>
        <v>1.2909944487358056</v>
      </c>
      <c r="Z103" s="70">
        <f t="shared" si="48"/>
        <v>0</v>
      </c>
      <c r="AA103" s="69" t="str">
        <f t="shared" si="49"/>
        <v>Negligible</v>
      </c>
      <c r="AB103" s="69" t="str">
        <f t="shared" si="50"/>
        <v>Tidak Ada Indikasi Bias</v>
      </c>
    </row>
    <row r="104" spans="1:28" ht="50" customHeight="1" x14ac:dyDescent="0.35">
      <c r="A104" s="71" t="str">
        <f>ToT!A98</f>
        <v>94. Apa yang menjadi tujuan utama dari proses verifikasi materi pengembangan program pembelajaran</v>
      </c>
      <c r="B104" s="69">
        <f>ToT!B98</f>
        <v>0</v>
      </c>
      <c r="C104" s="69">
        <f>ToT!C98</f>
        <v>1</v>
      </c>
      <c r="D104" s="69">
        <f>ToT!D98</f>
        <v>0</v>
      </c>
      <c r="E104" s="69">
        <f>ToT!E98</f>
        <v>0</v>
      </c>
      <c r="F104" s="69">
        <f>ToT!F98</f>
        <v>0</v>
      </c>
      <c r="G104" s="69">
        <f>ToT!G98</f>
        <v>0</v>
      </c>
      <c r="H104" s="69">
        <f>ToT!H98</f>
        <v>1</v>
      </c>
      <c r="I104" s="69">
        <f>ToT!I98</f>
        <v>0</v>
      </c>
      <c r="J104" s="69">
        <f>ToT!J98</f>
        <v>1</v>
      </c>
      <c r="K104" s="69">
        <f>ToT!K98</f>
        <v>1</v>
      </c>
      <c r="L104" s="69">
        <f t="shared" si="34"/>
        <v>5</v>
      </c>
      <c r="M104" s="69">
        <f t="shared" si="35"/>
        <v>5</v>
      </c>
      <c r="N104" s="69">
        <f t="shared" si="36"/>
        <v>2</v>
      </c>
      <c r="O104" s="69">
        <f t="shared" si="37"/>
        <v>2</v>
      </c>
      <c r="P104" s="69">
        <f t="shared" si="38"/>
        <v>2</v>
      </c>
      <c r="Q104" s="69">
        <f t="shared" si="39"/>
        <v>2</v>
      </c>
      <c r="R104" s="70">
        <f t="shared" si="40"/>
        <v>0.40546510810816438</v>
      </c>
      <c r="S104" s="70">
        <f t="shared" si="41"/>
        <v>0.40546510810816438</v>
      </c>
      <c r="T104" s="70">
        <f t="shared" si="42"/>
        <v>0.51466966662980163</v>
      </c>
      <c r="U104" s="70">
        <f t="shared" si="43"/>
        <v>0.51466966662980163</v>
      </c>
      <c r="V104" s="70">
        <f t="shared" si="44"/>
        <v>0.91287092917527679</v>
      </c>
      <c r="W104" s="70">
        <f t="shared" si="45"/>
        <v>0.91287092917527679</v>
      </c>
      <c r="X104" s="70">
        <f t="shared" si="46"/>
        <v>0</v>
      </c>
      <c r="Y104" s="70">
        <f t="shared" si="47"/>
        <v>1.2909944487358056</v>
      </c>
      <c r="Z104" s="70">
        <f t="shared" si="48"/>
        <v>0</v>
      </c>
      <c r="AA104" s="69" t="str">
        <f t="shared" si="49"/>
        <v>Negligible</v>
      </c>
      <c r="AB104" s="69" t="str">
        <f t="shared" si="50"/>
        <v>Tidak Ada Indikasi Bias</v>
      </c>
    </row>
    <row r="105" spans="1:28" ht="37.5" x14ac:dyDescent="0.35">
      <c r="A105" s="71" t="str">
        <f>ToT!A99</f>
        <v>95. Apa peran pihak yang berwenang dalam proses validasi materi pembelajaran</v>
      </c>
      <c r="B105" s="69">
        <f>ToT!B99</f>
        <v>0</v>
      </c>
      <c r="C105" s="69">
        <f>ToT!C99</f>
        <v>1</v>
      </c>
      <c r="D105" s="69">
        <f>ToT!D99</f>
        <v>1</v>
      </c>
      <c r="E105" s="69">
        <f>ToT!E99</f>
        <v>0</v>
      </c>
      <c r="F105" s="69">
        <f>ToT!F99</f>
        <v>1</v>
      </c>
      <c r="G105" s="69">
        <f>ToT!G99</f>
        <v>1</v>
      </c>
      <c r="H105" s="69">
        <f>ToT!H99</f>
        <v>0</v>
      </c>
      <c r="I105" s="69">
        <f>ToT!I99</f>
        <v>0</v>
      </c>
      <c r="J105" s="69">
        <f>ToT!J99</f>
        <v>0</v>
      </c>
      <c r="K105" s="69">
        <f>ToT!K99</f>
        <v>0</v>
      </c>
      <c r="L105" s="69">
        <f t="shared" si="34"/>
        <v>5</v>
      </c>
      <c r="M105" s="69">
        <f t="shared" si="35"/>
        <v>5</v>
      </c>
      <c r="N105" s="69">
        <f t="shared" si="36"/>
        <v>2</v>
      </c>
      <c r="O105" s="69">
        <f t="shared" si="37"/>
        <v>2</v>
      </c>
      <c r="P105" s="69">
        <f t="shared" si="38"/>
        <v>2</v>
      </c>
      <c r="Q105" s="69">
        <f t="shared" si="39"/>
        <v>2</v>
      </c>
      <c r="R105" s="70">
        <f t="shared" si="40"/>
        <v>0.40546510810816438</v>
      </c>
      <c r="S105" s="70">
        <f t="shared" si="41"/>
        <v>0.40546510810816438</v>
      </c>
      <c r="T105" s="70">
        <f t="shared" si="42"/>
        <v>0.51466966662980163</v>
      </c>
      <c r="U105" s="70">
        <f t="shared" si="43"/>
        <v>0.51466966662980163</v>
      </c>
      <c r="V105" s="70">
        <f t="shared" si="44"/>
        <v>0.91287092917527679</v>
      </c>
      <c r="W105" s="70">
        <f t="shared" si="45"/>
        <v>0.91287092917527679</v>
      </c>
      <c r="X105" s="70">
        <f t="shared" si="46"/>
        <v>0</v>
      </c>
      <c r="Y105" s="70">
        <f t="shared" si="47"/>
        <v>1.2909944487358056</v>
      </c>
      <c r="Z105" s="70">
        <f t="shared" si="48"/>
        <v>0</v>
      </c>
      <c r="AA105" s="69" t="str">
        <f t="shared" si="49"/>
        <v>Negligible</v>
      </c>
      <c r="AB105" s="69" t="str">
        <f t="shared" si="50"/>
        <v>Tidak Ada Indikasi Bias</v>
      </c>
    </row>
    <row r="106" spans="1:28" ht="37.5" x14ac:dyDescent="0.35">
      <c r="A106" s="71" t="str">
        <f>ToT!A100</f>
        <v>96. Mengapa penting untuk mengidentifikasi kekuatan dan kelemahan program pembelajaran OBE</v>
      </c>
      <c r="B106" s="69">
        <f>ToT!B100</f>
        <v>0</v>
      </c>
      <c r="C106" s="69">
        <f>ToT!C100</f>
        <v>0</v>
      </c>
      <c r="D106" s="69">
        <f>ToT!D100</f>
        <v>1</v>
      </c>
      <c r="E106" s="69">
        <f>ToT!E100</f>
        <v>0</v>
      </c>
      <c r="F106" s="69">
        <f>ToT!F100</f>
        <v>0</v>
      </c>
      <c r="G106" s="69">
        <f>ToT!G100</f>
        <v>1</v>
      </c>
      <c r="H106" s="69">
        <f>ToT!H100</f>
        <v>1</v>
      </c>
      <c r="I106" s="69">
        <f>ToT!I100</f>
        <v>1</v>
      </c>
      <c r="J106" s="69">
        <f>ToT!J100</f>
        <v>1</v>
      </c>
      <c r="K106" s="69">
        <f>ToT!K100</f>
        <v>1</v>
      </c>
      <c r="L106" s="69">
        <f t="shared" si="34"/>
        <v>5</v>
      </c>
      <c r="M106" s="69">
        <f t="shared" si="35"/>
        <v>5</v>
      </c>
      <c r="N106" s="69">
        <f t="shared" si="36"/>
        <v>3</v>
      </c>
      <c r="O106" s="69">
        <f t="shared" si="37"/>
        <v>3</v>
      </c>
      <c r="P106" s="69">
        <f t="shared" si="38"/>
        <v>3</v>
      </c>
      <c r="Q106" s="69">
        <f t="shared" si="39"/>
        <v>3</v>
      </c>
      <c r="R106" s="70">
        <f t="shared" si="40"/>
        <v>-0.40546510810816444</v>
      </c>
      <c r="S106" s="70">
        <f t="shared" si="41"/>
        <v>-0.40546510810816444</v>
      </c>
      <c r="T106" s="70">
        <f t="shared" si="42"/>
        <v>-0.29626054958652714</v>
      </c>
      <c r="U106" s="70">
        <f t="shared" si="43"/>
        <v>-0.29626054958652714</v>
      </c>
      <c r="V106" s="70">
        <f t="shared" si="44"/>
        <v>0.91287092917527679</v>
      </c>
      <c r="W106" s="70">
        <f t="shared" si="45"/>
        <v>0.91287092917527679</v>
      </c>
      <c r="X106" s="70">
        <f t="shared" si="46"/>
        <v>0</v>
      </c>
      <c r="Y106" s="70">
        <f t="shared" si="47"/>
        <v>1.2909944487358056</v>
      </c>
      <c r="Z106" s="70">
        <f t="shared" si="48"/>
        <v>0</v>
      </c>
      <c r="AA106" s="69" t="str">
        <f t="shared" si="49"/>
        <v>Negligible</v>
      </c>
      <c r="AB106" s="69" t="str">
        <f t="shared" si="50"/>
        <v>Tidak Ada Indikasi Bias</v>
      </c>
    </row>
    <row r="107" spans="1:28" ht="37.5" x14ac:dyDescent="0.35">
      <c r="A107" s="71" t="str">
        <f>ToT!A101</f>
        <v>97. Apa yang dilakukan setelah kekuatan dan kelemahan program pembelajaran OBE diidentifikasi</v>
      </c>
      <c r="B107" s="69">
        <f>ToT!B101</f>
        <v>1</v>
      </c>
      <c r="C107" s="69">
        <f>ToT!C101</f>
        <v>0</v>
      </c>
      <c r="D107" s="69">
        <f>ToT!D101</f>
        <v>1</v>
      </c>
      <c r="E107" s="69">
        <f>ToT!E101</f>
        <v>1</v>
      </c>
      <c r="F107" s="69">
        <f>ToT!F101</f>
        <v>0</v>
      </c>
      <c r="G107" s="69">
        <f>ToT!G101</f>
        <v>1</v>
      </c>
      <c r="H107" s="69">
        <f>ToT!H101</f>
        <v>1</v>
      </c>
      <c r="I107" s="69">
        <f>ToT!I101</f>
        <v>1</v>
      </c>
      <c r="J107" s="69">
        <f>ToT!J101</f>
        <v>1</v>
      </c>
      <c r="K107" s="69">
        <f>ToT!K101</f>
        <v>1</v>
      </c>
      <c r="L107" s="69">
        <f t="shared" si="34"/>
        <v>5</v>
      </c>
      <c r="M107" s="69">
        <f t="shared" si="35"/>
        <v>5</v>
      </c>
      <c r="N107" s="69">
        <f t="shared" si="36"/>
        <v>4</v>
      </c>
      <c r="O107" s="69">
        <f t="shared" si="37"/>
        <v>4</v>
      </c>
      <c r="P107" s="69">
        <f t="shared" si="38"/>
        <v>4</v>
      </c>
      <c r="Q107" s="69">
        <f t="shared" si="39"/>
        <v>4</v>
      </c>
      <c r="R107" s="70">
        <f t="shared" si="40"/>
        <v>-1.3862943611198906</v>
      </c>
      <c r="S107" s="70">
        <f t="shared" si="41"/>
        <v>-1.3862943611198906</v>
      </c>
      <c r="T107" s="70">
        <f t="shared" si="42"/>
        <v>-1.2770898025982533</v>
      </c>
      <c r="U107" s="70">
        <f t="shared" si="43"/>
        <v>-1.2770898025982533</v>
      </c>
      <c r="V107" s="70">
        <f t="shared" si="44"/>
        <v>1.1180339887498949</v>
      </c>
      <c r="W107" s="70">
        <f t="shared" si="45"/>
        <v>1.1180339887498949</v>
      </c>
      <c r="X107" s="70">
        <f t="shared" si="46"/>
        <v>0</v>
      </c>
      <c r="Y107" s="70">
        <f t="shared" si="47"/>
        <v>1.5811388300841898</v>
      </c>
      <c r="Z107" s="70">
        <f t="shared" ref="Z107:Z110" si="51">X107/Y107</f>
        <v>0</v>
      </c>
      <c r="AA107" s="69" t="str">
        <f t="shared" ref="AA107:AA110" si="52">IF(AND(ABS(X107)&gt;=$B$4,ABS(Z107)&gt;=$B$5),"DIF Besar - review",IF(AND(ABS(X107)&gt;=$B$3,ABS(Z107)&gt;=$B$5),"DIF Moderat - cek","Negligible"))</f>
        <v>Negligible</v>
      </c>
      <c r="AB107" s="69" t="str">
        <f t="shared" si="50"/>
        <v>Tidak Ada Indikasi Bias</v>
      </c>
    </row>
    <row r="108" spans="1:28" ht="62.5" customHeight="1" x14ac:dyDescent="0.35">
      <c r="A108" s="71" t="str">
        <f>ToT!A102</f>
        <v>98. Apa yang menjadi fokus utama dalam pengembangan program pembelajaran Outcome Based Education (OBE) untuk peningkatan mutu dan luaran pembelajaran</v>
      </c>
      <c r="B108" s="69">
        <f>ToT!B102</f>
        <v>1</v>
      </c>
      <c r="C108" s="69">
        <f>ToT!C102</f>
        <v>0</v>
      </c>
      <c r="D108" s="69">
        <f>ToT!D102</f>
        <v>0</v>
      </c>
      <c r="E108" s="69">
        <f>ToT!E102</f>
        <v>1</v>
      </c>
      <c r="F108" s="69">
        <f>ToT!F102</f>
        <v>1</v>
      </c>
      <c r="G108" s="69">
        <f>ToT!G102</f>
        <v>1</v>
      </c>
      <c r="H108" s="69">
        <f>ToT!H102</f>
        <v>1</v>
      </c>
      <c r="I108" s="69">
        <f>ToT!I102</f>
        <v>1</v>
      </c>
      <c r="J108" s="69">
        <f>ToT!J102</f>
        <v>1</v>
      </c>
      <c r="K108" s="69">
        <f>ToT!K102</f>
        <v>1</v>
      </c>
      <c r="L108" s="69">
        <f t="shared" si="34"/>
        <v>5</v>
      </c>
      <c r="M108" s="69">
        <f t="shared" si="35"/>
        <v>5</v>
      </c>
      <c r="N108" s="69">
        <f t="shared" si="36"/>
        <v>4</v>
      </c>
      <c r="O108" s="69">
        <f t="shared" si="37"/>
        <v>4</v>
      </c>
      <c r="P108" s="69">
        <f t="shared" si="38"/>
        <v>4</v>
      </c>
      <c r="Q108" s="69">
        <f t="shared" si="39"/>
        <v>4</v>
      </c>
      <c r="R108" s="70">
        <f t="shared" si="40"/>
        <v>-1.3862943611198906</v>
      </c>
      <c r="S108" s="70">
        <f t="shared" si="41"/>
        <v>-1.3862943611198906</v>
      </c>
      <c r="T108" s="70">
        <f t="shared" si="42"/>
        <v>-1.2770898025982533</v>
      </c>
      <c r="U108" s="70">
        <f t="shared" si="43"/>
        <v>-1.2770898025982533</v>
      </c>
      <c r="V108" s="70">
        <f t="shared" si="44"/>
        <v>1.1180339887498949</v>
      </c>
      <c r="W108" s="70">
        <f t="shared" si="45"/>
        <v>1.1180339887498949</v>
      </c>
      <c r="X108" s="70">
        <f t="shared" si="46"/>
        <v>0</v>
      </c>
      <c r="Y108" s="70">
        <f t="shared" si="47"/>
        <v>1.5811388300841898</v>
      </c>
      <c r="Z108" s="70">
        <f t="shared" si="51"/>
        <v>0</v>
      </c>
      <c r="AA108" s="69" t="str">
        <f t="shared" si="52"/>
        <v>Negligible</v>
      </c>
      <c r="AB108" s="69" t="str">
        <f t="shared" si="50"/>
        <v>Tidak Ada Indikasi Bias</v>
      </c>
    </row>
    <row r="109" spans="1:28" ht="50" x14ac:dyDescent="0.35">
      <c r="A109" s="71" t="str">
        <f>ToT!A103</f>
        <v>99. Manakah dari berikut ini yang bukan merupakan langkah dalam pengembangan program pembelajaran untuk peningkatan mutu dan luaran pembelajaran</v>
      </c>
      <c r="B109" s="69">
        <f>ToT!B103</f>
        <v>1</v>
      </c>
      <c r="C109" s="69">
        <f>ToT!C103</f>
        <v>1</v>
      </c>
      <c r="D109" s="69">
        <f>ToT!D103</f>
        <v>1</v>
      </c>
      <c r="E109" s="69">
        <f>ToT!E103</f>
        <v>1</v>
      </c>
      <c r="F109" s="69">
        <f>ToT!F103</f>
        <v>1</v>
      </c>
      <c r="G109" s="69">
        <f>ToT!G103</f>
        <v>0</v>
      </c>
      <c r="H109" s="69">
        <f>ToT!H103</f>
        <v>1</v>
      </c>
      <c r="I109" s="69">
        <f>ToT!I103</f>
        <v>1</v>
      </c>
      <c r="J109" s="69">
        <f>ToT!J103</f>
        <v>1</v>
      </c>
      <c r="K109" s="69">
        <f>ToT!K103</f>
        <v>0</v>
      </c>
      <c r="L109" s="69">
        <f t="shared" si="34"/>
        <v>5</v>
      </c>
      <c r="M109" s="69">
        <f t="shared" si="35"/>
        <v>5</v>
      </c>
      <c r="N109" s="69">
        <f t="shared" si="36"/>
        <v>4</v>
      </c>
      <c r="O109" s="69">
        <f t="shared" si="37"/>
        <v>4</v>
      </c>
      <c r="P109" s="69">
        <f t="shared" si="38"/>
        <v>4</v>
      </c>
      <c r="Q109" s="69">
        <f t="shared" si="39"/>
        <v>4</v>
      </c>
      <c r="R109" s="70">
        <f t="shared" si="40"/>
        <v>-1.3862943611198906</v>
      </c>
      <c r="S109" s="70">
        <f t="shared" si="41"/>
        <v>-1.3862943611198906</v>
      </c>
      <c r="T109" s="70">
        <f t="shared" si="42"/>
        <v>-1.2770898025982533</v>
      </c>
      <c r="U109" s="70">
        <f t="shared" si="43"/>
        <v>-1.2770898025982533</v>
      </c>
      <c r="V109" s="70">
        <f t="shared" si="44"/>
        <v>1.1180339887498949</v>
      </c>
      <c r="W109" s="70">
        <f t="shared" si="45"/>
        <v>1.1180339887498949</v>
      </c>
      <c r="X109" s="70">
        <f t="shared" si="46"/>
        <v>0</v>
      </c>
      <c r="Y109" s="70">
        <f t="shared" si="47"/>
        <v>1.5811388300841898</v>
      </c>
      <c r="Z109" s="70">
        <f t="shared" si="51"/>
        <v>0</v>
      </c>
      <c r="AA109" s="69" t="str">
        <f t="shared" si="52"/>
        <v>Negligible</v>
      </c>
      <c r="AB109" s="69" t="str">
        <f t="shared" si="50"/>
        <v>Tidak Ada Indikasi Bias</v>
      </c>
    </row>
    <row r="110" spans="1:28" ht="62.5" customHeight="1" x14ac:dyDescent="0.35">
      <c r="A110" s="71" t="str">
        <f>ToT!A104</f>
        <v>100. Mengapa penting untuk melakukan verifikasi terhadap materi pengembangan program pembelajaran (RPS dan bahan/modul ajar)</v>
      </c>
      <c r="B110" s="69">
        <f>ToT!B104</f>
        <v>0</v>
      </c>
      <c r="C110" s="69">
        <f>ToT!C104</f>
        <v>1</v>
      </c>
      <c r="D110" s="69">
        <f>ToT!D104</f>
        <v>1</v>
      </c>
      <c r="E110" s="69">
        <f>ToT!E104</f>
        <v>1</v>
      </c>
      <c r="F110" s="69">
        <f>ToT!F104</f>
        <v>0</v>
      </c>
      <c r="G110" s="69">
        <f>ToT!G104</f>
        <v>0</v>
      </c>
      <c r="H110" s="69">
        <f>ToT!H104</f>
        <v>0</v>
      </c>
      <c r="I110" s="69">
        <f>ToT!I104</f>
        <v>1</v>
      </c>
      <c r="J110" s="69">
        <f>ToT!J104</f>
        <v>0</v>
      </c>
      <c r="K110" s="69">
        <f>ToT!K104</f>
        <v>0</v>
      </c>
      <c r="L110" s="69">
        <f t="shared" si="34"/>
        <v>5</v>
      </c>
      <c r="M110" s="69">
        <f t="shared" si="35"/>
        <v>5</v>
      </c>
      <c r="N110" s="69">
        <f t="shared" si="36"/>
        <v>2</v>
      </c>
      <c r="O110" s="69">
        <f t="shared" si="37"/>
        <v>2</v>
      </c>
      <c r="P110" s="69">
        <f t="shared" si="38"/>
        <v>2</v>
      </c>
      <c r="Q110" s="69">
        <f t="shared" si="39"/>
        <v>2</v>
      </c>
      <c r="R110" s="70">
        <f t="shared" si="40"/>
        <v>0.40546510810816438</v>
      </c>
      <c r="S110" s="70">
        <f t="shared" si="41"/>
        <v>0.40546510810816438</v>
      </c>
      <c r="T110" s="70">
        <f t="shared" si="42"/>
        <v>0.51466966662980163</v>
      </c>
      <c r="U110" s="70">
        <f t="shared" si="43"/>
        <v>0.51466966662980163</v>
      </c>
      <c r="V110" s="70">
        <f t="shared" si="44"/>
        <v>0.91287092917527679</v>
      </c>
      <c r="W110" s="70">
        <f t="shared" si="45"/>
        <v>0.91287092917527679</v>
      </c>
      <c r="X110" s="70">
        <f t="shared" si="46"/>
        <v>0</v>
      </c>
      <c r="Y110" s="70">
        <f t="shared" si="47"/>
        <v>1.2909944487358056</v>
      </c>
      <c r="Z110" s="70">
        <f t="shared" si="51"/>
        <v>0</v>
      </c>
      <c r="AA110" s="69" t="str">
        <f t="shared" si="52"/>
        <v>Negligible</v>
      </c>
      <c r="AB110" s="69" t="str">
        <f t="shared" si="50"/>
        <v>Tidak Ada Indikasi Bias</v>
      </c>
    </row>
    <row r="111" spans="1:28" x14ac:dyDescent="0.35">
      <c r="A111" s="67"/>
      <c r="B111" s="68">
        <f t="shared" ref="B111:K111" si="53">SUM(B11:B110)</f>
        <v>53</v>
      </c>
      <c r="C111" s="68">
        <f t="shared" si="53"/>
        <v>53</v>
      </c>
      <c r="D111" s="68">
        <f t="shared" si="53"/>
        <v>59</v>
      </c>
      <c r="E111" s="68">
        <f t="shared" si="53"/>
        <v>57</v>
      </c>
      <c r="F111" s="68">
        <f t="shared" si="53"/>
        <v>48</v>
      </c>
      <c r="G111" s="68">
        <f t="shared" si="53"/>
        <v>49</v>
      </c>
      <c r="H111" s="68">
        <f t="shared" si="53"/>
        <v>46</v>
      </c>
      <c r="I111" s="68">
        <f t="shared" si="53"/>
        <v>61</v>
      </c>
      <c r="J111" s="68">
        <f t="shared" si="53"/>
        <v>48</v>
      </c>
      <c r="K111" s="68">
        <f t="shared" si="53"/>
        <v>50</v>
      </c>
      <c r="L111" s="67"/>
      <c r="M111" s="67"/>
      <c r="N111" s="67"/>
      <c r="O111" s="67"/>
      <c r="P111" s="67"/>
      <c r="Q111" s="67"/>
      <c r="R111" s="67"/>
      <c r="S111" s="67"/>
      <c r="T111" s="67"/>
      <c r="U111" s="67"/>
      <c r="V111" s="67"/>
      <c r="W111" s="67"/>
      <c r="X111" s="67"/>
      <c r="Y111" s="67"/>
      <c r="Z111" s="67"/>
      <c r="AA111" s="67"/>
      <c r="AB111" s="67"/>
    </row>
    <row r="112" spans="1:28" x14ac:dyDescent="0.35">
      <c r="A112" s="1"/>
      <c r="L112"/>
    </row>
  </sheetData>
  <mergeCells count="28">
    <mergeCell ref="AB9:AB10"/>
    <mergeCell ref="R9:R10"/>
    <mergeCell ref="S9:S10"/>
    <mergeCell ref="T9:T10"/>
    <mergeCell ref="U9:U10"/>
    <mergeCell ref="V9:V10"/>
    <mergeCell ref="X9:X10"/>
    <mergeCell ref="Y9:Y10"/>
    <mergeCell ref="Z9:Z10"/>
    <mergeCell ref="AA9:AA10"/>
    <mergeCell ref="W9:W10"/>
    <mergeCell ref="A1:AC1"/>
    <mergeCell ref="P3:S3"/>
    <mergeCell ref="K4:M4"/>
    <mergeCell ref="P4:R4"/>
    <mergeCell ref="K5:M5"/>
    <mergeCell ref="P5:S5"/>
    <mergeCell ref="K6:M6"/>
    <mergeCell ref="P6:S6"/>
    <mergeCell ref="A9:A10"/>
    <mergeCell ref="B9:K9"/>
    <mergeCell ref="L9:L10"/>
    <mergeCell ref="M9:M10"/>
    <mergeCell ref="N9:N10"/>
    <mergeCell ref="O9:O10"/>
    <mergeCell ref="J7:AA7"/>
    <mergeCell ref="P9:P10"/>
    <mergeCell ref="Q9:Q10"/>
  </mergeCells>
  <pageMargins left="0.26" right="0.16" top="0.6" bottom="0.36" header="0.3" footer="0.3"/>
  <pageSetup scale="59"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E23DD-D6F9-42D3-B140-D7F1E374226C}">
  <dimension ref="A1:AE113"/>
  <sheetViews>
    <sheetView view="pageBreakPreview" zoomScale="48" zoomScaleNormal="70" zoomScaleSheetLayoutView="48" workbookViewId="0">
      <selection activeCell="L21" sqref="L21"/>
    </sheetView>
  </sheetViews>
  <sheetFormatPr defaultColWidth="9.08984375" defaultRowHeight="14" x14ac:dyDescent="0.3"/>
  <cols>
    <col min="1" max="1" width="40.08984375" style="6" customWidth="1"/>
    <col min="2" max="11" width="5.08984375" style="6" customWidth="1"/>
    <col min="12" max="12" width="12.36328125" style="6" customWidth="1"/>
    <col min="13" max="13" width="9.36328125" style="6" customWidth="1"/>
    <col min="14" max="14" width="10.36328125" style="6" customWidth="1"/>
    <col min="15" max="15" width="18.90625" style="6" customWidth="1"/>
    <col min="16" max="16" width="6.08984375" style="6" customWidth="1"/>
    <col min="17" max="17" width="13.453125" style="6" customWidth="1"/>
    <col min="18" max="27" width="8.453125" style="6" customWidth="1"/>
    <col min="28" max="28" width="8.54296875" style="6" customWidth="1"/>
    <col min="29" max="29" width="8.6328125" style="6" customWidth="1"/>
    <col min="30" max="16384" width="9.08984375" style="6"/>
  </cols>
  <sheetData>
    <row r="1" spans="1:31" ht="15" x14ac:dyDescent="0.3">
      <c r="A1" s="111" t="s">
        <v>801</v>
      </c>
      <c r="B1" s="112"/>
      <c r="C1" s="112"/>
      <c r="D1" s="112"/>
      <c r="E1" s="112"/>
      <c r="F1" s="112"/>
      <c r="G1" s="112"/>
      <c r="H1" s="112"/>
      <c r="I1" s="112"/>
      <c r="J1" s="112"/>
      <c r="K1" s="112"/>
      <c r="L1" s="112"/>
      <c r="M1" s="112"/>
      <c r="N1" s="112"/>
      <c r="O1" s="112"/>
      <c r="P1" s="33"/>
      <c r="Q1" s="33"/>
      <c r="R1" s="33"/>
      <c r="S1" s="33"/>
      <c r="T1" s="33"/>
      <c r="U1" s="33"/>
      <c r="V1" s="33"/>
      <c r="W1" s="33"/>
      <c r="X1" s="33"/>
      <c r="Y1" s="33"/>
      <c r="Z1" s="33"/>
      <c r="AA1" s="33"/>
      <c r="AB1" s="33"/>
      <c r="AC1" s="33"/>
      <c r="AD1" s="33"/>
      <c r="AE1" s="33"/>
    </row>
    <row r="2" spans="1:31" s="5" customFormat="1" ht="42" x14ac:dyDescent="0.3">
      <c r="A2" s="57" t="s">
        <v>756</v>
      </c>
      <c r="B2" s="102" t="s">
        <v>757</v>
      </c>
      <c r="C2" s="102" t="s">
        <v>757</v>
      </c>
      <c r="D2" s="102" t="s">
        <v>758</v>
      </c>
      <c r="E2" s="102" t="s">
        <v>758</v>
      </c>
      <c r="F2" s="102" t="s">
        <v>758</v>
      </c>
      <c r="G2" s="102" t="s">
        <v>757</v>
      </c>
      <c r="H2" s="102" t="s">
        <v>757</v>
      </c>
      <c r="I2" s="102" t="s">
        <v>757</v>
      </c>
      <c r="J2" s="102" t="s">
        <v>758</v>
      </c>
      <c r="K2" s="102" t="s">
        <v>758</v>
      </c>
      <c r="L2" s="37"/>
      <c r="M2" s="37"/>
      <c r="N2" s="37"/>
      <c r="O2" s="37"/>
      <c r="P2" s="37"/>
      <c r="Q2" s="37"/>
      <c r="R2" s="37"/>
      <c r="S2" s="37"/>
      <c r="T2" s="37"/>
      <c r="U2" s="37"/>
      <c r="V2" s="37"/>
      <c r="W2" s="37"/>
      <c r="X2" s="37"/>
      <c r="Y2" s="37"/>
      <c r="Z2" s="37"/>
      <c r="AA2" s="37"/>
      <c r="AB2" s="37"/>
      <c r="AC2" s="37"/>
      <c r="AD2" s="37"/>
      <c r="AE2" s="37"/>
    </row>
    <row r="3" spans="1:31" ht="15" customHeight="1" x14ac:dyDescent="0.3">
      <c r="A3" s="114" t="s">
        <v>0</v>
      </c>
      <c r="B3" s="114" t="s">
        <v>633</v>
      </c>
      <c r="C3" s="114"/>
      <c r="D3" s="114"/>
      <c r="E3" s="114"/>
      <c r="F3" s="114"/>
      <c r="G3" s="114"/>
      <c r="H3" s="114"/>
      <c r="I3" s="114"/>
      <c r="J3" s="114"/>
      <c r="K3" s="114"/>
      <c r="L3" s="114" t="s">
        <v>101</v>
      </c>
      <c r="M3" s="114" t="s">
        <v>102</v>
      </c>
      <c r="N3" s="114" t="s">
        <v>103</v>
      </c>
      <c r="O3" s="114" t="s">
        <v>102</v>
      </c>
      <c r="P3" s="33"/>
      <c r="Q3" s="49" t="s">
        <v>106</v>
      </c>
      <c r="R3" s="33"/>
      <c r="S3" s="33"/>
      <c r="T3" s="33"/>
      <c r="U3" s="33"/>
      <c r="V3" s="33"/>
      <c r="W3" s="33"/>
      <c r="X3" s="33"/>
      <c r="Y3" s="33"/>
      <c r="Z3" s="33"/>
      <c r="AA3" s="33"/>
      <c r="AB3" s="33"/>
      <c r="AC3" s="33"/>
      <c r="AD3" s="33"/>
      <c r="AE3" s="33"/>
    </row>
    <row r="4" spans="1:31" ht="15" customHeight="1" x14ac:dyDescent="0.3">
      <c r="A4" s="114"/>
      <c r="B4" s="23">
        <v>1</v>
      </c>
      <c r="C4" s="23">
        <v>2</v>
      </c>
      <c r="D4" s="23">
        <v>3</v>
      </c>
      <c r="E4" s="23">
        <v>4</v>
      </c>
      <c r="F4" s="23">
        <v>5</v>
      </c>
      <c r="G4" s="23">
        <v>6</v>
      </c>
      <c r="H4" s="23">
        <v>7</v>
      </c>
      <c r="I4" s="23">
        <v>8</v>
      </c>
      <c r="J4" s="23">
        <v>9</v>
      </c>
      <c r="K4" s="23">
        <v>10</v>
      </c>
      <c r="L4" s="114"/>
      <c r="M4" s="114"/>
      <c r="N4" s="114"/>
      <c r="O4" s="114"/>
      <c r="P4" s="33"/>
      <c r="Q4" s="109" t="s">
        <v>108</v>
      </c>
      <c r="R4" s="113" t="s">
        <v>633</v>
      </c>
      <c r="S4" s="113"/>
      <c r="T4" s="113"/>
      <c r="U4" s="113"/>
      <c r="V4" s="113"/>
      <c r="W4" s="113"/>
      <c r="X4" s="113"/>
      <c r="Y4" s="113"/>
      <c r="Z4" s="113"/>
      <c r="AA4" s="113"/>
      <c r="AB4" s="129" t="s">
        <v>107</v>
      </c>
      <c r="AC4" s="129" t="s">
        <v>109</v>
      </c>
      <c r="AD4" s="129" t="s">
        <v>110</v>
      </c>
      <c r="AE4" s="33"/>
    </row>
    <row r="5" spans="1:31" ht="70" x14ac:dyDescent="0.3">
      <c r="A5" s="24" t="s">
        <v>431</v>
      </c>
      <c r="B5" s="25">
        <v>1</v>
      </c>
      <c r="C5" s="25">
        <v>1</v>
      </c>
      <c r="D5" s="25">
        <v>1</v>
      </c>
      <c r="E5" s="25">
        <v>0</v>
      </c>
      <c r="F5" s="25">
        <v>0</v>
      </c>
      <c r="G5" s="25">
        <v>0</v>
      </c>
      <c r="H5" s="25">
        <v>0</v>
      </c>
      <c r="I5" s="25">
        <v>0</v>
      </c>
      <c r="J5" s="25">
        <v>0</v>
      </c>
      <c r="K5" s="25">
        <v>1</v>
      </c>
      <c r="L5" s="12">
        <f>SUM(B5:K5)/10</f>
        <v>0.4</v>
      </c>
      <c r="M5" s="25" t="str">
        <f>IF(L5&lt;0.31,"sukar",IF(L5&lt;0.71,"sedang","mudah"))</f>
        <v>sedang</v>
      </c>
      <c r="N5" s="12">
        <f>ABS((SUM(B5:F5)-SUM(G5:K5))*2/10)</f>
        <v>0.4</v>
      </c>
      <c r="O5" s="25" t="str">
        <f>IF(N5&lt;0.2,"soal dibuang",IF(N5&lt;0.3,"soal diperbaiki",IF(N5&lt;0.4,"soal diterima tapi perlu diperbaiki","soal diterima baik")))</f>
        <v>soal diterima baik</v>
      </c>
      <c r="P5" s="33"/>
      <c r="Q5" s="109"/>
      <c r="R5" s="27">
        <v>1</v>
      </c>
      <c r="S5" s="27">
        <v>2</v>
      </c>
      <c r="T5" s="27">
        <v>3</v>
      </c>
      <c r="U5" s="27">
        <v>4</v>
      </c>
      <c r="V5" s="27">
        <v>5</v>
      </c>
      <c r="W5" s="27">
        <v>6</v>
      </c>
      <c r="X5" s="27">
        <v>7</v>
      </c>
      <c r="Y5" s="27">
        <v>8</v>
      </c>
      <c r="Z5" s="27">
        <v>9</v>
      </c>
      <c r="AA5" s="27">
        <v>10</v>
      </c>
      <c r="AB5" s="130"/>
      <c r="AC5" s="130"/>
      <c r="AD5" s="130"/>
      <c r="AE5" s="20"/>
    </row>
    <row r="6" spans="1:31" ht="42" x14ac:dyDescent="0.3">
      <c r="A6" s="28" t="s">
        <v>432</v>
      </c>
      <c r="B6" s="25">
        <v>1</v>
      </c>
      <c r="C6" s="25">
        <v>1</v>
      </c>
      <c r="D6" s="25">
        <v>1</v>
      </c>
      <c r="E6" s="25">
        <v>1</v>
      </c>
      <c r="F6" s="25">
        <v>0</v>
      </c>
      <c r="G6" s="25">
        <v>1</v>
      </c>
      <c r="H6" s="25">
        <v>0</v>
      </c>
      <c r="I6" s="25">
        <v>0</v>
      </c>
      <c r="J6" s="25">
        <v>0</v>
      </c>
      <c r="K6" s="25">
        <v>1</v>
      </c>
      <c r="L6" s="12">
        <f t="shared" ref="L6:L69" si="0">SUM(B6:K6)/10</f>
        <v>0.6</v>
      </c>
      <c r="M6" s="25" t="str">
        <f t="shared" ref="M6:M69" si="1">IF(L6&lt;0.31,"sukar",IF(L6&lt;0.71,"sedang","mudah"))</f>
        <v>sedang</v>
      </c>
      <c r="N6" s="12">
        <f t="shared" ref="N6:N69" si="2">ABS((SUM(B6:F6)-SUM(G6:K6))*2/10)</f>
        <v>0.4</v>
      </c>
      <c r="O6" s="25" t="str">
        <f t="shared" ref="O6:O69" si="3">IF(N6&lt;0.2,"soal dibuang",IF(N6&lt;0.3,"soal diperbaiki",IF(N6&lt;0.4,"soal diterima tapi perlu diperbaiki","soal diterima baik")))</f>
        <v>soal diterima baik</v>
      </c>
      <c r="P6" s="33"/>
      <c r="Q6" s="26">
        <v>1</v>
      </c>
      <c r="R6" s="25">
        <f>B5</f>
        <v>1</v>
      </c>
      <c r="S6" s="25">
        <f t="shared" ref="S6:AA6" si="4">C5</f>
        <v>1</v>
      </c>
      <c r="T6" s="25">
        <f t="shared" si="4"/>
        <v>1</v>
      </c>
      <c r="U6" s="25">
        <f t="shared" si="4"/>
        <v>0</v>
      </c>
      <c r="V6" s="25">
        <f t="shared" si="4"/>
        <v>0</v>
      </c>
      <c r="W6" s="25">
        <f t="shared" si="4"/>
        <v>0</v>
      </c>
      <c r="X6" s="25">
        <f t="shared" si="4"/>
        <v>0</v>
      </c>
      <c r="Y6" s="25">
        <f t="shared" si="4"/>
        <v>0</v>
      </c>
      <c r="Z6" s="25">
        <f t="shared" si="4"/>
        <v>0</v>
      </c>
      <c r="AA6" s="25">
        <f t="shared" si="4"/>
        <v>1</v>
      </c>
      <c r="AB6" s="3">
        <f>SUM(R6:AA6)/COUNT(R6:AA6)</f>
        <v>0.4</v>
      </c>
      <c r="AC6" s="3">
        <f>1-AB6</f>
        <v>0.6</v>
      </c>
      <c r="AD6" s="3">
        <f>AB6*AC6</f>
        <v>0.24</v>
      </c>
      <c r="AE6" s="20"/>
    </row>
    <row r="7" spans="1:31" ht="70" x14ac:dyDescent="0.3">
      <c r="A7" s="24" t="s">
        <v>433</v>
      </c>
      <c r="B7" s="25">
        <v>1</v>
      </c>
      <c r="C7" s="25">
        <v>1</v>
      </c>
      <c r="D7" s="25">
        <v>1</v>
      </c>
      <c r="E7" s="25">
        <v>1</v>
      </c>
      <c r="F7" s="25">
        <v>1</v>
      </c>
      <c r="G7" s="25">
        <v>1</v>
      </c>
      <c r="H7" s="25">
        <v>0</v>
      </c>
      <c r="I7" s="25">
        <v>1</v>
      </c>
      <c r="J7" s="25">
        <v>0</v>
      </c>
      <c r="K7" s="25">
        <v>1</v>
      </c>
      <c r="L7" s="12">
        <f t="shared" si="0"/>
        <v>0.8</v>
      </c>
      <c r="M7" s="25" t="str">
        <f t="shared" si="1"/>
        <v>mudah</v>
      </c>
      <c r="N7" s="12">
        <f t="shared" si="2"/>
        <v>0.4</v>
      </c>
      <c r="O7" s="25" t="str">
        <f t="shared" si="3"/>
        <v>soal diterima baik</v>
      </c>
      <c r="P7" s="33"/>
      <c r="Q7" s="26">
        <v>2</v>
      </c>
      <c r="R7" s="25">
        <f t="shared" ref="R7:R70" si="5">B6</f>
        <v>1</v>
      </c>
      <c r="S7" s="25">
        <f t="shared" ref="S7:S70" si="6">C6</f>
        <v>1</v>
      </c>
      <c r="T7" s="25">
        <f t="shared" ref="T7:T70" si="7">D6</f>
        <v>1</v>
      </c>
      <c r="U7" s="25">
        <f t="shared" ref="U7:U70" si="8">E6</f>
        <v>1</v>
      </c>
      <c r="V7" s="25">
        <f t="shared" ref="V7:V70" si="9">F6</f>
        <v>0</v>
      </c>
      <c r="W7" s="25">
        <f t="shared" ref="W7:W70" si="10">G6</f>
        <v>1</v>
      </c>
      <c r="X7" s="25">
        <f t="shared" ref="X7:X70" si="11">H6</f>
        <v>0</v>
      </c>
      <c r="Y7" s="25">
        <f t="shared" ref="Y7:Y70" si="12">I6</f>
        <v>0</v>
      </c>
      <c r="Z7" s="25">
        <f t="shared" ref="Z7:Z70" si="13">J6</f>
        <v>0</v>
      </c>
      <c r="AA7" s="25">
        <f t="shared" ref="AA7:AA70" si="14">K6</f>
        <v>1</v>
      </c>
      <c r="AB7" s="3">
        <f t="shared" ref="AB7:AB70" si="15">SUM(R7:AA7)/COUNT(R7:AA7)</f>
        <v>0.6</v>
      </c>
      <c r="AC7" s="3">
        <f t="shared" ref="AC7:AC70" si="16">1-AB7</f>
        <v>0.4</v>
      </c>
      <c r="AD7" s="3">
        <f t="shared" ref="AD7:AD70" si="17">AB7*AC7</f>
        <v>0.24</v>
      </c>
      <c r="AE7" s="20"/>
    </row>
    <row r="8" spans="1:31" ht="56" x14ac:dyDescent="0.3">
      <c r="A8" s="30" t="s">
        <v>434</v>
      </c>
      <c r="B8" s="25">
        <v>0</v>
      </c>
      <c r="C8" s="25">
        <v>0</v>
      </c>
      <c r="D8" s="25">
        <v>0</v>
      </c>
      <c r="E8" s="25">
        <v>0</v>
      </c>
      <c r="F8" s="25">
        <v>0</v>
      </c>
      <c r="G8" s="25">
        <v>0</v>
      </c>
      <c r="H8" s="25">
        <v>1</v>
      </c>
      <c r="I8" s="25">
        <v>0</v>
      </c>
      <c r="J8" s="25">
        <v>1</v>
      </c>
      <c r="K8" s="25">
        <v>0</v>
      </c>
      <c r="L8" s="12">
        <f t="shared" si="0"/>
        <v>0.2</v>
      </c>
      <c r="M8" s="25" t="str">
        <f t="shared" si="1"/>
        <v>sukar</v>
      </c>
      <c r="N8" s="12">
        <f t="shared" si="2"/>
        <v>0.4</v>
      </c>
      <c r="O8" s="25" t="str">
        <f t="shared" si="3"/>
        <v>soal diterima baik</v>
      </c>
      <c r="P8" s="33"/>
      <c r="Q8" s="26">
        <v>3</v>
      </c>
      <c r="R8" s="25">
        <f t="shared" si="5"/>
        <v>1</v>
      </c>
      <c r="S8" s="25">
        <f t="shared" si="6"/>
        <v>1</v>
      </c>
      <c r="T8" s="25">
        <f t="shared" si="7"/>
        <v>1</v>
      </c>
      <c r="U8" s="25">
        <f t="shared" si="8"/>
        <v>1</v>
      </c>
      <c r="V8" s="25">
        <f t="shared" si="9"/>
        <v>1</v>
      </c>
      <c r="W8" s="25">
        <f t="shared" si="10"/>
        <v>1</v>
      </c>
      <c r="X8" s="25">
        <f t="shared" si="11"/>
        <v>0</v>
      </c>
      <c r="Y8" s="25">
        <f t="shared" si="12"/>
        <v>1</v>
      </c>
      <c r="Z8" s="25">
        <f t="shared" si="13"/>
        <v>0</v>
      </c>
      <c r="AA8" s="25">
        <f t="shared" si="14"/>
        <v>1</v>
      </c>
      <c r="AB8" s="3">
        <f t="shared" si="15"/>
        <v>0.8</v>
      </c>
      <c r="AC8" s="3">
        <f t="shared" si="16"/>
        <v>0.19999999999999996</v>
      </c>
      <c r="AD8" s="3">
        <f t="shared" si="17"/>
        <v>0.15999999999999998</v>
      </c>
      <c r="AE8" s="20"/>
    </row>
    <row r="9" spans="1:31" ht="28" x14ac:dyDescent="0.3">
      <c r="A9" s="30" t="s">
        <v>435</v>
      </c>
      <c r="B9" s="25">
        <v>0</v>
      </c>
      <c r="C9" s="25">
        <v>1</v>
      </c>
      <c r="D9" s="25">
        <v>1</v>
      </c>
      <c r="E9" s="25">
        <v>1</v>
      </c>
      <c r="F9" s="25">
        <v>0</v>
      </c>
      <c r="G9" s="25">
        <v>0</v>
      </c>
      <c r="H9" s="25">
        <v>0</v>
      </c>
      <c r="I9" s="25">
        <v>1</v>
      </c>
      <c r="J9" s="25">
        <v>0</v>
      </c>
      <c r="K9" s="25">
        <v>0</v>
      </c>
      <c r="L9" s="12">
        <f t="shared" si="0"/>
        <v>0.4</v>
      </c>
      <c r="M9" s="25" t="str">
        <f t="shared" si="1"/>
        <v>sedang</v>
      </c>
      <c r="N9" s="12">
        <f t="shared" si="2"/>
        <v>0.4</v>
      </c>
      <c r="O9" s="25" t="str">
        <f t="shared" si="3"/>
        <v>soal diterima baik</v>
      </c>
      <c r="P9" s="33"/>
      <c r="Q9" s="26">
        <v>4</v>
      </c>
      <c r="R9" s="25">
        <f t="shared" si="5"/>
        <v>0</v>
      </c>
      <c r="S9" s="25">
        <f t="shared" si="6"/>
        <v>0</v>
      </c>
      <c r="T9" s="25">
        <f t="shared" si="7"/>
        <v>0</v>
      </c>
      <c r="U9" s="25">
        <f t="shared" si="8"/>
        <v>0</v>
      </c>
      <c r="V9" s="25">
        <f t="shared" si="9"/>
        <v>0</v>
      </c>
      <c r="W9" s="25">
        <f t="shared" si="10"/>
        <v>0</v>
      </c>
      <c r="X9" s="25">
        <f t="shared" si="11"/>
        <v>1</v>
      </c>
      <c r="Y9" s="25">
        <f t="shared" si="12"/>
        <v>0</v>
      </c>
      <c r="Z9" s="25">
        <f t="shared" si="13"/>
        <v>1</v>
      </c>
      <c r="AA9" s="25">
        <f t="shared" si="14"/>
        <v>0</v>
      </c>
      <c r="AB9" s="3">
        <f t="shared" si="15"/>
        <v>0.2</v>
      </c>
      <c r="AC9" s="3">
        <f t="shared" si="16"/>
        <v>0.8</v>
      </c>
      <c r="AD9" s="3">
        <f t="shared" si="17"/>
        <v>0.16000000000000003</v>
      </c>
      <c r="AE9" s="20"/>
    </row>
    <row r="10" spans="1:31" ht="42" x14ac:dyDescent="0.3">
      <c r="A10" s="24" t="s">
        <v>436</v>
      </c>
      <c r="B10" s="25">
        <v>1</v>
      </c>
      <c r="C10" s="25">
        <v>0</v>
      </c>
      <c r="D10" s="25">
        <v>0</v>
      </c>
      <c r="E10" s="25">
        <v>0</v>
      </c>
      <c r="F10" s="25">
        <v>0</v>
      </c>
      <c r="G10" s="25">
        <v>1</v>
      </c>
      <c r="H10" s="25">
        <v>0</v>
      </c>
      <c r="I10" s="25">
        <v>0</v>
      </c>
      <c r="J10" s="25">
        <v>1</v>
      </c>
      <c r="K10" s="25">
        <v>1</v>
      </c>
      <c r="L10" s="12">
        <f t="shared" si="0"/>
        <v>0.4</v>
      </c>
      <c r="M10" s="25" t="str">
        <f t="shared" si="1"/>
        <v>sedang</v>
      </c>
      <c r="N10" s="12">
        <f t="shared" si="2"/>
        <v>0.4</v>
      </c>
      <c r="O10" s="25" t="str">
        <f t="shared" si="3"/>
        <v>soal diterima baik</v>
      </c>
      <c r="P10" s="33"/>
      <c r="Q10" s="26">
        <v>5</v>
      </c>
      <c r="R10" s="25">
        <f t="shared" si="5"/>
        <v>0</v>
      </c>
      <c r="S10" s="25">
        <f t="shared" si="6"/>
        <v>1</v>
      </c>
      <c r="T10" s="25">
        <f t="shared" si="7"/>
        <v>1</v>
      </c>
      <c r="U10" s="25">
        <f t="shared" si="8"/>
        <v>1</v>
      </c>
      <c r="V10" s="25">
        <f t="shared" si="9"/>
        <v>0</v>
      </c>
      <c r="W10" s="25">
        <f t="shared" si="10"/>
        <v>0</v>
      </c>
      <c r="X10" s="25">
        <f t="shared" si="11"/>
        <v>0</v>
      </c>
      <c r="Y10" s="25">
        <f t="shared" si="12"/>
        <v>1</v>
      </c>
      <c r="Z10" s="25">
        <f t="shared" si="13"/>
        <v>0</v>
      </c>
      <c r="AA10" s="25">
        <f t="shared" si="14"/>
        <v>0</v>
      </c>
      <c r="AB10" s="3">
        <f t="shared" si="15"/>
        <v>0.4</v>
      </c>
      <c r="AC10" s="3">
        <f t="shared" si="16"/>
        <v>0.6</v>
      </c>
      <c r="AD10" s="3">
        <f t="shared" si="17"/>
        <v>0.24</v>
      </c>
      <c r="AE10" s="20"/>
    </row>
    <row r="11" spans="1:31" ht="42" x14ac:dyDescent="0.3">
      <c r="A11" s="30" t="s">
        <v>437</v>
      </c>
      <c r="B11" s="25">
        <v>1</v>
      </c>
      <c r="C11" s="25">
        <v>0</v>
      </c>
      <c r="D11" s="25">
        <v>0</v>
      </c>
      <c r="E11" s="25">
        <v>1</v>
      </c>
      <c r="F11" s="25">
        <v>0</v>
      </c>
      <c r="G11" s="25">
        <v>0</v>
      </c>
      <c r="H11" s="25">
        <v>0</v>
      </c>
      <c r="I11" s="25">
        <v>0</v>
      </c>
      <c r="J11" s="25">
        <v>0</v>
      </c>
      <c r="K11" s="25">
        <v>0</v>
      </c>
      <c r="L11" s="12">
        <f t="shared" si="0"/>
        <v>0.2</v>
      </c>
      <c r="M11" s="25" t="str">
        <f t="shared" si="1"/>
        <v>sukar</v>
      </c>
      <c r="N11" s="12">
        <f t="shared" si="2"/>
        <v>0.4</v>
      </c>
      <c r="O11" s="25" t="str">
        <f t="shared" si="3"/>
        <v>soal diterima baik</v>
      </c>
      <c r="P11" s="33"/>
      <c r="Q11" s="26">
        <v>6</v>
      </c>
      <c r="R11" s="25">
        <f t="shared" si="5"/>
        <v>1</v>
      </c>
      <c r="S11" s="25">
        <f t="shared" si="6"/>
        <v>0</v>
      </c>
      <c r="T11" s="25">
        <f t="shared" si="7"/>
        <v>0</v>
      </c>
      <c r="U11" s="25">
        <f t="shared" si="8"/>
        <v>0</v>
      </c>
      <c r="V11" s="25">
        <f t="shared" si="9"/>
        <v>0</v>
      </c>
      <c r="W11" s="25">
        <f t="shared" si="10"/>
        <v>1</v>
      </c>
      <c r="X11" s="25">
        <f t="shared" si="11"/>
        <v>0</v>
      </c>
      <c r="Y11" s="25">
        <f t="shared" si="12"/>
        <v>0</v>
      </c>
      <c r="Z11" s="25">
        <f t="shared" si="13"/>
        <v>1</v>
      </c>
      <c r="AA11" s="25">
        <f t="shared" si="14"/>
        <v>1</v>
      </c>
      <c r="AB11" s="3">
        <f t="shared" si="15"/>
        <v>0.4</v>
      </c>
      <c r="AC11" s="3">
        <f t="shared" si="16"/>
        <v>0.6</v>
      </c>
      <c r="AD11" s="3">
        <f t="shared" si="17"/>
        <v>0.24</v>
      </c>
      <c r="AE11" s="20"/>
    </row>
    <row r="12" spans="1:31" ht="56" x14ac:dyDescent="0.3">
      <c r="A12" s="24" t="s">
        <v>438</v>
      </c>
      <c r="B12" s="25">
        <v>1</v>
      </c>
      <c r="C12" s="25">
        <v>1</v>
      </c>
      <c r="D12" s="25">
        <v>0</v>
      </c>
      <c r="E12" s="25">
        <v>1</v>
      </c>
      <c r="F12" s="25">
        <v>0</v>
      </c>
      <c r="G12" s="25">
        <v>0</v>
      </c>
      <c r="H12" s="25">
        <v>0</v>
      </c>
      <c r="I12" s="25">
        <v>0</v>
      </c>
      <c r="J12" s="25">
        <v>1</v>
      </c>
      <c r="K12" s="25">
        <v>0</v>
      </c>
      <c r="L12" s="12">
        <f t="shared" si="0"/>
        <v>0.4</v>
      </c>
      <c r="M12" s="25" t="str">
        <f t="shared" si="1"/>
        <v>sedang</v>
      </c>
      <c r="N12" s="12">
        <f t="shared" si="2"/>
        <v>0.4</v>
      </c>
      <c r="O12" s="25" t="str">
        <f t="shared" si="3"/>
        <v>soal diterima baik</v>
      </c>
      <c r="P12" s="33"/>
      <c r="Q12" s="26">
        <v>7</v>
      </c>
      <c r="R12" s="25">
        <f t="shared" si="5"/>
        <v>1</v>
      </c>
      <c r="S12" s="25">
        <f t="shared" si="6"/>
        <v>0</v>
      </c>
      <c r="T12" s="25">
        <f t="shared" si="7"/>
        <v>0</v>
      </c>
      <c r="U12" s="25">
        <f t="shared" si="8"/>
        <v>1</v>
      </c>
      <c r="V12" s="25">
        <f t="shared" si="9"/>
        <v>0</v>
      </c>
      <c r="W12" s="25">
        <f t="shared" si="10"/>
        <v>0</v>
      </c>
      <c r="X12" s="25">
        <f t="shared" si="11"/>
        <v>0</v>
      </c>
      <c r="Y12" s="25">
        <f t="shared" si="12"/>
        <v>0</v>
      </c>
      <c r="Z12" s="25">
        <f t="shared" si="13"/>
        <v>0</v>
      </c>
      <c r="AA12" s="25">
        <f t="shared" si="14"/>
        <v>0</v>
      </c>
      <c r="AB12" s="3">
        <f t="shared" si="15"/>
        <v>0.2</v>
      </c>
      <c r="AC12" s="3">
        <f t="shared" si="16"/>
        <v>0.8</v>
      </c>
      <c r="AD12" s="3">
        <f t="shared" si="17"/>
        <v>0.16000000000000003</v>
      </c>
      <c r="AE12" s="20"/>
    </row>
    <row r="13" spans="1:31" ht="56" x14ac:dyDescent="0.3">
      <c r="A13" s="28" t="s">
        <v>439</v>
      </c>
      <c r="B13" s="25">
        <v>1</v>
      </c>
      <c r="C13" s="25">
        <v>1</v>
      </c>
      <c r="D13" s="25">
        <v>0</v>
      </c>
      <c r="E13" s="25">
        <v>1</v>
      </c>
      <c r="F13" s="25">
        <v>1</v>
      </c>
      <c r="G13" s="25">
        <v>0</v>
      </c>
      <c r="H13" s="25">
        <v>1</v>
      </c>
      <c r="I13" s="25">
        <v>0</v>
      </c>
      <c r="J13" s="25">
        <v>0</v>
      </c>
      <c r="K13" s="25">
        <v>1</v>
      </c>
      <c r="L13" s="12">
        <f t="shared" si="0"/>
        <v>0.6</v>
      </c>
      <c r="M13" s="25" t="str">
        <f t="shared" si="1"/>
        <v>sedang</v>
      </c>
      <c r="N13" s="12">
        <f t="shared" si="2"/>
        <v>0.4</v>
      </c>
      <c r="O13" s="25" t="str">
        <f t="shared" si="3"/>
        <v>soal diterima baik</v>
      </c>
      <c r="P13" s="33"/>
      <c r="Q13" s="26">
        <v>8</v>
      </c>
      <c r="R13" s="25">
        <f t="shared" si="5"/>
        <v>1</v>
      </c>
      <c r="S13" s="25">
        <f t="shared" si="6"/>
        <v>1</v>
      </c>
      <c r="T13" s="25">
        <f t="shared" si="7"/>
        <v>0</v>
      </c>
      <c r="U13" s="25">
        <f t="shared" si="8"/>
        <v>1</v>
      </c>
      <c r="V13" s="25">
        <f t="shared" si="9"/>
        <v>0</v>
      </c>
      <c r="W13" s="25">
        <f t="shared" si="10"/>
        <v>0</v>
      </c>
      <c r="X13" s="25">
        <f t="shared" si="11"/>
        <v>0</v>
      </c>
      <c r="Y13" s="25">
        <f t="shared" si="12"/>
        <v>0</v>
      </c>
      <c r="Z13" s="25">
        <f t="shared" si="13"/>
        <v>1</v>
      </c>
      <c r="AA13" s="25">
        <f t="shared" si="14"/>
        <v>0</v>
      </c>
      <c r="AB13" s="3">
        <f t="shared" si="15"/>
        <v>0.4</v>
      </c>
      <c r="AC13" s="3">
        <f t="shared" si="16"/>
        <v>0.6</v>
      </c>
      <c r="AD13" s="3">
        <f t="shared" si="17"/>
        <v>0.24</v>
      </c>
      <c r="AE13" s="20"/>
    </row>
    <row r="14" spans="1:31" ht="84" x14ac:dyDescent="0.3">
      <c r="A14" s="24" t="s">
        <v>440</v>
      </c>
      <c r="B14" s="25">
        <v>0</v>
      </c>
      <c r="C14" s="25">
        <v>1</v>
      </c>
      <c r="D14" s="25">
        <v>0</v>
      </c>
      <c r="E14" s="25">
        <v>0</v>
      </c>
      <c r="F14" s="25">
        <v>1</v>
      </c>
      <c r="G14" s="25">
        <v>0</v>
      </c>
      <c r="H14" s="25">
        <v>0</v>
      </c>
      <c r="I14" s="25">
        <v>0</v>
      </c>
      <c r="J14" s="25">
        <v>0</v>
      </c>
      <c r="K14" s="25">
        <v>0</v>
      </c>
      <c r="L14" s="12">
        <f t="shared" si="0"/>
        <v>0.2</v>
      </c>
      <c r="M14" s="25" t="str">
        <f t="shared" si="1"/>
        <v>sukar</v>
      </c>
      <c r="N14" s="12">
        <f t="shared" si="2"/>
        <v>0.4</v>
      </c>
      <c r="O14" s="25" t="str">
        <f t="shared" si="3"/>
        <v>soal diterima baik</v>
      </c>
      <c r="P14" s="33"/>
      <c r="Q14" s="26">
        <v>9</v>
      </c>
      <c r="R14" s="25">
        <f t="shared" si="5"/>
        <v>1</v>
      </c>
      <c r="S14" s="25">
        <f t="shared" si="6"/>
        <v>1</v>
      </c>
      <c r="T14" s="25">
        <f t="shared" si="7"/>
        <v>0</v>
      </c>
      <c r="U14" s="25">
        <f t="shared" si="8"/>
        <v>1</v>
      </c>
      <c r="V14" s="25">
        <f t="shared" si="9"/>
        <v>1</v>
      </c>
      <c r="W14" s="25">
        <f t="shared" si="10"/>
        <v>0</v>
      </c>
      <c r="X14" s="25">
        <f t="shared" si="11"/>
        <v>1</v>
      </c>
      <c r="Y14" s="25">
        <f t="shared" si="12"/>
        <v>0</v>
      </c>
      <c r="Z14" s="25">
        <f t="shared" si="13"/>
        <v>0</v>
      </c>
      <c r="AA14" s="25">
        <f t="shared" si="14"/>
        <v>1</v>
      </c>
      <c r="AB14" s="3">
        <f t="shared" si="15"/>
        <v>0.6</v>
      </c>
      <c r="AC14" s="3">
        <f t="shared" si="16"/>
        <v>0.4</v>
      </c>
      <c r="AD14" s="3">
        <f t="shared" si="17"/>
        <v>0.24</v>
      </c>
      <c r="AE14" s="20"/>
    </row>
    <row r="15" spans="1:31" ht="56" x14ac:dyDescent="0.3">
      <c r="A15" s="30" t="s">
        <v>441</v>
      </c>
      <c r="B15" s="25">
        <v>0</v>
      </c>
      <c r="C15" s="25">
        <v>1</v>
      </c>
      <c r="D15" s="25">
        <v>0</v>
      </c>
      <c r="E15" s="25">
        <v>0</v>
      </c>
      <c r="F15" s="25">
        <v>0</v>
      </c>
      <c r="G15" s="25">
        <v>0</v>
      </c>
      <c r="H15" s="25">
        <v>0</v>
      </c>
      <c r="I15" s="25">
        <v>1</v>
      </c>
      <c r="J15" s="25">
        <v>1</v>
      </c>
      <c r="K15" s="25">
        <v>1</v>
      </c>
      <c r="L15" s="12">
        <f t="shared" si="0"/>
        <v>0.4</v>
      </c>
      <c r="M15" s="25" t="str">
        <f t="shared" si="1"/>
        <v>sedang</v>
      </c>
      <c r="N15" s="12">
        <f t="shared" si="2"/>
        <v>0.4</v>
      </c>
      <c r="O15" s="25" t="str">
        <f t="shared" si="3"/>
        <v>soal diterima baik</v>
      </c>
      <c r="P15" s="33"/>
      <c r="Q15" s="26">
        <v>10</v>
      </c>
      <c r="R15" s="25">
        <f t="shared" si="5"/>
        <v>0</v>
      </c>
      <c r="S15" s="25">
        <f t="shared" si="6"/>
        <v>1</v>
      </c>
      <c r="T15" s="25">
        <f t="shared" si="7"/>
        <v>0</v>
      </c>
      <c r="U15" s="25">
        <f t="shared" si="8"/>
        <v>0</v>
      </c>
      <c r="V15" s="25">
        <f t="shared" si="9"/>
        <v>1</v>
      </c>
      <c r="W15" s="25">
        <f t="shared" si="10"/>
        <v>0</v>
      </c>
      <c r="X15" s="25">
        <f t="shared" si="11"/>
        <v>0</v>
      </c>
      <c r="Y15" s="25">
        <f t="shared" si="12"/>
        <v>0</v>
      </c>
      <c r="Z15" s="25">
        <f t="shared" si="13"/>
        <v>0</v>
      </c>
      <c r="AA15" s="25">
        <f t="shared" si="14"/>
        <v>0</v>
      </c>
      <c r="AB15" s="3">
        <f t="shared" si="15"/>
        <v>0.2</v>
      </c>
      <c r="AC15" s="3">
        <f t="shared" si="16"/>
        <v>0.8</v>
      </c>
      <c r="AD15" s="3">
        <f t="shared" si="17"/>
        <v>0.16000000000000003</v>
      </c>
      <c r="AE15" s="20"/>
    </row>
    <row r="16" spans="1:31" ht="56" x14ac:dyDescent="0.3">
      <c r="A16" s="24" t="s">
        <v>442</v>
      </c>
      <c r="B16" s="25">
        <v>0</v>
      </c>
      <c r="C16" s="25">
        <v>0</v>
      </c>
      <c r="D16" s="25">
        <v>0</v>
      </c>
      <c r="E16" s="25">
        <v>1</v>
      </c>
      <c r="F16" s="25">
        <v>0</v>
      </c>
      <c r="G16" s="25">
        <v>1</v>
      </c>
      <c r="H16" s="25">
        <v>1</v>
      </c>
      <c r="I16" s="25">
        <v>0</v>
      </c>
      <c r="J16" s="25">
        <v>1</v>
      </c>
      <c r="K16" s="25">
        <v>0</v>
      </c>
      <c r="L16" s="12">
        <f t="shared" si="0"/>
        <v>0.4</v>
      </c>
      <c r="M16" s="25" t="str">
        <f t="shared" si="1"/>
        <v>sedang</v>
      </c>
      <c r="N16" s="12">
        <f t="shared" si="2"/>
        <v>0.4</v>
      </c>
      <c r="O16" s="25" t="str">
        <f t="shared" si="3"/>
        <v>soal diterima baik</v>
      </c>
      <c r="P16" s="33"/>
      <c r="Q16" s="26">
        <v>11</v>
      </c>
      <c r="R16" s="25">
        <f t="shared" si="5"/>
        <v>0</v>
      </c>
      <c r="S16" s="25">
        <f t="shared" si="6"/>
        <v>1</v>
      </c>
      <c r="T16" s="25">
        <f t="shared" si="7"/>
        <v>0</v>
      </c>
      <c r="U16" s="25">
        <f t="shared" si="8"/>
        <v>0</v>
      </c>
      <c r="V16" s="25">
        <f t="shared" si="9"/>
        <v>0</v>
      </c>
      <c r="W16" s="25">
        <f t="shared" si="10"/>
        <v>0</v>
      </c>
      <c r="X16" s="25">
        <f t="shared" si="11"/>
        <v>0</v>
      </c>
      <c r="Y16" s="25">
        <f t="shared" si="12"/>
        <v>1</v>
      </c>
      <c r="Z16" s="25">
        <f t="shared" si="13"/>
        <v>1</v>
      </c>
      <c r="AA16" s="25">
        <f t="shared" si="14"/>
        <v>1</v>
      </c>
      <c r="AB16" s="3">
        <f t="shared" si="15"/>
        <v>0.4</v>
      </c>
      <c r="AC16" s="3">
        <f t="shared" si="16"/>
        <v>0.6</v>
      </c>
      <c r="AD16" s="3">
        <f t="shared" si="17"/>
        <v>0.24</v>
      </c>
      <c r="AE16" s="20"/>
    </row>
    <row r="17" spans="1:31" ht="70" x14ac:dyDescent="0.3">
      <c r="A17" s="30" t="s">
        <v>443</v>
      </c>
      <c r="B17" s="25">
        <v>1</v>
      </c>
      <c r="C17" s="25">
        <v>0</v>
      </c>
      <c r="D17" s="25">
        <v>1</v>
      </c>
      <c r="E17" s="25">
        <v>1</v>
      </c>
      <c r="F17" s="25">
        <v>1</v>
      </c>
      <c r="G17" s="25">
        <v>1</v>
      </c>
      <c r="H17" s="25">
        <v>1</v>
      </c>
      <c r="I17" s="25">
        <v>0</v>
      </c>
      <c r="J17" s="25">
        <v>0</v>
      </c>
      <c r="K17" s="25">
        <v>0</v>
      </c>
      <c r="L17" s="12">
        <f t="shared" si="0"/>
        <v>0.6</v>
      </c>
      <c r="M17" s="25" t="str">
        <f t="shared" si="1"/>
        <v>sedang</v>
      </c>
      <c r="N17" s="12">
        <f t="shared" si="2"/>
        <v>0.4</v>
      </c>
      <c r="O17" s="25" t="str">
        <f t="shared" si="3"/>
        <v>soal diterima baik</v>
      </c>
      <c r="P17" s="33"/>
      <c r="Q17" s="26">
        <v>12</v>
      </c>
      <c r="R17" s="25">
        <f t="shared" si="5"/>
        <v>0</v>
      </c>
      <c r="S17" s="25">
        <f t="shared" si="6"/>
        <v>0</v>
      </c>
      <c r="T17" s="25">
        <f t="shared" si="7"/>
        <v>0</v>
      </c>
      <c r="U17" s="25">
        <f t="shared" si="8"/>
        <v>1</v>
      </c>
      <c r="V17" s="25">
        <f t="shared" si="9"/>
        <v>0</v>
      </c>
      <c r="W17" s="25">
        <f t="shared" si="10"/>
        <v>1</v>
      </c>
      <c r="X17" s="25">
        <f t="shared" si="11"/>
        <v>1</v>
      </c>
      <c r="Y17" s="25">
        <f t="shared" si="12"/>
        <v>0</v>
      </c>
      <c r="Z17" s="25">
        <f t="shared" si="13"/>
        <v>1</v>
      </c>
      <c r="AA17" s="25">
        <f t="shared" si="14"/>
        <v>0</v>
      </c>
      <c r="AB17" s="3">
        <f t="shared" si="15"/>
        <v>0.4</v>
      </c>
      <c r="AC17" s="3">
        <f t="shared" si="16"/>
        <v>0.6</v>
      </c>
      <c r="AD17" s="3">
        <f t="shared" si="17"/>
        <v>0.24</v>
      </c>
      <c r="AE17" s="20"/>
    </row>
    <row r="18" spans="1:31" ht="56" x14ac:dyDescent="0.3">
      <c r="A18" s="28" t="s">
        <v>444</v>
      </c>
      <c r="B18" s="25">
        <v>1</v>
      </c>
      <c r="C18" s="25">
        <v>0</v>
      </c>
      <c r="D18" s="25">
        <v>1</v>
      </c>
      <c r="E18" s="25">
        <v>1</v>
      </c>
      <c r="F18" s="25">
        <v>0</v>
      </c>
      <c r="G18" s="25">
        <v>0</v>
      </c>
      <c r="H18" s="25">
        <v>1</v>
      </c>
      <c r="I18" s="25">
        <v>0</v>
      </c>
      <c r="J18" s="25">
        <v>0</v>
      </c>
      <c r="K18" s="25">
        <v>0</v>
      </c>
      <c r="L18" s="12">
        <f t="shared" si="0"/>
        <v>0.4</v>
      </c>
      <c r="M18" s="25" t="str">
        <f t="shared" si="1"/>
        <v>sedang</v>
      </c>
      <c r="N18" s="12">
        <f t="shared" si="2"/>
        <v>0.4</v>
      </c>
      <c r="O18" s="25" t="str">
        <f t="shared" si="3"/>
        <v>soal diterima baik</v>
      </c>
      <c r="P18" s="33"/>
      <c r="Q18" s="26">
        <v>13</v>
      </c>
      <c r="R18" s="25">
        <f t="shared" si="5"/>
        <v>1</v>
      </c>
      <c r="S18" s="25">
        <f t="shared" si="6"/>
        <v>0</v>
      </c>
      <c r="T18" s="25">
        <f t="shared" si="7"/>
        <v>1</v>
      </c>
      <c r="U18" s="25">
        <f t="shared" si="8"/>
        <v>1</v>
      </c>
      <c r="V18" s="25">
        <f t="shared" si="9"/>
        <v>1</v>
      </c>
      <c r="W18" s="25">
        <f t="shared" si="10"/>
        <v>1</v>
      </c>
      <c r="X18" s="25">
        <f t="shared" si="11"/>
        <v>1</v>
      </c>
      <c r="Y18" s="25">
        <f t="shared" si="12"/>
        <v>0</v>
      </c>
      <c r="Z18" s="25">
        <f t="shared" si="13"/>
        <v>0</v>
      </c>
      <c r="AA18" s="25">
        <f t="shared" si="14"/>
        <v>0</v>
      </c>
      <c r="AB18" s="3">
        <f t="shared" si="15"/>
        <v>0.6</v>
      </c>
      <c r="AC18" s="3">
        <f t="shared" si="16"/>
        <v>0.4</v>
      </c>
      <c r="AD18" s="3">
        <f t="shared" si="17"/>
        <v>0.24</v>
      </c>
      <c r="AE18" s="20"/>
    </row>
    <row r="19" spans="1:31" ht="42" x14ac:dyDescent="0.3">
      <c r="A19" s="24" t="s">
        <v>445</v>
      </c>
      <c r="B19" s="25">
        <v>0</v>
      </c>
      <c r="C19" s="25">
        <v>0</v>
      </c>
      <c r="D19" s="25">
        <v>0</v>
      </c>
      <c r="E19" s="25">
        <v>0</v>
      </c>
      <c r="F19" s="25">
        <v>0</v>
      </c>
      <c r="G19" s="25">
        <v>1</v>
      </c>
      <c r="H19" s="25">
        <v>0</v>
      </c>
      <c r="I19" s="25">
        <v>0</v>
      </c>
      <c r="J19" s="25">
        <v>0</v>
      </c>
      <c r="K19" s="25">
        <v>1</v>
      </c>
      <c r="L19" s="12">
        <f t="shared" si="0"/>
        <v>0.2</v>
      </c>
      <c r="M19" s="25" t="str">
        <f t="shared" si="1"/>
        <v>sukar</v>
      </c>
      <c r="N19" s="12">
        <f t="shared" si="2"/>
        <v>0.4</v>
      </c>
      <c r="O19" s="25" t="str">
        <f t="shared" si="3"/>
        <v>soal diterima baik</v>
      </c>
      <c r="P19" s="33"/>
      <c r="Q19" s="26">
        <v>14</v>
      </c>
      <c r="R19" s="25">
        <f t="shared" si="5"/>
        <v>1</v>
      </c>
      <c r="S19" s="25">
        <f t="shared" si="6"/>
        <v>0</v>
      </c>
      <c r="T19" s="25">
        <f t="shared" si="7"/>
        <v>1</v>
      </c>
      <c r="U19" s="25">
        <f t="shared" si="8"/>
        <v>1</v>
      </c>
      <c r="V19" s="25">
        <f t="shared" si="9"/>
        <v>0</v>
      </c>
      <c r="W19" s="25">
        <f t="shared" si="10"/>
        <v>0</v>
      </c>
      <c r="X19" s="25">
        <f t="shared" si="11"/>
        <v>1</v>
      </c>
      <c r="Y19" s="25">
        <f t="shared" si="12"/>
        <v>0</v>
      </c>
      <c r="Z19" s="25">
        <f t="shared" si="13"/>
        <v>0</v>
      </c>
      <c r="AA19" s="25">
        <f t="shared" si="14"/>
        <v>0</v>
      </c>
      <c r="AB19" s="3">
        <f t="shared" si="15"/>
        <v>0.4</v>
      </c>
      <c r="AC19" s="3">
        <f t="shared" si="16"/>
        <v>0.6</v>
      </c>
      <c r="AD19" s="3">
        <f t="shared" si="17"/>
        <v>0.24</v>
      </c>
      <c r="AE19" s="20"/>
    </row>
    <row r="20" spans="1:31" ht="42" x14ac:dyDescent="0.3">
      <c r="A20" s="28" t="s">
        <v>446</v>
      </c>
      <c r="B20" s="25">
        <v>1</v>
      </c>
      <c r="C20" s="25">
        <v>1</v>
      </c>
      <c r="D20" s="25">
        <v>1</v>
      </c>
      <c r="E20" s="25">
        <v>1</v>
      </c>
      <c r="F20" s="25">
        <v>1</v>
      </c>
      <c r="G20" s="25">
        <v>0</v>
      </c>
      <c r="H20" s="25">
        <v>1</v>
      </c>
      <c r="I20" s="25">
        <v>1</v>
      </c>
      <c r="J20" s="25">
        <v>1</v>
      </c>
      <c r="K20" s="25">
        <v>0</v>
      </c>
      <c r="L20" s="12">
        <f t="shared" si="0"/>
        <v>0.8</v>
      </c>
      <c r="M20" s="25" t="str">
        <f t="shared" si="1"/>
        <v>mudah</v>
      </c>
      <c r="N20" s="12">
        <f t="shared" si="2"/>
        <v>0.4</v>
      </c>
      <c r="O20" s="25" t="str">
        <f t="shared" si="3"/>
        <v>soal diterima baik</v>
      </c>
      <c r="P20" s="33"/>
      <c r="Q20" s="26">
        <v>15</v>
      </c>
      <c r="R20" s="25">
        <f t="shared" si="5"/>
        <v>0</v>
      </c>
      <c r="S20" s="25">
        <f t="shared" si="6"/>
        <v>0</v>
      </c>
      <c r="T20" s="25">
        <f t="shared" si="7"/>
        <v>0</v>
      </c>
      <c r="U20" s="25">
        <f t="shared" si="8"/>
        <v>0</v>
      </c>
      <c r="V20" s="25">
        <f t="shared" si="9"/>
        <v>0</v>
      </c>
      <c r="W20" s="25">
        <f t="shared" si="10"/>
        <v>1</v>
      </c>
      <c r="X20" s="25">
        <f t="shared" si="11"/>
        <v>0</v>
      </c>
      <c r="Y20" s="25">
        <f t="shared" si="12"/>
        <v>0</v>
      </c>
      <c r="Z20" s="25">
        <f t="shared" si="13"/>
        <v>0</v>
      </c>
      <c r="AA20" s="25">
        <f t="shared" si="14"/>
        <v>1</v>
      </c>
      <c r="AB20" s="3">
        <f t="shared" si="15"/>
        <v>0.2</v>
      </c>
      <c r="AC20" s="3">
        <f t="shared" si="16"/>
        <v>0.8</v>
      </c>
      <c r="AD20" s="3">
        <f t="shared" si="17"/>
        <v>0.16000000000000003</v>
      </c>
      <c r="AE20" s="20"/>
    </row>
    <row r="21" spans="1:31" ht="42" x14ac:dyDescent="0.3">
      <c r="A21" s="24" t="s">
        <v>447</v>
      </c>
      <c r="B21" s="25">
        <v>1</v>
      </c>
      <c r="C21" s="25">
        <v>1</v>
      </c>
      <c r="D21" s="25">
        <v>1</v>
      </c>
      <c r="E21" s="25">
        <v>1</v>
      </c>
      <c r="F21" s="25">
        <v>1</v>
      </c>
      <c r="G21" s="25">
        <v>0</v>
      </c>
      <c r="H21" s="25">
        <v>0</v>
      </c>
      <c r="I21" s="25">
        <v>1</v>
      </c>
      <c r="J21" s="25">
        <v>0</v>
      </c>
      <c r="K21" s="25">
        <v>0</v>
      </c>
      <c r="L21" s="12">
        <f t="shared" si="0"/>
        <v>0.6</v>
      </c>
      <c r="M21" s="25" t="str">
        <f t="shared" si="1"/>
        <v>sedang</v>
      </c>
      <c r="N21" s="12">
        <f t="shared" si="2"/>
        <v>0.8</v>
      </c>
      <c r="O21" s="25" t="str">
        <f t="shared" si="3"/>
        <v>soal diterima baik</v>
      </c>
      <c r="P21" s="33"/>
      <c r="Q21" s="26">
        <v>16</v>
      </c>
      <c r="R21" s="25">
        <f t="shared" si="5"/>
        <v>1</v>
      </c>
      <c r="S21" s="25">
        <f t="shared" si="6"/>
        <v>1</v>
      </c>
      <c r="T21" s="25">
        <f t="shared" si="7"/>
        <v>1</v>
      </c>
      <c r="U21" s="25">
        <f t="shared" si="8"/>
        <v>1</v>
      </c>
      <c r="V21" s="25">
        <f t="shared" si="9"/>
        <v>1</v>
      </c>
      <c r="W21" s="25">
        <f t="shared" si="10"/>
        <v>0</v>
      </c>
      <c r="X21" s="25">
        <f t="shared" si="11"/>
        <v>1</v>
      </c>
      <c r="Y21" s="25">
        <f t="shared" si="12"/>
        <v>1</v>
      </c>
      <c r="Z21" s="25">
        <f t="shared" si="13"/>
        <v>1</v>
      </c>
      <c r="AA21" s="25">
        <f t="shared" si="14"/>
        <v>0</v>
      </c>
      <c r="AB21" s="3">
        <f t="shared" si="15"/>
        <v>0.8</v>
      </c>
      <c r="AC21" s="3">
        <f t="shared" si="16"/>
        <v>0.19999999999999996</v>
      </c>
      <c r="AD21" s="3">
        <f t="shared" si="17"/>
        <v>0.15999999999999998</v>
      </c>
      <c r="AE21" s="20"/>
    </row>
    <row r="22" spans="1:31" ht="112" x14ac:dyDescent="0.3">
      <c r="A22" s="30" t="s">
        <v>448</v>
      </c>
      <c r="B22" s="25">
        <v>1</v>
      </c>
      <c r="C22" s="25">
        <v>1</v>
      </c>
      <c r="D22" s="25">
        <v>1</v>
      </c>
      <c r="E22" s="25">
        <v>1</v>
      </c>
      <c r="F22" s="25">
        <v>1</v>
      </c>
      <c r="G22" s="25">
        <v>0</v>
      </c>
      <c r="H22" s="25">
        <v>1</v>
      </c>
      <c r="I22" s="25">
        <v>1</v>
      </c>
      <c r="J22" s="25">
        <v>1</v>
      </c>
      <c r="K22" s="25">
        <v>0</v>
      </c>
      <c r="L22" s="12">
        <f t="shared" si="0"/>
        <v>0.8</v>
      </c>
      <c r="M22" s="25" t="str">
        <f t="shared" si="1"/>
        <v>mudah</v>
      </c>
      <c r="N22" s="12">
        <f t="shared" si="2"/>
        <v>0.4</v>
      </c>
      <c r="O22" s="25" t="str">
        <f t="shared" si="3"/>
        <v>soal diterima baik</v>
      </c>
      <c r="P22" s="33"/>
      <c r="Q22" s="26">
        <v>17</v>
      </c>
      <c r="R22" s="25">
        <f t="shared" si="5"/>
        <v>1</v>
      </c>
      <c r="S22" s="25">
        <f t="shared" si="6"/>
        <v>1</v>
      </c>
      <c r="T22" s="25">
        <f t="shared" si="7"/>
        <v>1</v>
      </c>
      <c r="U22" s="25">
        <f t="shared" si="8"/>
        <v>1</v>
      </c>
      <c r="V22" s="25">
        <f t="shared" si="9"/>
        <v>1</v>
      </c>
      <c r="W22" s="25">
        <f t="shared" si="10"/>
        <v>0</v>
      </c>
      <c r="X22" s="25">
        <f t="shared" si="11"/>
        <v>0</v>
      </c>
      <c r="Y22" s="25">
        <f t="shared" si="12"/>
        <v>1</v>
      </c>
      <c r="Z22" s="25">
        <f t="shared" si="13"/>
        <v>0</v>
      </c>
      <c r="AA22" s="25">
        <f t="shared" si="14"/>
        <v>0</v>
      </c>
      <c r="AB22" s="3">
        <f t="shared" si="15"/>
        <v>0.6</v>
      </c>
      <c r="AC22" s="3">
        <f t="shared" si="16"/>
        <v>0.4</v>
      </c>
      <c r="AD22" s="3">
        <f t="shared" si="17"/>
        <v>0.24</v>
      </c>
      <c r="AE22" s="20"/>
    </row>
    <row r="23" spans="1:31" ht="56" x14ac:dyDescent="0.3">
      <c r="A23" s="28" t="s">
        <v>449</v>
      </c>
      <c r="B23" s="25">
        <v>0</v>
      </c>
      <c r="C23" s="25">
        <v>0</v>
      </c>
      <c r="D23" s="25">
        <v>0</v>
      </c>
      <c r="E23" s="25">
        <v>0</v>
      </c>
      <c r="F23" s="25">
        <v>0</v>
      </c>
      <c r="G23" s="25">
        <v>1</v>
      </c>
      <c r="H23" s="25">
        <v>1</v>
      </c>
      <c r="I23" s="25">
        <v>0</v>
      </c>
      <c r="J23" s="25">
        <v>1</v>
      </c>
      <c r="K23" s="25">
        <v>1</v>
      </c>
      <c r="L23" s="12">
        <f t="shared" si="0"/>
        <v>0.4</v>
      </c>
      <c r="M23" s="25" t="str">
        <f t="shared" si="1"/>
        <v>sedang</v>
      </c>
      <c r="N23" s="12">
        <f t="shared" si="2"/>
        <v>0.8</v>
      </c>
      <c r="O23" s="25" t="str">
        <f t="shared" si="3"/>
        <v>soal diterima baik</v>
      </c>
      <c r="P23" s="33"/>
      <c r="Q23" s="26">
        <v>18</v>
      </c>
      <c r="R23" s="25">
        <f t="shared" si="5"/>
        <v>1</v>
      </c>
      <c r="S23" s="25">
        <f t="shared" si="6"/>
        <v>1</v>
      </c>
      <c r="T23" s="25">
        <f t="shared" si="7"/>
        <v>1</v>
      </c>
      <c r="U23" s="25">
        <f t="shared" si="8"/>
        <v>1</v>
      </c>
      <c r="V23" s="25">
        <f t="shared" si="9"/>
        <v>1</v>
      </c>
      <c r="W23" s="25">
        <f t="shared" si="10"/>
        <v>0</v>
      </c>
      <c r="X23" s="25">
        <f t="shared" si="11"/>
        <v>1</v>
      </c>
      <c r="Y23" s="25">
        <f t="shared" si="12"/>
        <v>1</v>
      </c>
      <c r="Z23" s="25">
        <f t="shared" si="13"/>
        <v>1</v>
      </c>
      <c r="AA23" s="25">
        <f t="shared" si="14"/>
        <v>0</v>
      </c>
      <c r="AB23" s="3">
        <f t="shared" si="15"/>
        <v>0.8</v>
      </c>
      <c r="AC23" s="3">
        <f t="shared" si="16"/>
        <v>0.19999999999999996</v>
      </c>
      <c r="AD23" s="3">
        <f t="shared" si="17"/>
        <v>0.15999999999999998</v>
      </c>
      <c r="AE23" s="20"/>
    </row>
    <row r="24" spans="1:31" ht="56" x14ac:dyDescent="0.3">
      <c r="A24" s="28" t="s">
        <v>450</v>
      </c>
      <c r="B24" s="25">
        <v>0</v>
      </c>
      <c r="C24" s="25">
        <v>1</v>
      </c>
      <c r="D24" s="25">
        <v>0</v>
      </c>
      <c r="E24" s="25">
        <v>0</v>
      </c>
      <c r="F24" s="25">
        <v>0</v>
      </c>
      <c r="G24" s="25">
        <v>0</v>
      </c>
      <c r="H24" s="25">
        <v>1</v>
      </c>
      <c r="I24" s="25">
        <v>0</v>
      </c>
      <c r="J24" s="25">
        <v>1</v>
      </c>
      <c r="K24" s="25">
        <v>1</v>
      </c>
      <c r="L24" s="12">
        <f t="shared" si="0"/>
        <v>0.4</v>
      </c>
      <c r="M24" s="25" t="str">
        <f t="shared" si="1"/>
        <v>sedang</v>
      </c>
      <c r="N24" s="12">
        <f t="shared" si="2"/>
        <v>0.4</v>
      </c>
      <c r="O24" s="25" t="str">
        <f t="shared" si="3"/>
        <v>soal diterima baik</v>
      </c>
      <c r="P24" s="33"/>
      <c r="Q24" s="26">
        <v>19</v>
      </c>
      <c r="R24" s="25">
        <f t="shared" si="5"/>
        <v>0</v>
      </c>
      <c r="S24" s="25">
        <f t="shared" si="6"/>
        <v>0</v>
      </c>
      <c r="T24" s="25">
        <f t="shared" si="7"/>
        <v>0</v>
      </c>
      <c r="U24" s="25">
        <f t="shared" si="8"/>
        <v>0</v>
      </c>
      <c r="V24" s="25">
        <f t="shared" si="9"/>
        <v>0</v>
      </c>
      <c r="W24" s="25">
        <f t="shared" si="10"/>
        <v>1</v>
      </c>
      <c r="X24" s="25">
        <f t="shared" si="11"/>
        <v>1</v>
      </c>
      <c r="Y24" s="25">
        <f t="shared" si="12"/>
        <v>0</v>
      </c>
      <c r="Z24" s="25">
        <f t="shared" si="13"/>
        <v>1</v>
      </c>
      <c r="AA24" s="25">
        <f t="shared" si="14"/>
        <v>1</v>
      </c>
      <c r="AB24" s="3">
        <f t="shared" si="15"/>
        <v>0.4</v>
      </c>
      <c r="AC24" s="3">
        <f t="shared" si="16"/>
        <v>0.6</v>
      </c>
      <c r="AD24" s="3">
        <f t="shared" si="17"/>
        <v>0.24</v>
      </c>
      <c r="AE24" s="20"/>
    </row>
    <row r="25" spans="1:31" ht="56" x14ac:dyDescent="0.3">
      <c r="A25" s="30" t="s">
        <v>451</v>
      </c>
      <c r="B25" s="25">
        <v>1</v>
      </c>
      <c r="C25" s="25">
        <v>0</v>
      </c>
      <c r="D25" s="25">
        <v>1</v>
      </c>
      <c r="E25" s="25">
        <v>0</v>
      </c>
      <c r="F25" s="25">
        <v>1</v>
      </c>
      <c r="G25" s="25">
        <v>1</v>
      </c>
      <c r="H25" s="25">
        <v>1</v>
      </c>
      <c r="I25" s="25">
        <v>1</v>
      </c>
      <c r="J25" s="25">
        <v>1</v>
      </c>
      <c r="K25" s="25">
        <v>1</v>
      </c>
      <c r="L25" s="12">
        <f t="shared" si="0"/>
        <v>0.8</v>
      </c>
      <c r="M25" s="25" t="str">
        <f t="shared" si="1"/>
        <v>mudah</v>
      </c>
      <c r="N25" s="12">
        <f t="shared" si="2"/>
        <v>0.4</v>
      </c>
      <c r="O25" s="25" t="str">
        <f t="shared" si="3"/>
        <v>soal diterima baik</v>
      </c>
      <c r="P25" s="33"/>
      <c r="Q25" s="26">
        <v>20</v>
      </c>
      <c r="R25" s="25">
        <f t="shared" si="5"/>
        <v>0</v>
      </c>
      <c r="S25" s="25">
        <f t="shared" si="6"/>
        <v>1</v>
      </c>
      <c r="T25" s="25">
        <f t="shared" si="7"/>
        <v>0</v>
      </c>
      <c r="U25" s="25">
        <f t="shared" si="8"/>
        <v>0</v>
      </c>
      <c r="V25" s="25">
        <f t="shared" si="9"/>
        <v>0</v>
      </c>
      <c r="W25" s="25">
        <f t="shared" si="10"/>
        <v>0</v>
      </c>
      <c r="X25" s="25">
        <f t="shared" si="11"/>
        <v>1</v>
      </c>
      <c r="Y25" s="25">
        <f t="shared" si="12"/>
        <v>0</v>
      </c>
      <c r="Z25" s="25">
        <f t="shared" si="13"/>
        <v>1</v>
      </c>
      <c r="AA25" s="25">
        <f t="shared" si="14"/>
        <v>1</v>
      </c>
      <c r="AB25" s="3">
        <f t="shared" si="15"/>
        <v>0.4</v>
      </c>
      <c r="AC25" s="3">
        <f t="shared" si="16"/>
        <v>0.6</v>
      </c>
      <c r="AD25" s="3">
        <f t="shared" si="17"/>
        <v>0.24</v>
      </c>
      <c r="AE25" s="20"/>
    </row>
    <row r="26" spans="1:31" ht="70" x14ac:dyDescent="0.3">
      <c r="A26" s="30" t="s">
        <v>452</v>
      </c>
      <c r="B26" s="25">
        <v>0</v>
      </c>
      <c r="C26" s="25">
        <v>0</v>
      </c>
      <c r="D26" s="25">
        <v>0</v>
      </c>
      <c r="E26" s="25">
        <v>1</v>
      </c>
      <c r="F26" s="25">
        <v>0</v>
      </c>
      <c r="G26" s="25">
        <v>0</v>
      </c>
      <c r="H26" s="25">
        <v>1</v>
      </c>
      <c r="I26" s="25">
        <v>1</v>
      </c>
      <c r="J26" s="25">
        <v>0</v>
      </c>
      <c r="K26" s="25">
        <v>1</v>
      </c>
      <c r="L26" s="12">
        <f t="shared" si="0"/>
        <v>0.4</v>
      </c>
      <c r="M26" s="25" t="str">
        <f t="shared" si="1"/>
        <v>sedang</v>
      </c>
      <c r="N26" s="12">
        <f t="shared" si="2"/>
        <v>0.4</v>
      </c>
      <c r="O26" s="25" t="str">
        <f t="shared" si="3"/>
        <v>soal diterima baik</v>
      </c>
      <c r="P26" s="33"/>
      <c r="Q26" s="26">
        <v>21</v>
      </c>
      <c r="R26" s="25">
        <f t="shared" si="5"/>
        <v>1</v>
      </c>
      <c r="S26" s="25">
        <f t="shared" si="6"/>
        <v>0</v>
      </c>
      <c r="T26" s="25">
        <f t="shared" si="7"/>
        <v>1</v>
      </c>
      <c r="U26" s="25">
        <f t="shared" si="8"/>
        <v>0</v>
      </c>
      <c r="V26" s="25">
        <f t="shared" si="9"/>
        <v>1</v>
      </c>
      <c r="W26" s="25">
        <f t="shared" si="10"/>
        <v>1</v>
      </c>
      <c r="X26" s="25">
        <f t="shared" si="11"/>
        <v>1</v>
      </c>
      <c r="Y26" s="25">
        <f t="shared" si="12"/>
        <v>1</v>
      </c>
      <c r="Z26" s="25">
        <f t="shared" si="13"/>
        <v>1</v>
      </c>
      <c r="AA26" s="25">
        <f t="shared" si="14"/>
        <v>1</v>
      </c>
      <c r="AB26" s="3">
        <f t="shared" si="15"/>
        <v>0.8</v>
      </c>
      <c r="AC26" s="3">
        <f t="shared" si="16"/>
        <v>0.19999999999999996</v>
      </c>
      <c r="AD26" s="3">
        <f t="shared" si="17"/>
        <v>0.15999999999999998</v>
      </c>
      <c r="AE26" s="20"/>
    </row>
    <row r="27" spans="1:31" ht="56" x14ac:dyDescent="0.3">
      <c r="A27" s="28" t="s">
        <v>453</v>
      </c>
      <c r="B27" s="25">
        <v>1</v>
      </c>
      <c r="C27" s="25">
        <v>0</v>
      </c>
      <c r="D27" s="25">
        <v>1</v>
      </c>
      <c r="E27" s="25">
        <v>0</v>
      </c>
      <c r="F27" s="25">
        <v>0</v>
      </c>
      <c r="G27" s="25">
        <v>0</v>
      </c>
      <c r="H27" s="25">
        <v>0</v>
      </c>
      <c r="I27" s="25">
        <v>0</v>
      </c>
      <c r="J27" s="25">
        <v>0</v>
      </c>
      <c r="K27" s="25">
        <v>0</v>
      </c>
      <c r="L27" s="12">
        <f t="shared" si="0"/>
        <v>0.2</v>
      </c>
      <c r="M27" s="25" t="str">
        <f t="shared" si="1"/>
        <v>sukar</v>
      </c>
      <c r="N27" s="12">
        <f t="shared" si="2"/>
        <v>0.4</v>
      </c>
      <c r="O27" s="25" t="str">
        <f t="shared" si="3"/>
        <v>soal diterima baik</v>
      </c>
      <c r="P27" s="33"/>
      <c r="Q27" s="26">
        <v>22</v>
      </c>
      <c r="R27" s="25">
        <f t="shared" si="5"/>
        <v>0</v>
      </c>
      <c r="S27" s="25">
        <f t="shared" si="6"/>
        <v>0</v>
      </c>
      <c r="T27" s="25">
        <f t="shared" si="7"/>
        <v>0</v>
      </c>
      <c r="U27" s="25">
        <f t="shared" si="8"/>
        <v>1</v>
      </c>
      <c r="V27" s="25">
        <f t="shared" si="9"/>
        <v>0</v>
      </c>
      <c r="W27" s="25">
        <f t="shared" si="10"/>
        <v>0</v>
      </c>
      <c r="X27" s="25">
        <f t="shared" si="11"/>
        <v>1</v>
      </c>
      <c r="Y27" s="25">
        <f t="shared" si="12"/>
        <v>1</v>
      </c>
      <c r="Z27" s="25">
        <f t="shared" si="13"/>
        <v>0</v>
      </c>
      <c r="AA27" s="25">
        <f t="shared" si="14"/>
        <v>1</v>
      </c>
      <c r="AB27" s="3">
        <f t="shared" si="15"/>
        <v>0.4</v>
      </c>
      <c r="AC27" s="3">
        <f t="shared" si="16"/>
        <v>0.6</v>
      </c>
      <c r="AD27" s="3">
        <f t="shared" si="17"/>
        <v>0.24</v>
      </c>
      <c r="AE27" s="20"/>
    </row>
    <row r="28" spans="1:31" ht="56" x14ac:dyDescent="0.3">
      <c r="A28" s="30" t="s">
        <v>454</v>
      </c>
      <c r="B28" s="25">
        <v>0</v>
      </c>
      <c r="C28" s="25">
        <v>0</v>
      </c>
      <c r="D28" s="25">
        <v>1</v>
      </c>
      <c r="E28" s="25">
        <v>0</v>
      </c>
      <c r="F28" s="25">
        <v>0</v>
      </c>
      <c r="G28" s="25">
        <v>1</v>
      </c>
      <c r="H28" s="25">
        <v>1</v>
      </c>
      <c r="I28" s="25">
        <v>0</v>
      </c>
      <c r="J28" s="25">
        <v>0</v>
      </c>
      <c r="K28" s="25">
        <v>1</v>
      </c>
      <c r="L28" s="12">
        <f t="shared" si="0"/>
        <v>0.4</v>
      </c>
      <c r="M28" s="25" t="str">
        <f t="shared" si="1"/>
        <v>sedang</v>
      </c>
      <c r="N28" s="12">
        <f t="shared" si="2"/>
        <v>0.4</v>
      </c>
      <c r="O28" s="25" t="str">
        <f t="shared" si="3"/>
        <v>soal diterima baik</v>
      </c>
      <c r="P28" s="33"/>
      <c r="Q28" s="26">
        <v>23</v>
      </c>
      <c r="R28" s="25">
        <f t="shared" si="5"/>
        <v>1</v>
      </c>
      <c r="S28" s="25">
        <f t="shared" si="6"/>
        <v>0</v>
      </c>
      <c r="T28" s="25">
        <f t="shared" si="7"/>
        <v>1</v>
      </c>
      <c r="U28" s="25">
        <f t="shared" si="8"/>
        <v>0</v>
      </c>
      <c r="V28" s="25">
        <f t="shared" si="9"/>
        <v>0</v>
      </c>
      <c r="W28" s="25">
        <f t="shared" si="10"/>
        <v>0</v>
      </c>
      <c r="X28" s="25">
        <f t="shared" si="11"/>
        <v>0</v>
      </c>
      <c r="Y28" s="25">
        <f t="shared" si="12"/>
        <v>0</v>
      </c>
      <c r="Z28" s="25">
        <f t="shared" si="13"/>
        <v>0</v>
      </c>
      <c r="AA28" s="25">
        <f t="shared" si="14"/>
        <v>0</v>
      </c>
      <c r="AB28" s="3">
        <f t="shared" si="15"/>
        <v>0.2</v>
      </c>
      <c r="AC28" s="3">
        <f t="shared" si="16"/>
        <v>0.8</v>
      </c>
      <c r="AD28" s="3">
        <f t="shared" si="17"/>
        <v>0.16000000000000003</v>
      </c>
      <c r="AE28" s="20"/>
    </row>
    <row r="29" spans="1:31" ht="56" x14ac:dyDescent="0.3">
      <c r="A29" s="24" t="s">
        <v>455</v>
      </c>
      <c r="B29" s="25">
        <v>0</v>
      </c>
      <c r="C29" s="25">
        <v>1</v>
      </c>
      <c r="D29" s="25">
        <v>0</v>
      </c>
      <c r="E29" s="25">
        <v>1</v>
      </c>
      <c r="F29" s="25">
        <v>1</v>
      </c>
      <c r="G29" s="25">
        <v>1</v>
      </c>
      <c r="H29" s="25">
        <v>1</v>
      </c>
      <c r="I29" s="25">
        <v>1</v>
      </c>
      <c r="J29" s="25">
        <v>1</v>
      </c>
      <c r="K29" s="25">
        <v>1</v>
      </c>
      <c r="L29" s="12">
        <f t="shared" si="0"/>
        <v>0.8</v>
      </c>
      <c r="M29" s="25" t="str">
        <f t="shared" si="1"/>
        <v>mudah</v>
      </c>
      <c r="N29" s="12">
        <f t="shared" si="2"/>
        <v>0.4</v>
      </c>
      <c r="O29" s="25" t="str">
        <f t="shared" si="3"/>
        <v>soal diterima baik</v>
      </c>
      <c r="P29" s="33"/>
      <c r="Q29" s="26">
        <v>24</v>
      </c>
      <c r="R29" s="25">
        <f t="shared" si="5"/>
        <v>0</v>
      </c>
      <c r="S29" s="25">
        <f t="shared" si="6"/>
        <v>0</v>
      </c>
      <c r="T29" s="25">
        <f t="shared" si="7"/>
        <v>1</v>
      </c>
      <c r="U29" s="25">
        <f t="shared" si="8"/>
        <v>0</v>
      </c>
      <c r="V29" s="25">
        <f t="shared" si="9"/>
        <v>0</v>
      </c>
      <c r="W29" s="25">
        <f t="shared" si="10"/>
        <v>1</v>
      </c>
      <c r="X29" s="25">
        <f t="shared" si="11"/>
        <v>1</v>
      </c>
      <c r="Y29" s="25">
        <f t="shared" si="12"/>
        <v>0</v>
      </c>
      <c r="Z29" s="25">
        <f t="shared" si="13"/>
        <v>0</v>
      </c>
      <c r="AA29" s="25">
        <f t="shared" si="14"/>
        <v>1</v>
      </c>
      <c r="AB29" s="3">
        <f t="shared" si="15"/>
        <v>0.4</v>
      </c>
      <c r="AC29" s="3">
        <f t="shared" si="16"/>
        <v>0.6</v>
      </c>
      <c r="AD29" s="3">
        <f t="shared" si="17"/>
        <v>0.24</v>
      </c>
      <c r="AE29" s="20"/>
    </row>
    <row r="30" spans="1:31" ht="28" x14ac:dyDescent="0.3">
      <c r="A30" s="28" t="s">
        <v>456</v>
      </c>
      <c r="B30" s="25">
        <v>0</v>
      </c>
      <c r="C30" s="25">
        <v>1</v>
      </c>
      <c r="D30" s="25">
        <v>0</v>
      </c>
      <c r="E30" s="25">
        <v>1</v>
      </c>
      <c r="F30" s="25">
        <v>1</v>
      </c>
      <c r="G30" s="25">
        <v>1</v>
      </c>
      <c r="H30" s="25">
        <v>1</v>
      </c>
      <c r="I30" s="25">
        <v>1</v>
      </c>
      <c r="J30" s="25">
        <v>1</v>
      </c>
      <c r="K30" s="25">
        <v>1</v>
      </c>
      <c r="L30" s="12">
        <f t="shared" si="0"/>
        <v>0.8</v>
      </c>
      <c r="M30" s="25" t="str">
        <f t="shared" si="1"/>
        <v>mudah</v>
      </c>
      <c r="N30" s="12">
        <f t="shared" si="2"/>
        <v>0.4</v>
      </c>
      <c r="O30" s="25" t="str">
        <f t="shared" si="3"/>
        <v>soal diterima baik</v>
      </c>
      <c r="P30" s="33"/>
      <c r="Q30" s="26">
        <v>25</v>
      </c>
      <c r="R30" s="25">
        <f t="shared" si="5"/>
        <v>0</v>
      </c>
      <c r="S30" s="25">
        <f t="shared" si="6"/>
        <v>1</v>
      </c>
      <c r="T30" s="25">
        <f t="shared" si="7"/>
        <v>0</v>
      </c>
      <c r="U30" s="25">
        <f t="shared" si="8"/>
        <v>1</v>
      </c>
      <c r="V30" s="25">
        <f t="shared" si="9"/>
        <v>1</v>
      </c>
      <c r="W30" s="25">
        <f t="shared" si="10"/>
        <v>1</v>
      </c>
      <c r="X30" s="25">
        <f t="shared" si="11"/>
        <v>1</v>
      </c>
      <c r="Y30" s="25">
        <f t="shared" si="12"/>
        <v>1</v>
      </c>
      <c r="Z30" s="25">
        <f t="shared" si="13"/>
        <v>1</v>
      </c>
      <c r="AA30" s="25">
        <f t="shared" si="14"/>
        <v>1</v>
      </c>
      <c r="AB30" s="3">
        <f t="shared" si="15"/>
        <v>0.8</v>
      </c>
      <c r="AC30" s="3">
        <f t="shared" si="16"/>
        <v>0.19999999999999996</v>
      </c>
      <c r="AD30" s="3">
        <f t="shared" si="17"/>
        <v>0.15999999999999998</v>
      </c>
      <c r="AE30" s="20"/>
    </row>
    <row r="31" spans="1:31" ht="42" x14ac:dyDescent="0.3">
      <c r="A31" s="28" t="s">
        <v>457</v>
      </c>
      <c r="B31" s="25">
        <v>1</v>
      </c>
      <c r="C31" s="25">
        <v>1</v>
      </c>
      <c r="D31" s="25">
        <v>1</v>
      </c>
      <c r="E31" s="25">
        <v>0</v>
      </c>
      <c r="F31" s="25">
        <v>0</v>
      </c>
      <c r="G31" s="25">
        <v>0</v>
      </c>
      <c r="H31" s="25">
        <v>0</v>
      </c>
      <c r="I31" s="25">
        <v>0</v>
      </c>
      <c r="J31" s="25">
        <v>1</v>
      </c>
      <c r="K31" s="25">
        <v>0</v>
      </c>
      <c r="L31" s="12">
        <f t="shared" si="0"/>
        <v>0.4</v>
      </c>
      <c r="M31" s="25" t="str">
        <f t="shared" si="1"/>
        <v>sedang</v>
      </c>
      <c r="N31" s="12">
        <f t="shared" si="2"/>
        <v>0.4</v>
      </c>
      <c r="O31" s="25" t="str">
        <f t="shared" si="3"/>
        <v>soal diterima baik</v>
      </c>
      <c r="P31" s="33"/>
      <c r="Q31" s="26">
        <v>26</v>
      </c>
      <c r="R31" s="25">
        <f t="shared" si="5"/>
        <v>0</v>
      </c>
      <c r="S31" s="25">
        <f t="shared" si="6"/>
        <v>1</v>
      </c>
      <c r="T31" s="25">
        <f t="shared" si="7"/>
        <v>0</v>
      </c>
      <c r="U31" s="25">
        <f t="shared" si="8"/>
        <v>1</v>
      </c>
      <c r="V31" s="25">
        <f t="shared" si="9"/>
        <v>1</v>
      </c>
      <c r="W31" s="25">
        <f t="shared" si="10"/>
        <v>1</v>
      </c>
      <c r="X31" s="25">
        <f t="shared" si="11"/>
        <v>1</v>
      </c>
      <c r="Y31" s="25">
        <f t="shared" si="12"/>
        <v>1</v>
      </c>
      <c r="Z31" s="25">
        <f t="shared" si="13"/>
        <v>1</v>
      </c>
      <c r="AA31" s="25">
        <f t="shared" si="14"/>
        <v>1</v>
      </c>
      <c r="AB31" s="3">
        <f t="shared" si="15"/>
        <v>0.8</v>
      </c>
      <c r="AC31" s="3">
        <f t="shared" si="16"/>
        <v>0.19999999999999996</v>
      </c>
      <c r="AD31" s="3">
        <f t="shared" si="17"/>
        <v>0.15999999999999998</v>
      </c>
      <c r="AE31" s="20"/>
    </row>
    <row r="32" spans="1:31" ht="56" x14ac:dyDescent="0.3">
      <c r="A32" s="24" t="s">
        <v>458</v>
      </c>
      <c r="B32" s="25">
        <v>0</v>
      </c>
      <c r="C32" s="25">
        <v>0</v>
      </c>
      <c r="D32" s="25">
        <v>0</v>
      </c>
      <c r="E32" s="25">
        <v>0</v>
      </c>
      <c r="F32" s="25">
        <v>0</v>
      </c>
      <c r="G32" s="25">
        <v>0</v>
      </c>
      <c r="H32" s="25">
        <v>0</v>
      </c>
      <c r="I32" s="25">
        <v>1</v>
      </c>
      <c r="J32" s="25">
        <v>0</v>
      </c>
      <c r="K32" s="25">
        <v>1</v>
      </c>
      <c r="L32" s="12">
        <f t="shared" si="0"/>
        <v>0.2</v>
      </c>
      <c r="M32" s="25" t="str">
        <f t="shared" si="1"/>
        <v>sukar</v>
      </c>
      <c r="N32" s="12">
        <f t="shared" si="2"/>
        <v>0.4</v>
      </c>
      <c r="O32" s="25" t="str">
        <f t="shared" si="3"/>
        <v>soal diterima baik</v>
      </c>
      <c r="P32" s="33"/>
      <c r="Q32" s="26">
        <v>27</v>
      </c>
      <c r="R32" s="25">
        <f t="shared" si="5"/>
        <v>1</v>
      </c>
      <c r="S32" s="25">
        <f t="shared" si="6"/>
        <v>1</v>
      </c>
      <c r="T32" s="25">
        <f t="shared" si="7"/>
        <v>1</v>
      </c>
      <c r="U32" s="25">
        <f t="shared" si="8"/>
        <v>0</v>
      </c>
      <c r="V32" s="25">
        <f t="shared" si="9"/>
        <v>0</v>
      </c>
      <c r="W32" s="25">
        <f t="shared" si="10"/>
        <v>0</v>
      </c>
      <c r="X32" s="25">
        <f t="shared" si="11"/>
        <v>0</v>
      </c>
      <c r="Y32" s="25">
        <f t="shared" si="12"/>
        <v>0</v>
      </c>
      <c r="Z32" s="25">
        <f t="shared" si="13"/>
        <v>1</v>
      </c>
      <c r="AA32" s="25">
        <f t="shared" si="14"/>
        <v>0</v>
      </c>
      <c r="AB32" s="3">
        <f t="shared" si="15"/>
        <v>0.4</v>
      </c>
      <c r="AC32" s="3">
        <f t="shared" si="16"/>
        <v>0.6</v>
      </c>
      <c r="AD32" s="3">
        <f t="shared" si="17"/>
        <v>0.24</v>
      </c>
      <c r="AE32" s="20"/>
    </row>
    <row r="33" spans="1:31" ht="70" x14ac:dyDescent="0.3">
      <c r="A33" s="30" t="s">
        <v>459</v>
      </c>
      <c r="B33" s="25">
        <v>0</v>
      </c>
      <c r="C33" s="25">
        <v>0</v>
      </c>
      <c r="D33" s="25">
        <v>0</v>
      </c>
      <c r="E33" s="25">
        <v>1</v>
      </c>
      <c r="F33" s="25">
        <v>0</v>
      </c>
      <c r="G33" s="25">
        <v>0</v>
      </c>
      <c r="H33" s="25">
        <v>1</v>
      </c>
      <c r="I33" s="25">
        <v>1</v>
      </c>
      <c r="J33" s="25">
        <v>1</v>
      </c>
      <c r="K33" s="25">
        <v>0</v>
      </c>
      <c r="L33" s="12">
        <f t="shared" si="0"/>
        <v>0.4</v>
      </c>
      <c r="M33" s="25" t="str">
        <f t="shared" si="1"/>
        <v>sedang</v>
      </c>
      <c r="N33" s="12">
        <f t="shared" si="2"/>
        <v>0.4</v>
      </c>
      <c r="O33" s="25" t="str">
        <f t="shared" si="3"/>
        <v>soal diterima baik</v>
      </c>
      <c r="P33" s="33"/>
      <c r="Q33" s="26">
        <v>28</v>
      </c>
      <c r="R33" s="25">
        <f t="shared" si="5"/>
        <v>0</v>
      </c>
      <c r="S33" s="25">
        <f t="shared" si="6"/>
        <v>0</v>
      </c>
      <c r="T33" s="25">
        <f t="shared" si="7"/>
        <v>0</v>
      </c>
      <c r="U33" s="25">
        <f t="shared" si="8"/>
        <v>0</v>
      </c>
      <c r="V33" s="25">
        <f t="shared" si="9"/>
        <v>0</v>
      </c>
      <c r="W33" s="25">
        <f t="shared" si="10"/>
        <v>0</v>
      </c>
      <c r="X33" s="25">
        <f t="shared" si="11"/>
        <v>0</v>
      </c>
      <c r="Y33" s="25">
        <f t="shared" si="12"/>
        <v>1</v>
      </c>
      <c r="Z33" s="25">
        <f t="shared" si="13"/>
        <v>0</v>
      </c>
      <c r="AA33" s="25">
        <f t="shared" si="14"/>
        <v>1</v>
      </c>
      <c r="AB33" s="3">
        <f t="shared" si="15"/>
        <v>0.2</v>
      </c>
      <c r="AC33" s="3">
        <f t="shared" si="16"/>
        <v>0.8</v>
      </c>
      <c r="AD33" s="3">
        <f t="shared" si="17"/>
        <v>0.16000000000000003</v>
      </c>
      <c r="AE33" s="20"/>
    </row>
    <row r="34" spans="1:31" ht="42" x14ac:dyDescent="0.3">
      <c r="A34" s="24" t="s">
        <v>460</v>
      </c>
      <c r="B34" s="25">
        <v>1</v>
      </c>
      <c r="C34" s="25">
        <v>0</v>
      </c>
      <c r="D34" s="25">
        <v>0</v>
      </c>
      <c r="E34" s="25">
        <v>0</v>
      </c>
      <c r="F34" s="25">
        <v>0</v>
      </c>
      <c r="G34" s="25">
        <v>0</v>
      </c>
      <c r="H34" s="25">
        <v>1</v>
      </c>
      <c r="I34" s="25">
        <v>0</v>
      </c>
      <c r="J34" s="25">
        <v>1</v>
      </c>
      <c r="K34" s="25">
        <v>1</v>
      </c>
      <c r="L34" s="12">
        <f t="shared" si="0"/>
        <v>0.4</v>
      </c>
      <c r="M34" s="25" t="str">
        <f t="shared" si="1"/>
        <v>sedang</v>
      </c>
      <c r="N34" s="12">
        <f t="shared" si="2"/>
        <v>0.4</v>
      </c>
      <c r="O34" s="25" t="str">
        <f t="shared" si="3"/>
        <v>soal diterima baik</v>
      </c>
      <c r="P34" s="33"/>
      <c r="Q34" s="26">
        <v>29</v>
      </c>
      <c r="R34" s="25">
        <f t="shared" si="5"/>
        <v>0</v>
      </c>
      <c r="S34" s="25">
        <f t="shared" si="6"/>
        <v>0</v>
      </c>
      <c r="T34" s="25">
        <f t="shared" si="7"/>
        <v>0</v>
      </c>
      <c r="U34" s="25">
        <f t="shared" si="8"/>
        <v>1</v>
      </c>
      <c r="V34" s="25">
        <f t="shared" si="9"/>
        <v>0</v>
      </c>
      <c r="W34" s="25">
        <f t="shared" si="10"/>
        <v>0</v>
      </c>
      <c r="X34" s="25">
        <f t="shared" si="11"/>
        <v>1</v>
      </c>
      <c r="Y34" s="25">
        <f t="shared" si="12"/>
        <v>1</v>
      </c>
      <c r="Z34" s="25">
        <f t="shared" si="13"/>
        <v>1</v>
      </c>
      <c r="AA34" s="25">
        <f t="shared" si="14"/>
        <v>0</v>
      </c>
      <c r="AB34" s="3">
        <f t="shared" si="15"/>
        <v>0.4</v>
      </c>
      <c r="AC34" s="3">
        <f t="shared" si="16"/>
        <v>0.6</v>
      </c>
      <c r="AD34" s="3">
        <f t="shared" si="17"/>
        <v>0.24</v>
      </c>
      <c r="AE34" s="20"/>
    </row>
    <row r="35" spans="1:31" ht="42" x14ac:dyDescent="0.3">
      <c r="A35" s="30" t="s">
        <v>461</v>
      </c>
      <c r="B35" s="25">
        <v>1</v>
      </c>
      <c r="C35" s="25">
        <v>0</v>
      </c>
      <c r="D35" s="25">
        <v>0</v>
      </c>
      <c r="E35" s="25">
        <v>0</v>
      </c>
      <c r="F35" s="25">
        <v>1</v>
      </c>
      <c r="G35" s="25">
        <v>0</v>
      </c>
      <c r="H35" s="25">
        <v>0</v>
      </c>
      <c r="I35" s="25">
        <v>0</v>
      </c>
      <c r="J35" s="25">
        <v>0</v>
      </c>
      <c r="K35" s="25">
        <v>0</v>
      </c>
      <c r="L35" s="12">
        <f t="shared" si="0"/>
        <v>0.2</v>
      </c>
      <c r="M35" s="25" t="str">
        <f t="shared" si="1"/>
        <v>sukar</v>
      </c>
      <c r="N35" s="12">
        <f t="shared" si="2"/>
        <v>0.4</v>
      </c>
      <c r="O35" s="25" t="str">
        <f t="shared" si="3"/>
        <v>soal diterima baik</v>
      </c>
      <c r="P35" s="33"/>
      <c r="Q35" s="26">
        <v>30</v>
      </c>
      <c r="R35" s="25">
        <f t="shared" si="5"/>
        <v>1</v>
      </c>
      <c r="S35" s="25">
        <f t="shared" si="6"/>
        <v>0</v>
      </c>
      <c r="T35" s="25">
        <f t="shared" si="7"/>
        <v>0</v>
      </c>
      <c r="U35" s="25">
        <f t="shared" si="8"/>
        <v>0</v>
      </c>
      <c r="V35" s="25">
        <f t="shared" si="9"/>
        <v>0</v>
      </c>
      <c r="W35" s="25">
        <f t="shared" si="10"/>
        <v>0</v>
      </c>
      <c r="X35" s="25">
        <f t="shared" si="11"/>
        <v>1</v>
      </c>
      <c r="Y35" s="25">
        <f t="shared" si="12"/>
        <v>0</v>
      </c>
      <c r="Z35" s="25">
        <f t="shared" si="13"/>
        <v>1</v>
      </c>
      <c r="AA35" s="25">
        <f t="shared" si="14"/>
        <v>1</v>
      </c>
      <c r="AB35" s="3">
        <f t="shared" si="15"/>
        <v>0.4</v>
      </c>
      <c r="AC35" s="3">
        <f t="shared" si="16"/>
        <v>0.6</v>
      </c>
      <c r="AD35" s="3">
        <f t="shared" si="17"/>
        <v>0.24</v>
      </c>
      <c r="AE35" s="20"/>
    </row>
    <row r="36" spans="1:31" ht="42" x14ac:dyDescent="0.3">
      <c r="A36" s="30" t="s">
        <v>462</v>
      </c>
      <c r="B36" s="25">
        <v>1</v>
      </c>
      <c r="C36" s="25">
        <v>1</v>
      </c>
      <c r="D36" s="25">
        <v>0</v>
      </c>
      <c r="E36" s="25">
        <v>1</v>
      </c>
      <c r="F36" s="25">
        <v>1</v>
      </c>
      <c r="G36" s="25">
        <v>0</v>
      </c>
      <c r="H36" s="25">
        <v>1</v>
      </c>
      <c r="I36" s="25">
        <v>0</v>
      </c>
      <c r="J36" s="25">
        <v>0</v>
      </c>
      <c r="K36" s="25">
        <v>1</v>
      </c>
      <c r="L36" s="12">
        <f t="shared" si="0"/>
        <v>0.6</v>
      </c>
      <c r="M36" s="25" t="str">
        <f t="shared" si="1"/>
        <v>sedang</v>
      </c>
      <c r="N36" s="12">
        <f t="shared" si="2"/>
        <v>0.4</v>
      </c>
      <c r="O36" s="25" t="str">
        <f t="shared" si="3"/>
        <v>soal diterima baik</v>
      </c>
      <c r="P36" s="33"/>
      <c r="Q36" s="26">
        <v>31</v>
      </c>
      <c r="R36" s="25">
        <f t="shared" si="5"/>
        <v>1</v>
      </c>
      <c r="S36" s="25">
        <f t="shared" si="6"/>
        <v>0</v>
      </c>
      <c r="T36" s="25">
        <f t="shared" si="7"/>
        <v>0</v>
      </c>
      <c r="U36" s="25">
        <f t="shared" si="8"/>
        <v>0</v>
      </c>
      <c r="V36" s="25">
        <f t="shared" si="9"/>
        <v>1</v>
      </c>
      <c r="W36" s="25">
        <f t="shared" si="10"/>
        <v>0</v>
      </c>
      <c r="X36" s="25">
        <f t="shared" si="11"/>
        <v>0</v>
      </c>
      <c r="Y36" s="25">
        <f t="shared" si="12"/>
        <v>0</v>
      </c>
      <c r="Z36" s="25">
        <f t="shared" si="13"/>
        <v>0</v>
      </c>
      <c r="AA36" s="25">
        <f t="shared" si="14"/>
        <v>0</v>
      </c>
      <c r="AB36" s="3">
        <f t="shared" si="15"/>
        <v>0.2</v>
      </c>
      <c r="AC36" s="3">
        <f t="shared" si="16"/>
        <v>0.8</v>
      </c>
      <c r="AD36" s="3">
        <f t="shared" si="17"/>
        <v>0.16000000000000003</v>
      </c>
      <c r="AE36" s="20"/>
    </row>
    <row r="37" spans="1:31" ht="42" x14ac:dyDescent="0.3">
      <c r="A37" s="24" t="s">
        <v>463</v>
      </c>
      <c r="B37" s="25">
        <v>1</v>
      </c>
      <c r="C37" s="25">
        <v>1</v>
      </c>
      <c r="D37" s="25">
        <v>1</v>
      </c>
      <c r="E37" s="25">
        <v>1</v>
      </c>
      <c r="F37" s="25">
        <v>1</v>
      </c>
      <c r="G37" s="25">
        <v>0</v>
      </c>
      <c r="H37" s="25">
        <v>1</v>
      </c>
      <c r="I37" s="25">
        <v>1</v>
      </c>
      <c r="J37" s="25">
        <v>0</v>
      </c>
      <c r="K37" s="25">
        <v>1</v>
      </c>
      <c r="L37" s="12">
        <f t="shared" si="0"/>
        <v>0.8</v>
      </c>
      <c r="M37" s="25" t="str">
        <f t="shared" si="1"/>
        <v>mudah</v>
      </c>
      <c r="N37" s="12">
        <f t="shared" si="2"/>
        <v>0.4</v>
      </c>
      <c r="O37" s="25" t="str">
        <f t="shared" si="3"/>
        <v>soal diterima baik</v>
      </c>
      <c r="P37" s="33"/>
      <c r="Q37" s="26">
        <v>32</v>
      </c>
      <c r="R37" s="25">
        <f t="shared" si="5"/>
        <v>1</v>
      </c>
      <c r="S37" s="25">
        <f t="shared" si="6"/>
        <v>1</v>
      </c>
      <c r="T37" s="25">
        <f t="shared" si="7"/>
        <v>0</v>
      </c>
      <c r="U37" s="25">
        <f t="shared" si="8"/>
        <v>1</v>
      </c>
      <c r="V37" s="25">
        <f t="shared" si="9"/>
        <v>1</v>
      </c>
      <c r="W37" s="25">
        <f t="shared" si="10"/>
        <v>0</v>
      </c>
      <c r="X37" s="25">
        <f t="shared" si="11"/>
        <v>1</v>
      </c>
      <c r="Y37" s="25">
        <f t="shared" si="12"/>
        <v>0</v>
      </c>
      <c r="Z37" s="25">
        <f t="shared" si="13"/>
        <v>0</v>
      </c>
      <c r="AA37" s="25">
        <f t="shared" si="14"/>
        <v>1</v>
      </c>
      <c r="AB37" s="3">
        <f t="shared" si="15"/>
        <v>0.6</v>
      </c>
      <c r="AC37" s="3">
        <f t="shared" si="16"/>
        <v>0.4</v>
      </c>
      <c r="AD37" s="3">
        <f t="shared" si="17"/>
        <v>0.24</v>
      </c>
      <c r="AE37" s="20"/>
    </row>
    <row r="38" spans="1:31" ht="42" x14ac:dyDescent="0.3">
      <c r="A38" s="28" t="s">
        <v>464</v>
      </c>
      <c r="B38" s="25">
        <v>0</v>
      </c>
      <c r="C38" s="25">
        <v>0</v>
      </c>
      <c r="D38" s="25">
        <v>1</v>
      </c>
      <c r="E38" s="25">
        <v>0</v>
      </c>
      <c r="F38" s="25">
        <v>0</v>
      </c>
      <c r="G38" s="25">
        <v>0</v>
      </c>
      <c r="H38" s="25">
        <v>1</v>
      </c>
      <c r="I38" s="25">
        <v>1</v>
      </c>
      <c r="J38" s="25">
        <v>1</v>
      </c>
      <c r="K38" s="25">
        <v>0</v>
      </c>
      <c r="L38" s="12">
        <f t="shared" si="0"/>
        <v>0.4</v>
      </c>
      <c r="M38" s="25" t="str">
        <f t="shared" si="1"/>
        <v>sedang</v>
      </c>
      <c r="N38" s="12">
        <f t="shared" si="2"/>
        <v>0.4</v>
      </c>
      <c r="O38" s="25" t="str">
        <f t="shared" si="3"/>
        <v>soal diterima baik</v>
      </c>
      <c r="P38" s="33"/>
      <c r="Q38" s="26">
        <v>33</v>
      </c>
      <c r="R38" s="25">
        <f t="shared" si="5"/>
        <v>1</v>
      </c>
      <c r="S38" s="25">
        <f t="shared" si="6"/>
        <v>1</v>
      </c>
      <c r="T38" s="25">
        <f t="shared" si="7"/>
        <v>1</v>
      </c>
      <c r="U38" s="25">
        <f t="shared" si="8"/>
        <v>1</v>
      </c>
      <c r="V38" s="25">
        <f t="shared" si="9"/>
        <v>1</v>
      </c>
      <c r="W38" s="25">
        <f t="shared" si="10"/>
        <v>0</v>
      </c>
      <c r="X38" s="25">
        <f t="shared" si="11"/>
        <v>1</v>
      </c>
      <c r="Y38" s="25">
        <f t="shared" si="12"/>
        <v>1</v>
      </c>
      <c r="Z38" s="25">
        <f t="shared" si="13"/>
        <v>0</v>
      </c>
      <c r="AA38" s="25">
        <f t="shared" si="14"/>
        <v>1</v>
      </c>
      <c r="AB38" s="3">
        <f t="shared" si="15"/>
        <v>0.8</v>
      </c>
      <c r="AC38" s="3">
        <f t="shared" si="16"/>
        <v>0.19999999999999996</v>
      </c>
      <c r="AD38" s="3">
        <f t="shared" si="17"/>
        <v>0.15999999999999998</v>
      </c>
      <c r="AE38" s="20"/>
    </row>
    <row r="39" spans="1:31" ht="28" x14ac:dyDescent="0.3">
      <c r="A39" s="24" t="s">
        <v>465</v>
      </c>
      <c r="B39" s="25">
        <v>1</v>
      </c>
      <c r="C39" s="25">
        <v>0</v>
      </c>
      <c r="D39" s="25">
        <v>0</v>
      </c>
      <c r="E39" s="25">
        <v>1</v>
      </c>
      <c r="F39" s="25">
        <v>1</v>
      </c>
      <c r="G39" s="25">
        <v>0</v>
      </c>
      <c r="H39" s="25">
        <v>1</v>
      </c>
      <c r="I39" s="25">
        <v>0</v>
      </c>
      <c r="J39" s="25">
        <v>0</v>
      </c>
      <c r="K39" s="25">
        <v>0</v>
      </c>
      <c r="L39" s="12">
        <f t="shared" si="0"/>
        <v>0.4</v>
      </c>
      <c r="M39" s="25" t="str">
        <f t="shared" si="1"/>
        <v>sedang</v>
      </c>
      <c r="N39" s="12">
        <f t="shared" si="2"/>
        <v>0.4</v>
      </c>
      <c r="O39" s="25" t="str">
        <f t="shared" si="3"/>
        <v>soal diterima baik</v>
      </c>
      <c r="P39" s="33"/>
      <c r="Q39" s="26">
        <v>34</v>
      </c>
      <c r="R39" s="25">
        <f t="shared" si="5"/>
        <v>0</v>
      </c>
      <c r="S39" s="25">
        <f t="shared" si="6"/>
        <v>0</v>
      </c>
      <c r="T39" s="25">
        <f t="shared" si="7"/>
        <v>1</v>
      </c>
      <c r="U39" s="25">
        <f t="shared" si="8"/>
        <v>0</v>
      </c>
      <c r="V39" s="25">
        <f t="shared" si="9"/>
        <v>0</v>
      </c>
      <c r="W39" s="25">
        <f t="shared" si="10"/>
        <v>0</v>
      </c>
      <c r="X39" s="25">
        <f t="shared" si="11"/>
        <v>1</v>
      </c>
      <c r="Y39" s="25">
        <f t="shared" si="12"/>
        <v>1</v>
      </c>
      <c r="Z39" s="25">
        <f t="shared" si="13"/>
        <v>1</v>
      </c>
      <c r="AA39" s="25">
        <f t="shared" si="14"/>
        <v>0</v>
      </c>
      <c r="AB39" s="3">
        <f t="shared" si="15"/>
        <v>0.4</v>
      </c>
      <c r="AC39" s="3">
        <f t="shared" si="16"/>
        <v>0.6</v>
      </c>
      <c r="AD39" s="3">
        <f t="shared" si="17"/>
        <v>0.24</v>
      </c>
      <c r="AE39" s="20"/>
    </row>
    <row r="40" spans="1:31" ht="28" x14ac:dyDescent="0.3">
      <c r="A40" s="30" t="s">
        <v>466</v>
      </c>
      <c r="B40" s="25">
        <v>1</v>
      </c>
      <c r="C40" s="25">
        <v>0</v>
      </c>
      <c r="D40" s="25">
        <v>0</v>
      </c>
      <c r="E40" s="25">
        <v>0</v>
      </c>
      <c r="F40" s="25">
        <v>0</v>
      </c>
      <c r="G40" s="25">
        <v>0</v>
      </c>
      <c r="H40" s="25">
        <v>1</v>
      </c>
      <c r="I40" s="25">
        <v>0</v>
      </c>
      <c r="J40" s="25">
        <v>1</v>
      </c>
      <c r="K40" s="25">
        <v>1</v>
      </c>
      <c r="L40" s="12">
        <f t="shared" si="0"/>
        <v>0.4</v>
      </c>
      <c r="M40" s="25" t="str">
        <f t="shared" si="1"/>
        <v>sedang</v>
      </c>
      <c r="N40" s="12">
        <f t="shared" si="2"/>
        <v>0.4</v>
      </c>
      <c r="O40" s="25" t="str">
        <f t="shared" si="3"/>
        <v>soal diterima baik</v>
      </c>
      <c r="P40" s="33"/>
      <c r="Q40" s="26">
        <v>35</v>
      </c>
      <c r="R40" s="25">
        <f t="shared" si="5"/>
        <v>1</v>
      </c>
      <c r="S40" s="25">
        <f t="shared" si="6"/>
        <v>0</v>
      </c>
      <c r="T40" s="25">
        <f t="shared" si="7"/>
        <v>0</v>
      </c>
      <c r="U40" s="25">
        <f t="shared" si="8"/>
        <v>1</v>
      </c>
      <c r="V40" s="25">
        <f t="shared" si="9"/>
        <v>1</v>
      </c>
      <c r="W40" s="25">
        <f t="shared" si="10"/>
        <v>0</v>
      </c>
      <c r="X40" s="25">
        <f t="shared" si="11"/>
        <v>1</v>
      </c>
      <c r="Y40" s="25">
        <f t="shared" si="12"/>
        <v>0</v>
      </c>
      <c r="Z40" s="25">
        <f t="shared" si="13"/>
        <v>0</v>
      </c>
      <c r="AA40" s="25">
        <f t="shared" si="14"/>
        <v>0</v>
      </c>
      <c r="AB40" s="3">
        <f t="shared" si="15"/>
        <v>0.4</v>
      </c>
      <c r="AC40" s="3">
        <f t="shared" si="16"/>
        <v>0.6</v>
      </c>
      <c r="AD40" s="3">
        <f t="shared" si="17"/>
        <v>0.24</v>
      </c>
      <c r="AE40" s="20"/>
    </row>
    <row r="41" spans="1:31" ht="28" x14ac:dyDescent="0.3">
      <c r="A41" s="28" t="s">
        <v>467</v>
      </c>
      <c r="B41" s="25">
        <v>0</v>
      </c>
      <c r="C41" s="25">
        <v>0</v>
      </c>
      <c r="D41" s="25">
        <v>1</v>
      </c>
      <c r="E41" s="25">
        <v>0</v>
      </c>
      <c r="F41" s="25">
        <v>1</v>
      </c>
      <c r="G41" s="25">
        <v>1</v>
      </c>
      <c r="H41" s="25">
        <v>1</v>
      </c>
      <c r="I41" s="25">
        <v>1</v>
      </c>
      <c r="J41" s="25">
        <v>1</v>
      </c>
      <c r="K41" s="25">
        <v>0</v>
      </c>
      <c r="L41" s="12">
        <f t="shared" si="0"/>
        <v>0.6</v>
      </c>
      <c r="M41" s="25" t="str">
        <f t="shared" si="1"/>
        <v>sedang</v>
      </c>
      <c r="N41" s="12">
        <f t="shared" si="2"/>
        <v>0.4</v>
      </c>
      <c r="O41" s="25" t="str">
        <f t="shared" si="3"/>
        <v>soal diterima baik</v>
      </c>
      <c r="P41" s="33"/>
      <c r="Q41" s="26">
        <v>36</v>
      </c>
      <c r="R41" s="25">
        <f t="shared" si="5"/>
        <v>1</v>
      </c>
      <c r="S41" s="25">
        <f t="shared" si="6"/>
        <v>0</v>
      </c>
      <c r="T41" s="25">
        <f t="shared" si="7"/>
        <v>0</v>
      </c>
      <c r="U41" s="25">
        <f t="shared" si="8"/>
        <v>0</v>
      </c>
      <c r="V41" s="25">
        <f t="shared" si="9"/>
        <v>0</v>
      </c>
      <c r="W41" s="25">
        <f t="shared" si="10"/>
        <v>0</v>
      </c>
      <c r="X41" s="25">
        <f t="shared" si="11"/>
        <v>1</v>
      </c>
      <c r="Y41" s="25">
        <f t="shared" si="12"/>
        <v>0</v>
      </c>
      <c r="Z41" s="25">
        <f t="shared" si="13"/>
        <v>1</v>
      </c>
      <c r="AA41" s="25">
        <f t="shared" si="14"/>
        <v>1</v>
      </c>
      <c r="AB41" s="3">
        <f t="shared" si="15"/>
        <v>0.4</v>
      </c>
      <c r="AC41" s="3">
        <f t="shared" si="16"/>
        <v>0.6</v>
      </c>
      <c r="AD41" s="3">
        <f t="shared" si="17"/>
        <v>0.24</v>
      </c>
      <c r="AE41" s="20"/>
    </row>
    <row r="42" spans="1:31" ht="56" x14ac:dyDescent="0.3">
      <c r="A42" s="30" t="s">
        <v>468</v>
      </c>
      <c r="B42" s="25">
        <v>1</v>
      </c>
      <c r="C42" s="25">
        <v>1</v>
      </c>
      <c r="D42" s="25">
        <v>1</v>
      </c>
      <c r="E42" s="25">
        <v>1</v>
      </c>
      <c r="F42" s="25">
        <v>1</v>
      </c>
      <c r="G42" s="25">
        <v>0</v>
      </c>
      <c r="H42" s="25">
        <v>1</v>
      </c>
      <c r="I42" s="25">
        <v>1</v>
      </c>
      <c r="J42" s="25">
        <v>1</v>
      </c>
      <c r="K42" s="25">
        <v>0</v>
      </c>
      <c r="L42" s="12">
        <f t="shared" si="0"/>
        <v>0.8</v>
      </c>
      <c r="M42" s="25" t="str">
        <f t="shared" si="1"/>
        <v>mudah</v>
      </c>
      <c r="N42" s="12">
        <f t="shared" si="2"/>
        <v>0.4</v>
      </c>
      <c r="O42" s="25" t="str">
        <f t="shared" si="3"/>
        <v>soal diterima baik</v>
      </c>
      <c r="P42" s="33"/>
      <c r="Q42" s="26">
        <v>37</v>
      </c>
      <c r="R42" s="25">
        <f t="shared" si="5"/>
        <v>0</v>
      </c>
      <c r="S42" s="25">
        <f t="shared" si="6"/>
        <v>0</v>
      </c>
      <c r="T42" s="25">
        <f t="shared" si="7"/>
        <v>1</v>
      </c>
      <c r="U42" s="25">
        <f t="shared" si="8"/>
        <v>0</v>
      </c>
      <c r="V42" s="25">
        <f t="shared" si="9"/>
        <v>1</v>
      </c>
      <c r="W42" s="25">
        <f t="shared" si="10"/>
        <v>1</v>
      </c>
      <c r="X42" s="25">
        <f t="shared" si="11"/>
        <v>1</v>
      </c>
      <c r="Y42" s="25">
        <f t="shared" si="12"/>
        <v>1</v>
      </c>
      <c r="Z42" s="25">
        <f t="shared" si="13"/>
        <v>1</v>
      </c>
      <c r="AA42" s="25">
        <f t="shared" si="14"/>
        <v>0</v>
      </c>
      <c r="AB42" s="3">
        <f t="shared" si="15"/>
        <v>0.6</v>
      </c>
      <c r="AC42" s="3">
        <f t="shared" si="16"/>
        <v>0.4</v>
      </c>
      <c r="AD42" s="3">
        <f t="shared" si="17"/>
        <v>0.24</v>
      </c>
      <c r="AE42" s="20"/>
    </row>
    <row r="43" spans="1:31" ht="42" x14ac:dyDescent="0.3">
      <c r="A43" s="24" t="s">
        <v>469</v>
      </c>
      <c r="B43" s="25">
        <v>1</v>
      </c>
      <c r="C43" s="25">
        <v>1</v>
      </c>
      <c r="D43" s="25">
        <v>1</v>
      </c>
      <c r="E43" s="25">
        <v>1</v>
      </c>
      <c r="F43" s="25">
        <v>1</v>
      </c>
      <c r="G43" s="25">
        <v>1</v>
      </c>
      <c r="H43" s="25">
        <v>0</v>
      </c>
      <c r="I43" s="25">
        <v>0</v>
      </c>
      <c r="J43" s="25">
        <v>0</v>
      </c>
      <c r="K43" s="25">
        <v>0</v>
      </c>
      <c r="L43" s="12">
        <f t="shared" si="0"/>
        <v>0.6</v>
      </c>
      <c r="M43" s="25" t="str">
        <f t="shared" si="1"/>
        <v>sedang</v>
      </c>
      <c r="N43" s="12">
        <f t="shared" si="2"/>
        <v>0.8</v>
      </c>
      <c r="O43" s="25" t="str">
        <f t="shared" si="3"/>
        <v>soal diterima baik</v>
      </c>
      <c r="P43" s="33"/>
      <c r="Q43" s="26">
        <v>38</v>
      </c>
      <c r="R43" s="25">
        <f t="shared" si="5"/>
        <v>1</v>
      </c>
      <c r="S43" s="25">
        <f t="shared" si="6"/>
        <v>1</v>
      </c>
      <c r="T43" s="25">
        <f t="shared" si="7"/>
        <v>1</v>
      </c>
      <c r="U43" s="25">
        <f t="shared" si="8"/>
        <v>1</v>
      </c>
      <c r="V43" s="25">
        <f t="shared" si="9"/>
        <v>1</v>
      </c>
      <c r="W43" s="25">
        <f t="shared" si="10"/>
        <v>0</v>
      </c>
      <c r="X43" s="25">
        <f t="shared" si="11"/>
        <v>1</v>
      </c>
      <c r="Y43" s="25">
        <f t="shared" si="12"/>
        <v>1</v>
      </c>
      <c r="Z43" s="25">
        <f t="shared" si="13"/>
        <v>1</v>
      </c>
      <c r="AA43" s="25">
        <f t="shared" si="14"/>
        <v>0</v>
      </c>
      <c r="AB43" s="3">
        <f t="shared" si="15"/>
        <v>0.8</v>
      </c>
      <c r="AC43" s="3">
        <f t="shared" si="16"/>
        <v>0.19999999999999996</v>
      </c>
      <c r="AD43" s="3">
        <f t="shared" si="17"/>
        <v>0.15999999999999998</v>
      </c>
      <c r="AE43" s="20"/>
    </row>
    <row r="44" spans="1:31" ht="42" x14ac:dyDescent="0.3">
      <c r="A44" s="28" t="s">
        <v>470</v>
      </c>
      <c r="B44" s="25">
        <v>1</v>
      </c>
      <c r="C44" s="25">
        <v>1</v>
      </c>
      <c r="D44" s="25">
        <v>1</v>
      </c>
      <c r="E44" s="25">
        <v>1</v>
      </c>
      <c r="F44" s="25">
        <v>0</v>
      </c>
      <c r="G44" s="25">
        <v>0</v>
      </c>
      <c r="H44" s="25">
        <v>0</v>
      </c>
      <c r="I44" s="25">
        <v>0</v>
      </c>
      <c r="J44" s="25">
        <v>0</v>
      </c>
      <c r="K44" s="25">
        <v>0</v>
      </c>
      <c r="L44" s="12">
        <f t="shared" si="0"/>
        <v>0.4</v>
      </c>
      <c r="M44" s="25" t="str">
        <f t="shared" si="1"/>
        <v>sedang</v>
      </c>
      <c r="N44" s="12">
        <f t="shared" si="2"/>
        <v>0.8</v>
      </c>
      <c r="O44" s="25" t="str">
        <f t="shared" si="3"/>
        <v>soal diterima baik</v>
      </c>
      <c r="P44" s="33"/>
      <c r="Q44" s="26">
        <v>39</v>
      </c>
      <c r="R44" s="25">
        <f t="shared" si="5"/>
        <v>1</v>
      </c>
      <c r="S44" s="25">
        <f t="shared" si="6"/>
        <v>1</v>
      </c>
      <c r="T44" s="25">
        <f t="shared" si="7"/>
        <v>1</v>
      </c>
      <c r="U44" s="25">
        <f t="shared" si="8"/>
        <v>1</v>
      </c>
      <c r="V44" s="25">
        <f t="shared" si="9"/>
        <v>1</v>
      </c>
      <c r="W44" s="25">
        <f t="shared" si="10"/>
        <v>1</v>
      </c>
      <c r="X44" s="25">
        <f t="shared" si="11"/>
        <v>0</v>
      </c>
      <c r="Y44" s="25">
        <f t="shared" si="12"/>
        <v>0</v>
      </c>
      <c r="Z44" s="25">
        <f t="shared" si="13"/>
        <v>0</v>
      </c>
      <c r="AA44" s="25">
        <f t="shared" si="14"/>
        <v>0</v>
      </c>
      <c r="AB44" s="3">
        <f t="shared" si="15"/>
        <v>0.6</v>
      </c>
      <c r="AC44" s="3">
        <f t="shared" si="16"/>
        <v>0.4</v>
      </c>
      <c r="AD44" s="3">
        <f t="shared" si="17"/>
        <v>0.24</v>
      </c>
      <c r="AE44" s="20"/>
    </row>
    <row r="45" spans="1:31" ht="42" x14ac:dyDescent="0.3">
      <c r="A45" s="28" t="s">
        <v>471</v>
      </c>
      <c r="B45" s="25">
        <v>1</v>
      </c>
      <c r="C45" s="25">
        <v>1</v>
      </c>
      <c r="D45" s="25">
        <v>0</v>
      </c>
      <c r="E45" s="25">
        <v>0</v>
      </c>
      <c r="F45" s="25">
        <v>1</v>
      </c>
      <c r="G45" s="25">
        <v>0</v>
      </c>
      <c r="H45" s="25">
        <v>0</v>
      </c>
      <c r="I45" s="25">
        <v>0</v>
      </c>
      <c r="J45" s="25">
        <v>1</v>
      </c>
      <c r="K45" s="25">
        <v>0</v>
      </c>
      <c r="L45" s="12">
        <f t="shared" si="0"/>
        <v>0.4</v>
      </c>
      <c r="M45" s="25" t="str">
        <f t="shared" si="1"/>
        <v>sedang</v>
      </c>
      <c r="N45" s="12">
        <f t="shared" si="2"/>
        <v>0.4</v>
      </c>
      <c r="O45" s="25" t="str">
        <f t="shared" si="3"/>
        <v>soal diterima baik</v>
      </c>
      <c r="P45" s="33"/>
      <c r="Q45" s="26">
        <v>40</v>
      </c>
      <c r="R45" s="25">
        <f t="shared" si="5"/>
        <v>1</v>
      </c>
      <c r="S45" s="25">
        <f t="shared" si="6"/>
        <v>1</v>
      </c>
      <c r="T45" s="25">
        <f t="shared" si="7"/>
        <v>1</v>
      </c>
      <c r="U45" s="25">
        <f t="shared" si="8"/>
        <v>1</v>
      </c>
      <c r="V45" s="25">
        <f t="shared" si="9"/>
        <v>0</v>
      </c>
      <c r="W45" s="25">
        <f t="shared" si="10"/>
        <v>0</v>
      </c>
      <c r="X45" s="25">
        <f t="shared" si="11"/>
        <v>0</v>
      </c>
      <c r="Y45" s="25">
        <f t="shared" si="12"/>
        <v>0</v>
      </c>
      <c r="Z45" s="25">
        <f t="shared" si="13"/>
        <v>0</v>
      </c>
      <c r="AA45" s="25">
        <f t="shared" si="14"/>
        <v>0</v>
      </c>
      <c r="AB45" s="3">
        <f t="shared" si="15"/>
        <v>0.4</v>
      </c>
      <c r="AC45" s="3">
        <f t="shared" si="16"/>
        <v>0.6</v>
      </c>
      <c r="AD45" s="3">
        <f t="shared" si="17"/>
        <v>0.24</v>
      </c>
      <c r="AE45" s="20"/>
    </row>
    <row r="46" spans="1:31" ht="56" x14ac:dyDescent="0.3">
      <c r="A46" s="24" t="s">
        <v>472</v>
      </c>
      <c r="B46" s="25">
        <v>0</v>
      </c>
      <c r="C46" s="25">
        <v>1</v>
      </c>
      <c r="D46" s="25">
        <v>1</v>
      </c>
      <c r="E46" s="25">
        <v>1</v>
      </c>
      <c r="F46" s="25">
        <v>0</v>
      </c>
      <c r="G46" s="25">
        <v>1</v>
      </c>
      <c r="H46" s="25">
        <v>1</v>
      </c>
      <c r="I46" s="25">
        <v>1</v>
      </c>
      <c r="J46" s="25">
        <v>1</v>
      </c>
      <c r="K46" s="25">
        <v>1</v>
      </c>
      <c r="L46" s="12">
        <f t="shared" si="0"/>
        <v>0.8</v>
      </c>
      <c r="M46" s="25" t="str">
        <f t="shared" si="1"/>
        <v>mudah</v>
      </c>
      <c r="N46" s="12">
        <f t="shared" si="2"/>
        <v>0.4</v>
      </c>
      <c r="O46" s="25" t="str">
        <f t="shared" si="3"/>
        <v>soal diterima baik</v>
      </c>
      <c r="P46" s="33"/>
      <c r="Q46" s="26">
        <v>41</v>
      </c>
      <c r="R46" s="25">
        <f t="shared" si="5"/>
        <v>1</v>
      </c>
      <c r="S46" s="25">
        <f t="shared" si="6"/>
        <v>1</v>
      </c>
      <c r="T46" s="25">
        <f t="shared" si="7"/>
        <v>0</v>
      </c>
      <c r="U46" s="25">
        <f t="shared" si="8"/>
        <v>0</v>
      </c>
      <c r="V46" s="25">
        <f t="shared" si="9"/>
        <v>1</v>
      </c>
      <c r="W46" s="25">
        <f t="shared" si="10"/>
        <v>0</v>
      </c>
      <c r="X46" s="25">
        <f t="shared" si="11"/>
        <v>0</v>
      </c>
      <c r="Y46" s="25">
        <f t="shared" si="12"/>
        <v>0</v>
      </c>
      <c r="Z46" s="25">
        <f t="shared" si="13"/>
        <v>1</v>
      </c>
      <c r="AA46" s="25">
        <f t="shared" si="14"/>
        <v>0</v>
      </c>
      <c r="AB46" s="3">
        <f t="shared" si="15"/>
        <v>0.4</v>
      </c>
      <c r="AC46" s="3">
        <f t="shared" si="16"/>
        <v>0.6</v>
      </c>
      <c r="AD46" s="3">
        <f t="shared" si="17"/>
        <v>0.24</v>
      </c>
      <c r="AE46" s="20"/>
    </row>
    <row r="47" spans="1:31" ht="56" x14ac:dyDescent="0.3">
      <c r="A47" s="30" t="s">
        <v>473</v>
      </c>
      <c r="B47" s="25">
        <v>1</v>
      </c>
      <c r="C47" s="25">
        <v>1</v>
      </c>
      <c r="D47" s="25">
        <v>1</v>
      </c>
      <c r="E47" s="25">
        <v>1</v>
      </c>
      <c r="F47" s="25">
        <v>0</v>
      </c>
      <c r="G47" s="25">
        <v>0</v>
      </c>
      <c r="H47" s="25">
        <v>0</v>
      </c>
      <c r="I47" s="25">
        <v>0</v>
      </c>
      <c r="J47" s="25">
        <v>0</v>
      </c>
      <c r="K47" s="25">
        <v>0</v>
      </c>
      <c r="L47" s="12">
        <f t="shared" si="0"/>
        <v>0.4</v>
      </c>
      <c r="M47" s="25" t="str">
        <f t="shared" si="1"/>
        <v>sedang</v>
      </c>
      <c r="N47" s="12">
        <f t="shared" si="2"/>
        <v>0.8</v>
      </c>
      <c r="O47" s="25" t="str">
        <f t="shared" si="3"/>
        <v>soal diterima baik</v>
      </c>
      <c r="P47" s="33"/>
      <c r="Q47" s="26">
        <v>42</v>
      </c>
      <c r="R47" s="25">
        <f t="shared" si="5"/>
        <v>0</v>
      </c>
      <c r="S47" s="25">
        <f t="shared" si="6"/>
        <v>1</v>
      </c>
      <c r="T47" s="25">
        <f t="shared" si="7"/>
        <v>1</v>
      </c>
      <c r="U47" s="25">
        <f t="shared" si="8"/>
        <v>1</v>
      </c>
      <c r="V47" s="25">
        <f t="shared" si="9"/>
        <v>0</v>
      </c>
      <c r="W47" s="25">
        <f t="shared" si="10"/>
        <v>1</v>
      </c>
      <c r="X47" s="25">
        <f t="shared" si="11"/>
        <v>1</v>
      </c>
      <c r="Y47" s="25">
        <f t="shared" si="12"/>
        <v>1</v>
      </c>
      <c r="Z47" s="25">
        <f t="shared" si="13"/>
        <v>1</v>
      </c>
      <c r="AA47" s="25">
        <f t="shared" si="14"/>
        <v>1</v>
      </c>
      <c r="AB47" s="3">
        <f t="shared" si="15"/>
        <v>0.8</v>
      </c>
      <c r="AC47" s="3">
        <f t="shared" si="16"/>
        <v>0.19999999999999996</v>
      </c>
      <c r="AD47" s="3">
        <f t="shared" si="17"/>
        <v>0.15999999999999998</v>
      </c>
      <c r="AE47" s="20"/>
    </row>
    <row r="48" spans="1:31" ht="42" x14ac:dyDescent="0.3">
      <c r="A48" s="24" t="s">
        <v>474</v>
      </c>
      <c r="B48" s="25">
        <v>1</v>
      </c>
      <c r="C48" s="25">
        <v>1</v>
      </c>
      <c r="D48" s="25">
        <v>0</v>
      </c>
      <c r="E48" s="25">
        <v>0</v>
      </c>
      <c r="F48" s="25">
        <v>1</v>
      </c>
      <c r="G48" s="25">
        <v>0</v>
      </c>
      <c r="H48" s="25">
        <v>0</v>
      </c>
      <c r="I48" s="25">
        <v>0</v>
      </c>
      <c r="J48" s="25">
        <v>1</v>
      </c>
      <c r="K48" s="25">
        <v>0</v>
      </c>
      <c r="L48" s="12">
        <f t="shared" si="0"/>
        <v>0.4</v>
      </c>
      <c r="M48" s="25" t="str">
        <f t="shared" si="1"/>
        <v>sedang</v>
      </c>
      <c r="N48" s="12">
        <f t="shared" si="2"/>
        <v>0.4</v>
      </c>
      <c r="O48" s="25" t="str">
        <f t="shared" si="3"/>
        <v>soal diterima baik</v>
      </c>
      <c r="P48" s="33"/>
      <c r="Q48" s="26">
        <v>43</v>
      </c>
      <c r="R48" s="25">
        <f t="shared" si="5"/>
        <v>1</v>
      </c>
      <c r="S48" s="25">
        <f t="shared" si="6"/>
        <v>1</v>
      </c>
      <c r="T48" s="25">
        <f t="shared" si="7"/>
        <v>1</v>
      </c>
      <c r="U48" s="25">
        <f t="shared" si="8"/>
        <v>1</v>
      </c>
      <c r="V48" s="25">
        <f t="shared" si="9"/>
        <v>0</v>
      </c>
      <c r="W48" s="25">
        <f t="shared" si="10"/>
        <v>0</v>
      </c>
      <c r="X48" s="25">
        <f t="shared" si="11"/>
        <v>0</v>
      </c>
      <c r="Y48" s="25">
        <f t="shared" si="12"/>
        <v>0</v>
      </c>
      <c r="Z48" s="25">
        <f t="shared" si="13"/>
        <v>0</v>
      </c>
      <c r="AA48" s="25">
        <f t="shared" si="14"/>
        <v>0</v>
      </c>
      <c r="AB48" s="3">
        <f t="shared" si="15"/>
        <v>0.4</v>
      </c>
      <c r="AC48" s="3">
        <f t="shared" si="16"/>
        <v>0.6</v>
      </c>
      <c r="AD48" s="3">
        <f t="shared" si="17"/>
        <v>0.24</v>
      </c>
      <c r="AE48" s="20"/>
    </row>
    <row r="49" spans="1:31" ht="42" x14ac:dyDescent="0.3">
      <c r="A49" s="30" t="s">
        <v>475</v>
      </c>
      <c r="B49" s="25">
        <v>0</v>
      </c>
      <c r="C49" s="25">
        <v>0</v>
      </c>
      <c r="D49" s="25">
        <v>0</v>
      </c>
      <c r="E49" s="25">
        <v>0</v>
      </c>
      <c r="F49" s="25">
        <v>0</v>
      </c>
      <c r="G49" s="25">
        <v>0</v>
      </c>
      <c r="H49" s="25">
        <v>0</v>
      </c>
      <c r="I49" s="25">
        <v>1</v>
      </c>
      <c r="J49" s="25">
        <v>1</v>
      </c>
      <c r="K49" s="25">
        <v>0</v>
      </c>
      <c r="L49" s="12">
        <f t="shared" si="0"/>
        <v>0.2</v>
      </c>
      <c r="M49" s="25" t="str">
        <f t="shared" si="1"/>
        <v>sukar</v>
      </c>
      <c r="N49" s="12">
        <f t="shared" si="2"/>
        <v>0.4</v>
      </c>
      <c r="O49" s="25" t="str">
        <f t="shared" si="3"/>
        <v>soal diterima baik</v>
      </c>
      <c r="P49" s="33"/>
      <c r="Q49" s="26">
        <v>44</v>
      </c>
      <c r="R49" s="25">
        <f t="shared" si="5"/>
        <v>1</v>
      </c>
      <c r="S49" s="25">
        <f t="shared" si="6"/>
        <v>1</v>
      </c>
      <c r="T49" s="25">
        <f t="shared" si="7"/>
        <v>0</v>
      </c>
      <c r="U49" s="25">
        <f t="shared" si="8"/>
        <v>0</v>
      </c>
      <c r="V49" s="25">
        <f t="shared" si="9"/>
        <v>1</v>
      </c>
      <c r="W49" s="25">
        <f t="shared" si="10"/>
        <v>0</v>
      </c>
      <c r="X49" s="25">
        <f t="shared" si="11"/>
        <v>0</v>
      </c>
      <c r="Y49" s="25">
        <f t="shared" si="12"/>
        <v>0</v>
      </c>
      <c r="Z49" s="25">
        <f t="shared" si="13"/>
        <v>1</v>
      </c>
      <c r="AA49" s="25">
        <f t="shared" si="14"/>
        <v>0</v>
      </c>
      <c r="AB49" s="3">
        <f t="shared" si="15"/>
        <v>0.4</v>
      </c>
      <c r="AC49" s="3">
        <f t="shared" si="16"/>
        <v>0.6</v>
      </c>
      <c r="AD49" s="3">
        <f t="shared" si="17"/>
        <v>0.24</v>
      </c>
      <c r="AE49" s="20"/>
    </row>
    <row r="50" spans="1:31" ht="56" x14ac:dyDescent="0.3">
      <c r="A50" s="24" t="s">
        <v>476</v>
      </c>
      <c r="B50" s="25">
        <v>1</v>
      </c>
      <c r="C50" s="25">
        <v>1</v>
      </c>
      <c r="D50" s="25">
        <v>1</v>
      </c>
      <c r="E50" s="25">
        <v>1</v>
      </c>
      <c r="F50" s="25">
        <v>0</v>
      </c>
      <c r="G50" s="25">
        <v>0</v>
      </c>
      <c r="H50" s="25">
        <v>0</v>
      </c>
      <c r="I50" s="25">
        <v>0</v>
      </c>
      <c r="J50" s="25">
        <v>0</v>
      </c>
      <c r="K50" s="25">
        <v>0</v>
      </c>
      <c r="L50" s="12">
        <f t="shared" si="0"/>
        <v>0.4</v>
      </c>
      <c r="M50" s="25" t="str">
        <f t="shared" si="1"/>
        <v>sedang</v>
      </c>
      <c r="N50" s="12">
        <f t="shared" si="2"/>
        <v>0.8</v>
      </c>
      <c r="O50" s="25" t="str">
        <f t="shared" si="3"/>
        <v>soal diterima baik</v>
      </c>
      <c r="P50" s="33"/>
      <c r="Q50" s="26">
        <v>45</v>
      </c>
      <c r="R50" s="25">
        <f t="shared" si="5"/>
        <v>0</v>
      </c>
      <c r="S50" s="25">
        <f t="shared" si="6"/>
        <v>0</v>
      </c>
      <c r="T50" s="25">
        <f t="shared" si="7"/>
        <v>0</v>
      </c>
      <c r="U50" s="25">
        <f t="shared" si="8"/>
        <v>0</v>
      </c>
      <c r="V50" s="25">
        <f t="shared" si="9"/>
        <v>0</v>
      </c>
      <c r="W50" s="25">
        <f t="shared" si="10"/>
        <v>0</v>
      </c>
      <c r="X50" s="25">
        <f t="shared" si="11"/>
        <v>0</v>
      </c>
      <c r="Y50" s="25">
        <f t="shared" si="12"/>
        <v>1</v>
      </c>
      <c r="Z50" s="25">
        <f t="shared" si="13"/>
        <v>1</v>
      </c>
      <c r="AA50" s="25">
        <f t="shared" si="14"/>
        <v>0</v>
      </c>
      <c r="AB50" s="3">
        <f t="shared" si="15"/>
        <v>0.2</v>
      </c>
      <c r="AC50" s="3">
        <f t="shared" si="16"/>
        <v>0.8</v>
      </c>
      <c r="AD50" s="3">
        <f t="shared" si="17"/>
        <v>0.16000000000000003</v>
      </c>
      <c r="AE50" s="20"/>
    </row>
    <row r="51" spans="1:31" ht="56" x14ac:dyDescent="0.3">
      <c r="A51" s="28" t="s">
        <v>477</v>
      </c>
      <c r="B51" s="25">
        <v>1</v>
      </c>
      <c r="C51" s="25">
        <v>1</v>
      </c>
      <c r="D51" s="25">
        <v>1</v>
      </c>
      <c r="E51" s="25">
        <v>0</v>
      </c>
      <c r="F51" s="25">
        <v>0</v>
      </c>
      <c r="G51" s="25">
        <v>0</v>
      </c>
      <c r="H51" s="25">
        <v>0</v>
      </c>
      <c r="I51" s="25">
        <v>0</v>
      </c>
      <c r="J51" s="25">
        <v>0</v>
      </c>
      <c r="K51" s="25">
        <v>1</v>
      </c>
      <c r="L51" s="12">
        <f t="shared" si="0"/>
        <v>0.4</v>
      </c>
      <c r="M51" s="25" t="str">
        <f t="shared" si="1"/>
        <v>sedang</v>
      </c>
      <c r="N51" s="12">
        <f t="shared" si="2"/>
        <v>0.4</v>
      </c>
      <c r="O51" s="25" t="str">
        <f t="shared" si="3"/>
        <v>soal diterima baik</v>
      </c>
      <c r="P51" s="33"/>
      <c r="Q51" s="26">
        <v>46</v>
      </c>
      <c r="R51" s="25">
        <f t="shared" si="5"/>
        <v>1</v>
      </c>
      <c r="S51" s="25">
        <f t="shared" si="6"/>
        <v>1</v>
      </c>
      <c r="T51" s="25">
        <f t="shared" si="7"/>
        <v>1</v>
      </c>
      <c r="U51" s="25">
        <f t="shared" si="8"/>
        <v>1</v>
      </c>
      <c r="V51" s="25">
        <f t="shared" si="9"/>
        <v>0</v>
      </c>
      <c r="W51" s="25">
        <f t="shared" si="10"/>
        <v>0</v>
      </c>
      <c r="X51" s="25">
        <f t="shared" si="11"/>
        <v>0</v>
      </c>
      <c r="Y51" s="25">
        <f t="shared" si="12"/>
        <v>0</v>
      </c>
      <c r="Z51" s="25">
        <f t="shared" si="13"/>
        <v>0</v>
      </c>
      <c r="AA51" s="25">
        <f t="shared" si="14"/>
        <v>0</v>
      </c>
      <c r="AB51" s="3">
        <f t="shared" si="15"/>
        <v>0.4</v>
      </c>
      <c r="AC51" s="3">
        <f t="shared" si="16"/>
        <v>0.6</v>
      </c>
      <c r="AD51" s="3">
        <f t="shared" si="17"/>
        <v>0.24</v>
      </c>
      <c r="AE51" s="20"/>
    </row>
    <row r="52" spans="1:31" ht="42" x14ac:dyDescent="0.3">
      <c r="A52" s="24" t="s">
        <v>478</v>
      </c>
      <c r="B52" s="25">
        <v>1</v>
      </c>
      <c r="C52" s="25">
        <v>0</v>
      </c>
      <c r="D52" s="25">
        <v>1</v>
      </c>
      <c r="E52" s="25">
        <v>0</v>
      </c>
      <c r="F52" s="25">
        <v>0</v>
      </c>
      <c r="G52" s="25">
        <v>0</v>
      </c>
      <c r="H52" s="25">
        <v>0</v>
      </c>
      <c r="I52" s="25">
        <v>0</v>
      </c>
      <c r="J52" s="25">
        <v>0</v>
      </c>
      <c r="K52" s="25">
        <v>0</v>
      </c>
      <c r="L52" s="12">
        <f t="shared" si="0"/>
        <v>0.2</v>
      </c>
      <c r="M52" s="25" t="str">
        <f t="shared" si="1"/>
        <v>sukar</v>
      </c>
      <c r="N52" s="12">
        <f t="shared" si="2"/>
        <v>0.4</v>
      </c>
      <c r="O52" s="25" t="str">
        <f t="shared" si="3"/>
        <v>soal diterima baik</v>
      </c>
      <c r="P52" s="33"/>
      <c r="Q52" s="26">
        <v>47</v>
      </c>
      <c r="R52" s="25">
        <f t="shared" si="5"/>
        <v>1</v>
      </c>
      <c r="S52" s="25">
        <f t="shared" si="6"/>
        <v>1</v>
      </c>
      <c r="T52" s="25">
        <f t="shared" si="7"/>
        <v>1</v>
      </c>
      <c r="U52" s="25">
        <f t="shared" si="8"/>
        <v>0</v>
      </c>
      <c r="V52" s="25">
        <f t="shared" si="9"/>
        <v>0</v>
      </c>
      <c r="W52" s="25">
        <f t="shared" si="10"/>
        <v>0</v>
      </c>
      <c r="X52" s="25">
        <f t="shared" si="11"/>
        <v>0</v>
      </c>
      <c r="Y52" s="25">
        <f t="shared" si="12"/>
        <v>0</v>
      </c>
      <c r="Z52" s="25">
        <f t="shared" si="13"/>
        <v>0</v>
      </c>
      <c r="AA52" s="25">
        <f t="shared" si="14"/>
        <v>1</v>
      </c>
      <c r="AB52" s="3">
        <f t="shared" si="15"/>
        <v>0.4</v>
      </c>
      <c r="AC52" s="3">
        <f t="shared" si="16"/>
        <v>0.6</v>
      </c>
      <c r="AD52" s="3">
        <f t="shared" si="17"/>
        <v>0.24</v>
      </c>
      <c r="AE52" s="20"/>
    </row>
    <row r="53" spans="1:31" ht="42" x14ac:dyDescent="0.3">
      <c r="A53" s="30" t="s">
        <v>479</v>
      </c>
      <c r="B53" s="25">
        <v>1</v>
      </c>
      <c r="C53" s="25">
        <v>1</v>
      </c>
      <c r="D53" s="25">
        <v>0</v>
      </c>
      <c r="E53" s="25">
        <v>1</v>
      </c>
      <c r="F53" s="25">
        <v>1</v>
      </c>
      <c r="G53" s="25">
        <v>0</v>
      </c>
      <c r="H53" s="25">
        <v>0</v>
      </c>
      <c r="I53" s="25">
        <v>0</v>
      </c>
      <c r="J53" s="25">
        <v>0</v>
      </c>
      <c r="K53" s="25">
        <v>0</v>
      </c>
      <c r="L53" s="12">
        <f t="shared" si="0"/>
        <v>0.4</v>
      </c>
      <c r="M53" s="25" t="str">
        <f t="shared" si="1"/>
        <v>sedang</v>
      </c>
      <c r="N53" s="12">
        <f t="shared" si="2"/>
        <v>0.8</v>
      </c>
      <c r="O53" s="25" t="str">
        <f t="shared" si="3"/>
        <v>soal diterima baik</v>
      </c>
      <c r="P53" s="33"/>
      <c r="Q53" s="26">
        <v>48</v>
      </c>
      <c r="R53" s="25">
        <f t="shared" si="5"/>
        <v>1</v>
      </c>
      <c r="S53" s="25">
        <f t="shared" si="6"/>
        <v>0</v>
      </c>
      <c r="T53" s="25">
        <f t="shared" si="7"/>
        <v>1</v>
      </c>
      <c r="U53" s="25">
        <f t="shared" si="8"/>
        <v>0</v>
      </c>
      <c r="V53" s="25">
        <f t="shared" si="9"/>
        <v>0</v>
      </c>
      <c r="W53" s="25">
        <f t="shared" si="10"/>
        <v>0</v>
      </c>
      <c r="X53" s="25">
        <f t="shared" si="11"/>
        <v>0</v>
      </c>
      <c r="Y53" s="25">
        <f t="shared" si="12"/>
        <v>0</v>
      </c>
      <c r="Z53" s="25">
        <f t="shared" si="13"/>
        <v>0</v>
      </c>
      <c r="AA53" s="25">
        <f t="shared" si="14"/>
        <v>0</v>
      </c>
      <c r="AB53" s="3">
        <f t="shared" si="15"/>
        <v>0.2</v>
      </c>
      <c r="AC53" s="3">
        <f t="shared" si="16"/>
        <v>0.8</v>
      </c>
      <c r="AD53" s="3">
        <f t="shared" si="17"/>
        <v>0.16000000000000003</v>
      </c>
      <c r="AE53" s="20"/>
    </row>
    <row r="54" spans="1:31" ht="42" x14ac:dyDescent="0.3">
      <c r="A54" s="30" t="s">
        <v>480</v>
      </c>
      <c r="B54" s="25">
        <v>1</v>
      </c>
      <c r="C54" s="25">
        <v>1</v>
      </c>
      <c r="D54" s="25">
        <v>0</v>
      </c>
      <c r="E54" s="25">
        <v>0</v>
      </c>
      <c r="F54" s="25">
        <v>1</v>
      </c>
      <c r="G54" s="25">
        <v>0</v>
      </c>
      <c r="H54" s="25">
        <v>0</v>
      </c>
      <c r="I54" s="25">
        <v>0</v>
      </c>
      <c r="J54" s="25">
        <v>1</v>
      </c>
      <c r="K54" s="25">
        <v>0</v>
      </c>
      <c r="L54" s="12">
        <f t="shared" si="0"/>
        <v>0.4</v>
      </c>
      <c r="M54" s="25" t="str">
        <f t="shared" si="1"/>
        <v>sedang</v>
      </c>
      <c r="N54" s="12">
        <f t="shared" si="2"/>
        <v>0.4</v>
      </c>
      <c r="O54" s="25" t="str">
        <f t="shared" si="3"/>
        <v>soal diterima baik</v>
      </c>
      <c r="P54" s="33"/>
      <c r="Q54" s="26">
        <v>49</v>
      </c>
      <c r="R54" s="25">
        <f t="shared" si="5"/>
        <v>1</v>
      </c>
      <c r="S54" s="25">
        <f t="shared" si="6"/>
        <v>1</v>
      </c>
      <c r="T54" s="25">
        <f t="shared" si="7"/>
        <v>0</v>
      </c>
      <c r="U54" s="25">
        <f t="shared" si="8"/>
        <v>1</v>
      </c>
      <c r="V54" s="25">
        <f t="shared" si="9"/>
        <v>1</v>
      </c>
      <c r="W54" s="25">
        <f t="shared" si="10"/>
        <v>0</v>
      </c>
      <c r="X54" s="25">
        <f t="shared" si="11"/>
        <v>0</v>
      </c>
      <c r="Y54" s="25">
        <f t="shared" si="12"/>
        <v>0</v>
      </c>
      <c r="Z54" s="25">
        <f t="shared" si="13"/>
        <v>0</v>
      </c>
      <c r="AA54" s="25">
        <f t="shared" si="14"/>
        <v>0</v>
      </c>
      <c r="AB54" s="3">
        <f t="shared" si="15"/>
        <v>0.4</v>
      </c>
      <c r="AC54" s="3">
        <f t="shared" si="16"/>
        <v>0.6</v>
      </c>
      <c r="AD54" s="3">
        <f t="shared" si="17"/>
        <v>0.24</v>
      </c>
      <c r="AE54" s="20"/>
    </row>
    <row r="55" spans="1:31" ht="56" x14ac:dyDescent="0.3">
      <c r="A55" s="28" t="s">
        <v>481</v>
      </c>
      <c r="B55" s="25">
        <v>1</v>
      </c>
      <c r="C55" s="25">
        <v>1</v>
      </c>
      <c r="D55" s="25">
        <v>1</v>
      </c>
      <c r="E55" s="25">
        <v>1</v>
      </c>
      <c r="F55" s="25">
        <v>1</v>
      </c>
      <c r="G55" s="25">
        <v>1</v>
      </c>
      <c r="H55" s="25">
        <v>1</v>
      </c>
      <c r="I55" s="25">
        <v>0</v>
      </c>
      <c r="J55" s="25">
        <v>0</v>
      </c>
      <c r="K55" s="25">
        <v>1</v>
      </c>
      <c r="L55" s="12">
        <f t="shared" si="0"/>
        <v>0.8</v>
      </c>
      <c r="M55" s="25" t="str">
        <f t="shared" si="1"/>
        <v>mudah</v>
      </c>
      <c r="N55" s="12">
        <f t="shared" si="2"/>
        <v>0.4</v>
      </c>
      <c r="O55" s="25" t="str">
        <f t="shared" si="3"/>
        <v>soal diterima baik</v>
      </c>
      <c r="P55" s="33"/>
      <c r="Q55" s="26">
        <v>50</v>
      </c>
      <c r="R55" s="25">
        <f t="shared" si="5"/>
        <v>1</v>
      </c>
      <c r="S55" s="25">
        <f t="shared" si="6"/>
        <v>1</v>
      </c>
      <c r="T55" s="25">
        <f t="shared" si="7"/>
        <v>0</v>
      </c>
      <c r="U55" s="25">
        <f t="shared" si="8"/>
        <v>0</v>
      </c>
      <c r="V55" s="25">
        <f t="shared" si="9"/>
        <v>1</v>
      </c>
      <c r="W55" s="25">
        <f t="shared" si="10"/>
        <v>0</v>
      </c>
      <c r="X55" s="25">
        <f t="shared" si="11"/>
        <v>0</v>
      </c>
      <c r="Y55" s="25">
        <f t="shared" si="12"/>
        <v>0</v>
      </c>
      <c r="Z55" s="25">
        <f t="shared" si="13"/>
        <v>1</v>
      </c>
      <c r="AA55" s="25">
        <f t="shared" si="14"/>
        <v>0</v>
      </c>
      <c r="AB55" s="3">
        <f t="shared" si="15"/>
        <v>0.4</v>
      </c>
      <c r="AC55" s="3">
        <f t="shared" si="16"/>
        <v>0.6</v>
      </c>
      <c r="AD55" s="3">
        <f t="shared" si="17"/>
        <v>0.24</v>
      </c>
      <c r="AE55" s="20"/>
    </row>
    <row r="56" spans="1:31" ht="42" x14ac:dyDescent="0.3">
      <c r="A56" s="24" t="s">
        <v>482</v>
      </c>
      <c r="B56" s="25">
        <v>0</v>
      </c>
      <c r="C56" s="25">
        <v>1</v>
      </c>
      <c r="D56" s="25">
        <v>0</v>
      </c>
      <c r="E56" s="25">
        <v>1</v>
      </c>
      <c r="F56" s="25">
        <v>0</v>
      </c>
      <c r="G56" s="25">
        <v>0</v>
      </c>
      <c r="H56" s="25">
        <v>0</v>
      </c>
      <c r="I56" s="25">
        <v>0</v>
      </c>
      <c r="J56" s="25">
        <v>0</v>
      </c>
      <c r="K56" s="25">
        <v>0</v>
      </c>
      <c r="L56" s="12">
        <f t="shared" si="0"/>
        <v>0.2</v>
      </c>
      <c r="M56" s="25" t="str">
        <f t="shared" si="1"/>
        <v>sukar</v>
      </c>
      <c r="N56" s="12">
        <f t="shared" si="2"/>
        <v>0.4</v>
      </c>
      <c r="O56" s="25" t="str">
        <f t="shared" si="3"/>
        <v>soal diterima baik</v>
      </c>
      <c r="P56" s="33"/>
      <c r="Q56" s="26">
        <v>51</v>
      </c>
      <c r="R56" s="25">
        <f t="shared" si="5"/>
        <v>1</v>
      </c>
      <c r="S56" s="25">
        <f t="shared" si="6"/>
        <v>1</v>
      </c>
      <c r="T56" s="25">
        <f t="shared" si="7"/>
        <v>1</v>
      </c>
      <c r="U56" s="25">
        <f t="shared" si="8"/>
        <v>1</v>
      </c>
      <c r="V56" s="25">
        <f t="shared" si="9"/>
        <v>1</v>
      </c>
      <c r="W56" s="25">
        <f t="shared" si="10"/>
        <v>1</v>
      </c>
      <c r="X56" s="25">
        <f t="shared" si="11"/>
        <v>1</v>
      </c>
      <c r="Y56" s="25">
        <f t="shared" si="12"/>
        <v>0</v>
      </c>
      <c r="Z56" s="25">
        <f t="shared" si="13"/>
        <v>0</v>
      </c>
      <c r="AA56" s="25">
        <f t="shared" si="14"/>
        <v>1</v>
      </c>
      <c r="AB56" s="3">
        <f t="shared" si="15"/>
        <v>0.8</v>
      </c>
      <c r="AC56" s="3">
        <f t="shared" si="16"/>
        <v>0.19999999999999996</v>
      </c>
      <c r="AD56" s="3">
        <f t="shared" si="17"/>
        <v>0.15999999999999998</v>
      </c>
      <c r="AE56" s="20"/>
    </row>
    <row r="57" spans="1:31" ht="42" x14ac:dyDescent="0.3">
      <c r="A57" s="30" t="s">
        <v>483</v>
      </c>
      <c r="B57" s="25">
        <v>0</v>
      </c>
      <c r="C57" s="25">
        <v>1</v>
      </c>
      <c r="D57" s="25">
        <v>1</v>
      </c>
      <c r="E57" s="25">
        <v>1</v>
      </c>
      <c r="F57" s="25">
        <v>1</v>
      </c>
      <c r="G57" s="25">
        <v>1</v>
      </c>
      <c r="H57" s="25">
        <v>0</v>
      </c>
      <c r="I57" s="25">
        <v>1</v>
      </c>
      <c r="J57" s="25">
        <v>0</v>
      </c>
      <c r="K57" s="25">
        <v>0</v>
      </c>
      <c r="L57" s="12">
        <f t="shared" si="0"/>
        <v>0.6</v>
      </c>
      <c r="M57" s="25" t="str">
        <f t="shared" si="1"/>
        <v>sedang</v>
      </c>
      <c r="N57" s="12">
        <f t="shared" si="2"/>
        <v>0.4</v>
      </c>
      <c r="O57" s="25" t="str">
        <f t="shared" si="3"/>
        <v>soal diterima baik</v>
      </c>
      <c r="P57" s="33"/>
      <c r="Q57" s="26">
        <v>52</v>
      </c>
      <c r="R57" s="25">
        <f t="shared" si="5"/>
        <v>0</v>
      </c>
      <c r="S57" s="25">
        <f t="shared" si="6"/>
        <v>1</v>
      </c>
      <c r="T57" s="25">
        <f t="shared" si="7"/>
        <v>0</v>
      </c>
      <c r="U57" s="25">
        <f t="shared" si="8"/>
        <v>1</v>
      </c>
      <c r="V57" s="25">
        <f t="shared" si="9"/>
        <v>0</v>
      </c>
      <c r="W57" s="25">
        <f t="shared" si="10"/>
        <v>0</v>
      </c>
      <c r="X57" s="25">
        <f t="shared" si="11"/>
        <v>0</v>
      </c>
      <c r="Y57" s="25">
        <f t="shared" si="12"/>
        <v>0</v>
      </c>
      <c r="Z57" s="25">
        <f t="shared" si="13"/>
        <v>0</v>
      </c>
      <c r="AA57" s="25">
        <f t="shared" si="14"/>
        <v>0</v>
      </c>
      <c r="AB57" s="3">
        <f t="shared" si="15"/>
        <v>0.2</v>
      </c>
      <c r="AC57" s="3">
        <f t="shared" si="16"/>
        <v>0.8</v>
      </c>
      <c r="AD57" s="3">
        <f t="shared" si="17"/>
        <v>0.16000000000000003</v>
      </c>
      <c r="AE57" s="20"/>
    </row>
    <row r="58" spans="1:31" ht="42" x14ac:dyDescent="0.3">
      <c r="A58" s="24" t="s">
        <v>484</v>
      </c>
      <c r="B58" s="25">
        <v>1</v>
      </c>
      <c r="C58" s="25">
        <v>0</v>
      </c>
      <c r="D58" s="25">
        <v>0</v>
      </c>
      <c r="E58" s="25">
        <v>0</v>
      </c>
      <c r="F58" s="25">
        <v>0</v>
      </c>
      <c r="G58" s="25">
        <v>0</v>
      </c>
      <c r="H58" s="25">
        <v>0</v>
      </c>
      <c r="I58" s="25">
        <v>1</v>
      </c>
      <c r="J58" s="25">
        <v>1</v>
      </c>
      <c r="K58" s="25">
        <v>1</v>
      </c>
      <c r="L58" s="12">
        <f t="shared" si="0"/>
        <v>0.4</v>
      </c>
      <c r="M58" s="25" t="str">
        <f t="shared" si="1"/>
        <v>sedang</v>
      </c>
      <c r="N58" s="12">
        <f t="shared" si="2"/>
        <v>0.4</v>
      </c>
      <c r="O58" s="25" t="str">
        <f t="shared" si="3"/>
        <v>soal diterima baik</v>
      </c>
      <c r="P58" s="33"/>
      <c r="Q58" s="26">
        <v>53</v>
      </c>
      <c r="R58" s="25">
        <f t="shared" si="5"/>
        <v>0</v>
      </c>
      <c r="S58" s="25">
        <f t="shared" si="6"/>
        <v>1</v>
      </c>
      <c r="T58" s="25">
        <f t="shared" si="7"/>
        <v>1</v>
      </c>
      <c r="U58" s="25">
        <f t="shared" si="8"/>
        <v>1</v>
      </c>
      <c r="V58" s="25">
        <f t="shared" si="9"/>
        <v>1</v>
      </c>
      <c r="W58" s="25">
        <f t="shared" si="10"/>
        <v>1</v>
      </c>
      <c r="X58" s="25">
        <f t="shared" si="11"/>
        <v>0</v>
      </c>
      <c r="Y58" s="25">
        <f t="shared" si="12"/>
        <v>1</v>
      </c>
      <c r="Z58" s="25">
        <f t="shared" si="13"/>
        <v>0</v>
      </c>
      <c r="AA58" s="25">
        <f t="shared" si="14"/>
        <v>0</v>
      </c>
      <c r="AB58" s="3">
        <f t="shared" si="15"/>
        <v>0.6</v>
      </c>
      <c r="AC58" s="3">
        <f t="shared" si="16"/>
        <v>0.4</v>
      </c>
      <c r="AD58" s="3">
        <f t="shared" si="17"/>
        <v>0.24</v>
      </c>
      <c r="AE58" s="20"/>
    </row>
    <row r="59" spans="1:31" ht="56" x14ac:dyDescent="0.3">
      <c r="A59" s="24" t="s">
        <v>485</v>
      </c>
      <c r="B59" s="25">
        <v>1</v>
      </c>
      <c r="C59" s="25">
        <v>1</v>
      </c>
      <c r="D59" s="25">
        <v>1</v>
      </c>
      <c r="E59" s="25">
        <v>1</v>
      </c>
      <c r="F59" s="25">
        <v>1</v>
      </c>
      <c r="G59" s="25">
        <v>1</v>
      </c>
      <c r="H59" s="25">
        <v>1</v>
      </c>
      <c r="I59" s="25">
        <v>0</v>
      </c>
      <c r="J59" s="25">
        <v>0</v>
      </c>
      <c r="K59" s="25">
        <v>1</v>
      </c>
      <c r="L59" s="12">
        <f t="shared" si="0"/>
        <v>0.8</v>
      </c>
      <c r="M59" s="25" t="str">
        <f t="shared" si="1"/>
        <v>mudah</v>
      </c>
      <c r="N59" s="12">
        <f t="shared" si="2"/>
        <v>0.4</v>
      </c>
      <c r="O59" s="25" t="str">
        <f t="shared" si="3"/>
        <v>soal diterima baik</v>
      </c>
      <c r="P59" s="33"/>
      <c r="Q59" s="26">
        <v>54</v>
      </c>
      <c r="R59" s="25">
        <f t="shared" si="5"/>
        <v>1</v>
      </c>
      <c r="S59" s="25">
        <f t="shared" si="6"/>
        <v>0</v>
      </c>
      <c r="T59" s="25">
        <f t="shared" si="7"/>
        <v>0</v>
      </c>
      <c r="U59" s="25">
        <f t="shared" si="8"/>
        <v>0</v>
      </c>
      <c r="V59" s="25">
        <f t="shared" si="9"/>
        <v>0</v>
      </c>
      <c r="W59" s="25">
        <f t="shared" si="10"/>
        <v>0</v>
      </c>
      <c r="X59" s="25">
        <f t="shared" si="11"/>
        <v>0</v>
      </c>
      <c r="Y59" s="25">
        <f t="shared" si="12"/>
        <v>1</v>
      </c>
      <c r="Z59" s="25">
        <f t="shared" si="13"/>
        <v>1</v>
      </c>
      <c r="AA59" s="25">
        <f t="shared" si="14"/>
        <v>1</v>
      </c>
      <c r="AB59" s="3">
        <f t="shared" si="15"/>
        <v>0.4</v>
      </c>
      <c r="AC59" s="3">
        <f t="shared" si="16"/>
        <v>0.6</v>
      </c>
      <c r="AD59" s="3">
        <f t="shared" si="17"/>
        <v>0.24</v>
      </c>
      <c r="AE59" s="20"/>
    </row>
    <row r="60" spans="1:31" ht="56" x14ac:dyDescent="0.3">
      <c r="A60" s="30" t="s">
        <v>486</v>
      </c>
      <c r="B60" s="25">
        <v>0</v>
      </c>
      <c r="C60" s="25">
        <v>0</v>
      </c>
      <c r="D60" s="25">
        <v>0</v>
      </c>
      <c r="E60" s="25">
        <v>0</v>
      </c>
      <c r="F60" s="25">
        <v>1</v>
      </c>
      <c r="G60" s="25">
        <v>1</v>
      </c>
      <c r="H60" s="25">
        <v>1</v>
      </c>
      <c r="I60" s="25">
        <v>0</v>
      </c>
      <c r="J60" s="25">
        <v>1</v>
      </c>
      <c r="K60" s="25">
        <v>0</v>
      </c>
      <c r="L60" s="12">
        <f t="shared" si="0"/>
        <v>0.4</v>
      </c>
      <c r="M60" s="25" t="str">
        <f t="shared" si="1"/>
        <v>sedang</v>
      </c>
      <c r="N60" s="12">
        <f t="shared" si="2"/>
        <v>0.4</v>
      </c>
      <c r="O60" s="25" t="str">
        <f t="shared" si="3"/>
        <v>soal diterima baik</v>
      </c>
      <c r="P60" s="33"/>
      <c r="Q60" s="26">
        <v>55</v>
      </c>
      <c r="R60" s="25">
        <f t="shared" si="5"/>
        <v>1</v>
      </c>
      <c r="S60" s="25">
        <f t="shared" si="6"/>
        <v>1</v>
      </c>
      <c r="T60" s="25">
        <f t="shared" si="7"/>
        <v>1</v>
      </c>
      <c r="U60" s="25">
        <f t="shared" si="8"/>
        <v>1</v>
      </c>
      <c r="V60" s="25">
        <f t="shared" si="9"/>
        <v>1</v>
      </c>
      <c r="W60" s="25">
        <f t="shared" si="10"/>
        <v>1</v>
      </c>
      <c r="X60" s="25">
        <f t="shared" si="11"/>
        <v>1</v>
      </c>
      <c r="Y60" s="25">
        <f t="shared" si="12"/>
        <v>0</v>
      </c>
      <c r="Z60" s="25">
        <f t="shared" si="13"/>
        <v>0</v>
      </c>
      <c r="AA60" s="25">
        <f t="shared" si="14"/>
        <v>1</v>
      </c>
      <c r="AB60" s="3">
        <f t="shared" si="15"/>
        <v>0.8</v>
      </c>
      <c r="AC60" s="3">
        <f t="shared" si="16"/>
        <v>0.19999999999999996</v>
      </c>
      <c r="AD60" s="3">
        <f t="shared" si="17"/>
        <v>0.15999999999999998</v>
      </c>
      <c r="AE60" s="20"/>
    </row>
    <row r="61" spans="1:31" ht="42" x14ac:dyDescent="0.3">
      <c r="A61" s="24" t="s">
        <v>487</v>
      </c>
      <c r="B61" s="25">
        <v>1</v>
      </c>
      <c r="C61" s="25">
        <v>1</v>
      </c>
      <c r="D61" s="25">
        <v>0</v>
      </c>
      <c r="E61" s="25">
        <v>1</v>
      </c>
      <c r="F61" s="25">
        <v>1</v>
      </c>
      <c r="G61" s="25">
        <v>1</v>
      </c>
      <c r="H61" s="25">
        <v>0</v>
      </c>
      <c r="I61" s="25">
        <v>0</v>
      </c>
      <c r="J61" s="25">
        <v>1</v>
      </c>
      <c r="K61" s="25">
        <v>0</v>
      </c>
      <c r="L61" s="12">
        <f t="shared" si="0"/>
        <v>0.6</v>
      </c>
      <c r="M61" s="25" t="str">
        <f t="shared" si="1"/>
        <v>sedang</v>
      </c>
      <c r="N61" s="12">
        <f t="shared" si="2"/>
        <v>0.4</v>
      </c>
      <c r="O61" s="25" t="str">
        <f t="shared" si="3"/>
        <v>soal diterima baik</v>
      </c>
      <c r="P61" s="33"/>
      <c r="Q61" s="26">
        <v>56</v>
      </c>
      <c r="R61" s="25">
        <f t="shared" si="5"/>
        <v>0</v>
      </c>
      <c r="S61" s="25">
        <f t="shared" si="6"/>
        <v>0</v>
      </c>
      <c r="T61" s="25">
        <f t="shared" si="7"/>
        <v>0</v>
      </c>
      <c r="U61" s="25">
        <f t="shared" si="8"/>
        <v>0</v>
      </c>
      <c r="V61" s="25">
        <f t="shared" si="9"/>
        <v>1</v>
      </c>
      <c r="W61" s="25">
        <f t="shared" si="10"/>
        <v>1</v>
      </c>
      <c r="X61" s="25">
        <f t="shared" si="11"/>
        <v>1</v>
      </c>
      <c r="Y61" s="25">
        <f t="shared" si="12"/>
        <v>0</v>
      </c>
      <c r="Z61" s="25">
        <f t="shared" si="13"/>
        <v>1</v>
      </c>
      <c r="AA61" s="25">
        <f t="shared" si="14"/>
        <v>0</v>
      </c>
      <c r="AB61" s="3">
        <f t="shared" si="15"/>
        <v>0.4</v>
      </c>
      <c r="AC61" s="3">
        <f t="shared" si="16"/>
        <v>0.6</v>
      </c>
      <c r="AD61" s="3">
        <f t="shared" si="17"/>
        <v>0.24</v>
      </c>
      <c r="AE61" s="20"/>
    </row>
    <row r="62" spans="1:31" ht="42" x14ac:dyDescent="0.3">
      <c r="A62" s="30" t="s">
        <v>488</v>
      </c>
      <c r="B62" s="25">
        <v>0</v>
      </c>
      <c r="C62" s="25">
        <v>1</v>
      </c>
      <c r="D62" s="25">
        <v>1</v>
      </c>
      <c r="E62" s="25">
        <v>0</v>
      </c>
      <c r="F62" s="25">
        <v>0</v>
      </c>
      <c r="G62" s="25">
        <v>1</v>
      </c>
      <c r="H62" s="25">
        <v>1</v>
      </c>
      <c r="I62" s="25">
        <v>0</v>
      </c>
      <c r="J62" s="25">
        <v>1</v>
      </c>
      <c r="K62" s="25">
        <v>1</v>
      </c>
      <c r="L62" s="12">
        <f t="shared" si="0"/>
        <v>0.6</v>
      </c>
      <c r="M62" s="25" t="str">
        <f t="shared" si="1"/>
        <v>sedang</v>
      </c>
      <c r="N62" s="12">
        <f t="shared" si="2"/>
        <v>0.4</v>
      </c>
      <c r="O62" s="25" t="str">
        <f t="shared" si="3"/>
        <v>soal diterima baik</v>
      </c>
      <c r="P62" s="33"/>
      <c r="Q62" s="26">
        <v>57</v>
      </c>
      <c r="R62" s="25">
        <f t="shared" si="5"/>
        <v>1</v>
      </c>
      <c r="S62" s="25">
        <f t="shared" si="6"/>
        <v>1</v>
      </c>
      <c r="T62" s="25">
        <f t="shared" si="7"/>
        <v>0</v>
      </c>
      <c r="U62" s="25">
        <f t="shared" si="8"/>
        <v>1</v>
      </c>
      <c r="V62" s="25">
        <f t="shared" si="9"/>
        <v>1</v>
      </c>
      <c r="W62" s="25">
        <f t="shared" si="10"/>
        <v>1</v>
      </c>
      <c r="X62" s="25">
        <f t="shared" si="11"/>
        <v>0</v>
      </c>
      <c r="Y62" s="25">
        <f t="shared" si="12"/>
        <v>0</v>
      </c>
      <c r="Z62" s="25">
        <f t="shared" si="13"/>
        <v>1</v>
      </c>
      <c r="AA62" s="25">
        <f t="shared" si="14"/>
        <v>0</v>
      </c>
      <c r="AB62" s="3">
        <f t="shared" si="15"/>
        <v>0.6</v>
      </c>
      <c r="AC62" s="3">
        <f t="shared" si="16"/>
        <v>0.4</v>
      </c>
      <c r="AD62" s="3">
        <f t="shared" si="17"/>
        <v>0.24</v>
      </c>
      <c r="AE62" s="20"/>
    </row>
    <row r="63" spans="1:31" ht="42" x14ac:dyDescent="0.3">
      <c r="A63" s="30" t="s">
        <v>489</v>
      </c>
      <c r="B63" s="25">
        <v>0</v>
      </c>
      <c r="C63" s="25">
        <v>1</v>
      </c>
      <c r="D63" s="25">
        <v>1</v>
      </c>
      <c r="E63" s="25">
        <v>0</v>
      </c>
      <c r="F63" s="25">
        <v>0</v>
      </c>
      <c r="G63" s="25">
        <v>1</v>
      </c>
      <c r="H63" s="25">
        <v>0</v>
      </c>
      <c r="I63" s="25">
        <v>1</v>
      </c>
      <c r="J63" s="25">
        <v>1</v>
      </c>
      <c r="K63" s="25">
        <v>1</v>
      </c>
      <c r="L63" s="12">
        <f t="shared" si="0"/>
        <v>0.6</v>
      </c>
      <c r="M63" s="25" t="str">
        <f t="shared" si="1"/>
        <v>sedang</v>
      </c>
      <c r="N63" s="12">
        <f t="shared" si="2"/>
        <v>0.4</v>
      </c>
      <c r="O63" s="25" t="str">
        <f t="shared" si="3"/>
        <v>soal diterima baik</v>
      </c>
      <c r="P63" s="33"/>
      <c r="Q63" s="26">
        <v>58</v>
      </c>
      <c r="R63" s="25">
        <f t="shared" si="5"/>
        <v>0</v>
      </c>
      <c r="S63" s="25">
        <f t="shared" si="6"/>
        <v>1</v>
      </c>
      <c r="T63" s="25">
        <f t="shared" si="7"/>
        <v>1</v>
      </c>
      <c r="U63" s="25">
        <f t="shared" si="8"/>
        <v>0</v>
      </c>
      <c r="V63" s="25">
        <f t="shared" si="9"/>
        <v>0</v>
      </c>
      <c r="W63" s="25">
        <f t="shared" si="10"/>
        <v>1</v>
      </c>
      <c r="X63" s="25">
        <f t="shared" si="11"/>
        <v>1</v>
      </c>
      <c r="Y63" s="25">
        <f t="shared" si="12"/>
        <v>0</v>
      </c>
      <c r="Z63" s="25">
        <f t="shared" si="13"/>
        <v>1</v>
      </c>
      <c r="AA63" s="25">
        <f t="shared" si="14"/>
        <v>1</v>
      </c>
      <c r="AB63" s="3">
        <f t="shared" si="15"/>
        <v>0.6</v>
      </c>
      <c r="AC63" s="3">
        <f t="shared" si="16"/>
        <v>0.4</v>
      </c>
      <c r="AD63" s="3">
        <f t="shared" si="17"/>
        <v>0.24</v>
      </c>
      <c r="AE63" s="20"/>
    </row>
    <row r="64" spans="1:31" ht="42" x14ac:dyDescent="0.3">
      <c r="A64" s="28" t="s">
        <v>490</v>
      </c>
      <c r="B64" s="25">
        <v>1</v>
      </c>
      <c r="C64" s="25">
        <v>1</v>
      </c>
      <c r="D64" s="25">
        <v>1</v>
      </c>
      <c r="E64" s="25">
        <v>0</v>
      </c>
      <c r="F64" s="25">
        <v>1</v>
      </c>
      <c r="G64" s="25">
        <v>0</v>
      </c>
      <c r="H64" s="25">
        <v>0</v>
      </c>
      <c r="I64" s="25">
        <v>0</v>
      </c>
      <c r="J64" s="25">
        <v>0</v>
      </c>
      <c r="K64" s="25">
        <v>0</v>
      </c>
      <c r="L64" s="12">
        <f t="shared" si="0"/>
        <v>0.4</v>
      </c>
      <c r="M64" s="25" t="str">
        <f t="shared" si="1"/>
        <v>sedang</v>
      </c>
      <c r="N64" s="12">
        <f t="shared" si="2"/>
        <v>0.8</v>
      </c>
      <c r="O64" s="25" t="str">
        <f t="shared" si="3"/>
        <v>soal diterima baik</v>
      </c>
      <c r="P64" s="33"/>
      <c r="Q64" s="26">
        <v>59</v>
      </c>
      <c r="R64" s="25">
        <f t="shared" si="5"/>
        <v>0</v>
      </c>
      <c r="S64" s="25">
        <f t="shared" si="6"/>
        <v>1</v>
      </c>
      <c r="T64" s="25">
        <f t="shared" si="7"/>
        <v>1</v>
      </c>
      <c r="U64" s="25">
        <f t="shared" si="8"/>
        <v>0</v>
      </c>
      <c r="V64" s="25">
        <f t="shared" si="9"/>
        <v>0</v>
      </c>
      <c r="W64" s="25">
        <f t="shared" si="10"/>
        <v>1</v>
      </c>
      <c r="X64" s="25">
        <f t="shared" si="11"/>
        <v>0</v>
      </c>
      <c r="Y64" s="25">
        <f t="shared" si="12"/>
        <v>1</v>
      </c>
      <c r="Z64" s="25">
        <f t="shared" si="13"/>
        <v>1</v>
      </c>
      <c r="AA64" s="25">
        <f t="shared" si="14"/>
        <v>1</v>
      </c>
      <c r="AB64" s="3">
        <f t="shared" si="15"/>
        <v>0.6</v>
      </c>
      <c r="AC64" s="3">
        <f t="shared" si="16"/>
        <v>0.4</v>
      </c>
      <c r="AD64" s="3">
        <f t="shared" si="17"/>
        <v>0.24</v>
      </c>
      <c r="AE64" s="20"/>
    </row>
    <row r="65" spans="1:31" ht="42" x14ac:dyDescent="0.3">
      <c r="A65" s="24" t="s">
        <v>491</v>
      </c>
      <c r="B65" s="25">
        <v>1</v>
      </c>
      <c r="C65" s="25">
        <v>1</v>
      </c>
      <c r="D65" s="25">
        <v>1</v>
      </c>
      <c r="E65" s="25">
        <v>1</v>
      </c>
      <c r="F65" s="25">
        <v>1</v>
      </c>
      <c r="G65" s="25">
        <v>0</v>
      </c>
      <c r="H65" s="25">
        <v>1</v>
      </c>
      <c r="I65" s="25">
        <v>0</v>
      </c>
      <c r="J65" s="25">
        <v>0</v>
      </c>
      <c r="K65" s="25">
        <v>0</v>
      </c>
      <c r="L65" s="12">
        <f t="shared" si="0"/>
        <v>0.6</v>
      </c>
      <c r="M65" s="25" t="str">
        <f t="shared" si="1"/>
        <v>sedang</v>
      </c>
      <c r="N65" s="12">
        <f t="shared" si="2"/>
        <v>0.8</v>
      </c>
      <c r="O65" s="25" t="str">
        <f t="shared" si="3"/>
        <v>soal diterima baik</v>
      </c>
      <c r="P65" s="33"/>
      <c r="Q65" s="26">
        <v>60</v>
      </c>
      <c r="R65" s="25">
        <f t="shared" si="5"/>
        <v>1</v>
      </c>
      <c r="S65" s="25">
        <f t="shared" si="6"/>
        <v>1</v>
      </c>
      <c r="T65" s="25">
        <f t="shared" si="7"/>
        <v>1</v>
      </c>
      <c r="U65" s="25">
        <f t="shared" si="8"/>
        <v>0</v>
      </c>
      <c r="V65" s="25">
        <f t="shared" si="9"/>
        <v>1</v>
      </c>
      <c r="W65" s="25">
        <f t="shared" si="10"/>
        <v>0</v>
      </c>
      <c r="X65" s="25">
        <f t="shared" si="11"/>
        <v>0</v>
      </c>
      <c r="Y65" s="25">
        <f t="shared" si="12"/>
        <v>0</v>
      </c>
      <c r="Z65" s="25">
        <f t="shared" si="13"/>
        <v>0</v>
      </c>
      <c r="AA65" s="25">
        <f t="shared" si="14"/>
        <v>0</v>
      </c>
      <c r="AB65" s="3">
        <f t="shared" si="15"/>
        <v>0.4</v>
      </c>
      <c r="AC65" s="3">
        <f t="shared" si="16"/>
        <v>0.6</v>
      </c>
      <c r="AD65" s="3">
        <f t="shared" si="17"/>
        <v>0.24</v>
      </c>
      <c r="AE65" s="20"/>
    </row>
    <row r="66" spans="1:31" ht="112" x14ac:dyDescent="0.3">
      <c r="A66" s="30" t="s">
        <v>492</v>
      </c>
      <c r="B66" s="25">
        <v>1</v>
      </c>
      <c r="C66" s="25">
        <v>0</v>
      </c>
      <c r="D66" s="25">
        <v>0</v>
      </c>
      <c r="E66" s="25">
        <v>1</v>
      </c>
      <c r="F66" s="25">
        <v>1</v>
      </c>
      <c r="G66" s="25">
        <v>1</v>
      </c>
      <c r="H66" s="25">
        <v>0</v>
      </c>
      <c r="I66" s="25">
        <v>0</v>
      </c>
      <c r="J66" s="25">
        <v>0</v>
      </c>
      <c r="K66" s="25">
        <v>0</v>
      </c>
      <c r="L66" s="12">
        <f t="shared" si="0"/>
        <v>0.4</v>
      </c>
      <c r="M66" s="25" t="str">
        <f t="shared" si="1"/>
        <v>sedang</v>
      </c>
      <c r="N66" s="12">
        <f t="shared" si="2"/>
        <v>0.4</v>
      </c>
      <c r="O66" s="25" t="str">
        <f t="shared" si="3"/>
        <v>soal diterima baik</v>
      </c>
      <c r="P66" s="33"/>
      <c r="Q66" s="26">
        <v>61</v>
      </c>
      <c r="R66" s="25">
        <f t="shared" si="5"/>
        <v>1</v>
      </c>
      <c r="S66" s="25">
        <f t="shared" si="6"/>
        <v>1</v>
      </c>
      <c r="T66" s="25">
        <f t="shared" si="7"/>
        <v>1</v>
      </c>
      <c r="U66" s="25">
        <f t="shared" si="8"/>
        <v>1</v>
      </c>
      <c r="V66" s="25">
        <f t="shared" si="9"/>
        <v>1</v>
      </c>
      <c r="W66" s="25">
        <f t="shared" si="10"/>
        <v>0</v>
      </c>
      <c r="X66" s="25">
        <f t="shared" si="11"/>
        <v>1</v>
      </c>
      <c r="Y66" s="25">
        <f t="shared" si="12"/>
        <v>0</v>
      </c>
      <c r="Z66" s="25">
        <f t="shared" si="13"/>
        <v>0</v>
      </c>
      <c r="AA66" s="25">
        <f t="shared" si="14"/>
        <v>0</v>
      </c>
      <c r="AB66" s="3">
        <f t="shared" si="15"/>
        <v>0.6</v>
      </c>
      <c r="AC66" s="3">
        <f t="shared" si="16"/>
        <v>0.4</v>
      </c>
      <c r="AD66" s="3">
        <f t="shared" si="17"/>
        <v>0.24</v>
      </c>
      <c r="AE66" s="20"/>
    </row>
    <row r="67" spans="1:31" ht="42" x14ac:dyDescent="0.3">
      <c r="A67" s="24" t="s">
        <v>493</v>
      </c>
      <c r="B67" s="25">
        <v>0</v>
      </c>
      <c r="C67" s="25">
        <v>1</v>
      </c>
      <c r="D67" s="25">
        <v>0</v>
      </c>
      <c r="E67" s="25">
        <v>0</v>
      </c>
      <c r="F67" s="25">
        <v>1</v>
      </c>
      <c r="G67" s="25">
        <v>0</v>
      </c>
      <c r="H67" s="25">
        <v>1</v>
      </c>
      <c r="I67" s="25">
        <v>1</v>
      </c>
      <c r="J67" s="25">
        <v>1</v>
      </c>
      <c r="K67" s="25">
        <v>1</v>
      </c>
      <c r="L67" s="12">
        <f t="shared" si="0"/>
        <v>0.6</v>
      </c>
      <c r="M67" s="25" t="str">
        <f t="shared" si="1"/>
        <v>sedang</v>
      </c>
      <c r="N67" s="12">
        <f t="shared" si="2"/>
        <v>0.4</v>
      </c>
      <c r="O67" s="25" t="str">
        <f t="shared" si="3"/>
        <v>soal diterima baik</v>
      </c>
      <c r="P67" s="33"/>
      <c r="Q67" s="26">
        <v>62</v>
      </c>
      <c r="R67" s="25">
        <f t="shared" si="5"/>
        <v>1</v>
      </c>
      <c r="S67" s="25">
        <f t="shared" si="6"/>
        <v>0</v>
      </c>
      <c r="T67" s="25">
        <f t="shared" si="7"/>
        <v>0</v>
      </c>
      <c r="U67" s="25">
        <f t="shared" si="8"/>
        <v>1</v>
      </c>
      <c r="V67" s="25">
        <f t="shared" si="9"/>
        <v>1</v>
      </c>
      <c r="W67" s="25">
        <f t="shared" si="10"/>
        <v>1</v>
      </c>
      <c r="X67" s="25">
        <f t="shared" si="11"/>
        <v>0</v>
      </c>
      <c r="Y67" s="25">
        <f t="shared" si="12"/>
        <v>0</v>
      </c>
      <c r="Z67" s="25">
        <f t="shared" si="13"/>
        <v>0</v>
      </c>
      <c r="AA67" s="25">
        <f t="shared" si="14"/>
        <v>0</v>
      </c>
      <c r="AB67" s="3">
        <f t="shared" si="15"/>
        <v>0.4</v>
      </c>
      <c r="AC67" s="3">
        <f t="shared" si="16"/>
        <v>0.6</v>
      </c>
      <c r="AD67" s="3">
        <f t="shared" si="17"/>
        <v>0.24</v>
      </c>
      <c r="AE67" s="20"/>
    </row>
    <row r="68" spans="1:31" ht="42" x14ac:dyDescent="0.3">
      <c r="A68" s="30" t="s">
        <v>494</v>
      </c>
      <c r="B68" s="25">
        <v>1</v>
      </c>
      <c r="C68" s="25">
        <v>1</v>
      </c>
      <c r="D68" s="25">
        <v>0</v>
      </c>
      <c r="E68" s="25">
        <v>0</v>
      </c>
      <c r="F68" s="25">
        <v>1</v>
      </c>
      <c r="G68" s="25">
        <v>0</v>
      </c>
      <c r="H68" s="25">
        <v>0</v>
      </c>
      <c r="I68" s="25">
        <v>0</v>
      </c>
      <c r="J68" s="25">
        <v>0</v>
      </c>
      <c r="K68" s="25">
        <v>1</v>
      </c>
      <c r="L68" s="12">
        <f t="shared" si="0"/>
        <v>0.4</v>
      </c>
      <c r="M68" s="25" t="str">
        <f t="shared" si="1"/>
        <v>sedang</v>
      </c>
      <c r="N68" s="12">
        <f t="shared" si="2"/>
        <v>0.4</v>
      </c>
      <c r="O68" s="25" t="str">
        <f t="shared" si="3"/>
        <v>soal diterima baik</v>
      </c>
      <c r="P68" s="33"/>
      <c r="Q68" s="26">
        <v>63</v>
      </c>
      <c r="R68" s="25">
        <f t="shared" si="5"/>
        <v>0</v>
      </c>
      <c r="S68" s="25">
        <f t="shared" si="6"/>
        <v>1</v>
      </c>
      <c r="T68" s="25">
        <f t="shared" si="7"/>
        <v>0</v>
      </c>
      <c r="U68" s="25">
        <f t="shared" si="8"/>
        <v>0</v>
      </c>
      <c r="V68" s="25">
        <f t="shared" si="9"/>
        <v>1</v>
      </c>
      <c r="W68" s="25">
        <f t="shared" si="10"/>
        <v>0</v>
      </c>
      <c r="X68" s="25">
        <f t="shared" si="11"/>
        <v>1</v>
      </c>
      <c r="Y68" s="25">
        <f t="shared" si="12"/>
        <v>1</v>
      </c>
      <c r="Z68" s="25">
        <f t="shared" si="13"/>
        <v>1</v>
      </c>
      <c r="AA68" s="25">
        <f t="shared" si="14"/>
        <v>1</v>
      </c>
      <c r="AB68" s="3">
        <f t="shared" si="15"/>
        <v>0.6</v>
      </c>
      <c r="AC68" s="3">
        <f t="shared" si="16"/>
        <v>0.4</v>
      </c>
      <c r="AD68" s="3">
        <f t="shared" si="17"/>
        <v>0.24</v>
      </c>
      <c r="AE68" s="20"/>
    </row>
    <row r="69" spans="1:31" ht="42" x14ac:dyDescent="0.3">
      <c r="A69" s="30" t="s">
        <v>495</v>
      </c>
      <c r="B69" s="25">
        <v>1</v>
      </c>
      <c r="C69" s="25">
        <v>1</v>
      </c>
      <c r="D69" s="25">
        <v>1</v>
      </c>
      <c r="E69" s="25">
        <v>1</v>
      </c>
      <c r="F69" s="25">
        <v>1</v>
      </c>
      <c r="G69" s="25">
        <v>0</v>
      </c>
      <c r="H69" s="25">
        <v>1</v>
      </c>
      <c r="I69" s="25">
        <v>0</v>
      </c>
      <c r="J69" s="25">
        <v>0</v>
      </c>
      <c r="K69" s="25">
        <v>0</v>
      </c>
      <c r="L69" s="12">
        <f t="shared" si="0"/>
        <v>0.6</v>
      </c>
      <c r="M69" s="25" t="str">
        <f t="shared" si="1"/>
        <v>sedang</v>
      </c>
      <c r="N69" s="12">
        <f t="shared" si="2"/>
        <v>0.8</v>
      </c>
      <c r="O69" s="25" t="str">
        <f t="shared" si="3"/>
        <v>soal diterima baik</v>
      </c>
      <c r="P69" s="33"/>
      <c r="Q69" s="26">
        <v>64</v>
      </c>
      <c r="R69" s="25">
        <f t="shared" si="5"/>
        <v>1</v>
      </c>
      <c r="S69" s="25">
        <f t="shared" si="6"/>
        <v>1</v>
      </c>
      <c r="T69" s="25">
        <f t="shared" si="7"/>
        <v>0</v>
      </c>
      <c r="U69" s="25">
        <f t="shared" si="8"/>
        <v>0</v>
      </c>
      <c r="V69" s="25">
        <f t="shared" si="9"/>
        <v>1</v>
      </c>
      <c r="W69" s="25">
        <f t="shared" si="10"/>
        <v>0</v>
      </c>
      <c r="X69" s="25">
        <f t="shared" si="11"/>
        <v>0</v>
      </c>
      <c r="Y69" s="25">
        <f t="shared" si="12"/>
        <v>0</v>
      </c>
      <c r="Z69" s="25">
        <f t="shared" si="13"/>
        <v>0</v>
      </c>
      <c r="AA69" s="25">
        <f t="shared" si="14"/>
        <v>1</v>
      </c>
      <c r="AB69" s="3">
        <f t="shared" si="15"/>
        <v>0.4</v>
      </c>
      <c r="AC69" s="3">
        <f t="shared" si="16"/>
        <v>0.6</v>
      </c>
      <c r="AD69" s="3">
        <f t="shared" si="17"/>
        <v>0.24</v>
      </c>
      <c r="AE69" s="20"/>
    </row>
    <row r="70" spans="1:31" ht="42" x14ac:dyDescent="0.3">
      <c r="A70" s="30" t="s">
        <v>496</v>
      </c>
      <c r="B70" s="25">
        <v>1</v>
      </c>
      <c r="C70" s="25">
        <v>0</v>
      </c>
      <c r="D70" s="25">
        <v>0</v>
      </c>
      <c r="E70" s="25">
        <v>1</v>
      </c>
      <c r="F70" s="25">
        <v>1</v>
      </c>
      <c r="G70" s="25">
        <v>0</v>
      </c>
      <c r="H70" s="25">
        <v>1</v>
      </c>
      <c r="I70" s="25">
        <v>0</v>
      </c>
      <c r="J70" s="25">
        <v>0</v>
      </c>
      <c r="K70" s="25">
        <v>0</v>
      </c>
      <c r="L70" s="12">
        <f t="shared" ref="L70:L104" si="18">SUM(B70:K70)/10</f>
        <v>0.4</v>
      </c>
      <c r="M70" s="25" t="str">
        <f t="shared" ref="M70:M104" si="19">IF(L70&lt;0.31,"sukar",IF(L70&lt;0.71,"sedang","mudah"))</f>
        <v>sedang</v>
      </c>
      <c r="N70" s="12">
        <f t="shared" ref="N70:N104" si="20">ABS((SUM(B70:F70)-SUM(G70:K70))*2/10)</f>
        <v>0.4</v>
      </c>
      <c r="O70" s="25" t="str">
        <f t="shared" ref="O70:O104" si="21">IF(N70&lt;0.2,"soal dibuang",IF(N70&lt;0.3,"soal diperbaiki",IF(N70&lt;0.4,"soal diterima tapi perlu diperbaiki","soal diterima baik")))</f>
        <v>soal diterima baik</v>
      </c>
      <c r="P70" s="33"/>
      <c r="Q70" s="26">
        <v>65</v>
      </c>
      <c r="R70" s="25">
        <f t="shared" si="5"/>
        <v>1</v>
      </c>
      <c r="S70" s="25">
        <f t="shared" si="6"/>
        <v>1</v>
      </c>
      <c r="T70" s="25">
        <f t="shared" si="7"/>
        <v>1</v>
      </c>
      <c r="U70" s="25">
        <f t="shared" si="8"/>
        <v>1</v>
      </c>
      <c r="V70" s="25">
        <f t="shared" si="9"/>
        <v>1</v>
      </c>
      <c r="W70" s="25">
        <f t="shared" si="10"/>
        <v>0</v>
      </c>
      <c r="X70" s="25">
        <f t="shared" si="11"/>
        <v>1</v>
      </c>
      <c r="Y70" s="25">
        <f t="shared" si="12"/>
        <v>0</v>
      </c>
      <c r="Z70" s="25">
        <f t="shared" si="13"/>
        <v>0</v>
      </c>
      <c r="AA70" s="25">
        <f t="shared" si="14"/>
        <v>0</v>
      </c>
      <c r="AB70" s="3">
        <f t="shared" si="15"/>
        <v>0.6</v>
      </c>
      <c r="AC70" s="3">
        <f t="shared" si="16"/>
        <v>0.4</v>
      </c>
      <c r="AD70" s="3">
        <f t="shared" si="17"/>
        <v>0.24</v>
      </c>
      <c r="AE70" s="20"/>
    </row>
    <row r="71" spans="1:31" ht="56" x14ac:dyDescent="0.3">
      <c r="A71" s="24" t="s">
        <v>497</v>
      </c>
      <c r="B71" s="25">
        <v>0</v>
      </c>
      <c r="C71" s="25">
        <v>1</v>
      </c>
      <c r="D71" s="25">
        <v>0</v>
      </c>
      <c r="E71" s="25">
        <v>0</v>
      </c>
      <c r="F71" s="25">
        <v>1</v>
      </c>
      <c r="G71" s="25">
        <v>0</v>
      </c>
      <c r="H71" s="25">
        <v>0</v>
      </c>
      <c r="I71" s="25">
        <v>0</v>
      </c>
      <c r="J71" s="25">
        <v>0</v>
      </c>
      <c r="K71" s="25">
        <v>0</v>
      </c>
      <c r="L71" s="12">
        <f t="shared" si="18"/>
        <v>0.2</v>
      </c>
      <c r="M71" s="25" t="str">
        <f t="shared" si="19"/>
        <v>sukar</v>
      </c>
      <c r="N71" s="12">
        <f t="shared" si="20"/>
        <v>0.4</v>
      </c>
      <c r="O71" s="25" t="str">
        <f t="shared" si="21"/>
        <v>soal diterima baik</v>
      </c>
      <c r="P71" s="33"/>
      <c r="Q71" s="26">
        <v>66</v>
      </c>
      <c r="R71" s="25">
        <f t="shared" ref="R71:R105" si="22">B70</f>
        <v>1</v>
      </c>
      <c r="S71" s="25">
        <f t="shared" ref="S71:S105" si="23">C70</f>
        <v>0</v>
      </c>
      <c r="T71" s="25">
        <f t="shared" ref="T71:T105" si="24">D70</f>
        <v>0</v>
      </c>
      <c r="U71" s="25">
        <f t="shared" ref="U71:U105" si="25">E70</f>
        <v>1</v>
      </c>
      <c r="V71" s="25">
        <f t="shared" ref="V71:V105" si="26">F70</f>
        <v>1</v>
      </c>
      <c r="W71" s="25">
        <f t="shared" ref="W71:W105" si="27">G70</f>
        <v>0</v>
      </c>
      <c r="X71" s="25">
        <f t="shared" ref="X71:X105" si="28">H70</f>
        <v>1</v>
      </c>
      <c r="Y71" s="25">
        <f t="shared" ref="Y71:Y105" si="29">I70</f>
        <v>0</v>
      </c>
      <c r="Z71" s="25">
        <f t="shared" ref="Z71:Z105" si="30">J70</f>
        <v>0</v>
      </c>
      <c r="AA71" s="25">
        <f t="shared" ref="AA71:AA105" si="31">K70</f>
        <v>0</v>
      </c>
      <c r="AB71" s="3">
        <f t="shared" ref="AB71:AB104" si="32">SUM(R71:AA71)/COUNT(R71:AA71)</f>
        <v>0.4</v>
      </c>
      <c r="AC71" s="3">
        <f t="shared" ref="AC71:AC105" si="33">1-AB71</f>
        <v>0.6</v>
      </c>
      <c r="AD71" s="3">
        <f t="shared" ref="AD71:AD105" si="34">AB71*AC71</f>
        <v>0.24</v>
      </c>
      <c r="AE71" s="20"/>
    </row>
    <row r="72" spans="1:31" ht="42" x14ac:dyDescent="0.3">
      <c r="A72" s="24" t="s">
        <v>498</v>
      </c>
      <c r="B72" s="25">
        <v>1</v>
      </c>
      <c r="C72" s="25">
        <v>0</v>
      </c>
      <c r="D72" s="25">
        <v>0</v>
      </c>
      <c r="E72" s="25">
        <v>1</v>
      </c>
      <c r="F72" s="25">
        <v>0</v>
      </c>
      <c r="G72" s="25">
        <v>1</v>
      </c>
      <c r="H72" s="25">
        <v>1</v>
      </c>
      <c r="I72" s="25">
        <v>0</v>
      </c>
      <c r="J72" s="25">
        <v>1</v>
      </c>
      <c r="K72" s="25">
        <v>1</v>
      </c>
      <c r="L72" s="12">
        <f t="shared" si="18"/>
        <v>0.6</v>
      </c>
      <c r="M72" s="25" t="str">
        <f t="shared" si="19"/>
        <v>sedang</v>
      </c>
      <c r="N72" s="12">
        <f t="shared" si="20"/>
        <v>0.4</v>
      </c>
      <c r="O72" s="25" t="str">
        <f t="shared" si="21"/>
        <v>soal diterima baik</v>
      </c>
      <c r="P72" s="33"/>
      <c r="Q72" s="26">
        <v>67</v>
      </c>
      <c r="R72" s="25">
        <f t="shared" si="22"/>
        <v>0</v>
      </c>
      <c r="S72" s="25">
        <f t="shared" si="23"/>
        <v>1</v>
      </c>
      <c r="T72" s="25">
        <f t="shared" si="24"/>
        <v>0</v>
      </c>
      <c r="U72" s="25">
        <f t="shared" si="25"/>
        <v>0</v>
      </c>
      <c r="V72" s="25">
        <f t="shared" si="26"/>
        <v>1</v>
      </c>
      <c r="W72" s="25">
        <f t="shared" si="27"/>
        <v>0</v>
      </c>
      <c r="X72" s="25">
        <f t="shared" si="28"/>
        <v>0</v>
      </c>
      <c r="Y72" s="25">
        <f t="shared" si="29"/>
        <v>0</v>
      </c>
      <c r="Z72" s="25">
        <f t="shared" si="30"/>
        <v>0</v>
      </c>
      <c r="AA72" s="25">
        <f t="shared" si="31"/>
        <v>0</v>
      </c>
      <c r="AB72" s="3">
        <f t="shared" si="32"/>
        <v>0.2</v>
      </c>
      <c r="AC72" s="3">
        <f t="shared" si="33"/>
        <v>0.8</v>
      </c>
      <c r="AD72" s="3">
        <f t="shared" si="34"/>
        <v>0.16000000000000003</v>
      </c>
      <c r="AE72" s="20"/>
    </row>
    <row r="73" spans="1:31" ht="42" x14ac:dyDescent="0.3">
      <c r="A73" s="30" t="s">
        <v>499</v>
      </c>
      <c r="B73" s="25">
        <v>0</v>
      </c>
      <c r="C73" s="25">
        <v>0</v>
      </c>
      <c r="D73" s="25">
        <v>1</v>
      </c>
      <c r="E73" s="25">
        <v>1</v>
      </c>
      <c r="F73" s="25">
        <v>0</v>
      </c>
      <c r="G73" s="25">
        <v>1</v>
      </c>
      <c r="H73" s="25">
        <v>1</v>
      </c>
      <c r="I73" s="25">
        <v>1</v>
      </c>
      <c r="J73" s="25">
        <v>0</v>
      </c>
      <c r="K73" s="25">
        <v>1</v>
      </c>
      <c r="L73" s="12">
        <f t="shared" si="18"/>
        <v>0.6</v>
      </c>
      <c r="M73" s="25" t="str">
        <f t="shared" si="19"/>
        <v>sedang</v>
      </c>
      <c r="N73" s="12">
        <f t="shared" si="20"/>
        <v>0.4</v>
      </c>
      <c r="O73" s="25" t="str">
        <f t="shared" si="21"/>
        <v>soal diterima baik</v>
      </c>
      <c r="P73" s="33"/>
      <c r="Q73" s="26">
        <v>68</v>
      </c>
      <c r="R73" s="25">
        <f t="shared" si="22"/>
        <v>1</v>
      </c>
      <c r="S73" s="25">
        <f t="shared" si="23"/>
        <v>0</v>
      </c>
      <c r="T73" s="25">
        <f t="shared" si="24"/>
        <v>0</v>
      </c>
      <c r="U73" s="25">
        <f t="shared" si="25"/>
        <v>1</v>
      </c>
      <c r="V73" s="25">
        <f t="shared" si="26"/>
        <v>0</v>
      </c>
      <c r="W73" s="25">
        <f t="shared" si="27"/>
        <v>1</v>
      </c>
      <c r="X73" s="25">
        <f t="shared" si="28"/>
        <v>1</v>
      </c>
      <c r="Y73" s="25">
        <f t="shared" si="29"/>
        <v>0</v>
      </c>
      <c r="Z73" s="25">
        <f t="shared" si="30"/>
        <v>1</v>
      </c>
      <c r="AA73" s="25">
        <f t="shared" si="31"/>
        <v>1</v>
      </c>
      <c r="AB73" s="3">
        <f t="shared" si="32"/>
        <v>0.6</v>
      </c>
      <c r="AC73" s="3">
        <f t="shared" si="33"/>
        <v>0.4</v>
      </c>
      <c r="AD73" s="3">
        <f t="shared" si="34"/>
        <v>0.24</v>
      </c>
      <c r="AE73" s="20"/>
    </row>
    <row r="74" spans="1:31" ht="42" x14ac:dyDescent="0.3">
      <c r="A74" s="28" t="s">
        <v>500</v>
      </c>
      <c r="B74" s="25">
        <v>1</v>
      </c>
      <c r="C74" s="25">
        <v>1</v>
      </c>
      <c r="D74" s="25">
        <v>0</v>
      </c>
      <c r="E74" s="25">
        <v>1</v>
      </c>
      <c r="F74" s="25">
        <v>1</v>
      </c>
      <c r="G74" s="25">
        <v>0</v>
      </c>
      <c r="H74" s="25">
        <v>0</v>
      </c>
      <c r="I74" s="25">
        <v>0</v>
      </c>
      <c r="J74" s="25">
        <v>0</v>
      </c>
      <c r="K74" s="25">
        <v>0</v>
      </c>
      <c r="L74" s="12">
        <f t="shared" si="18"/>
        <v>0.4</v>
      </c>
      <c r="M74" s="25" t="str">
        <f t="shared" si="19"/>
        <v>sedang</v>
      </c>
      <c r="N74" s="12">
        <f t="shared" si="20"/>
        <v>0.8</v>
      </c>
      <c r="O74" s="25" t="str">
        <f t="shared" si="21"/>
        <v>soal diterima baik</v>
      </c>
      <c r="P74" s="33"/>
      <c r="Q74" s="26">
        <v>69</v>
      </c>
      <c r="R74" s="25">
        <f t="shared" si="22"/>
        <v>0</v>
      </c>
      <c r="S74" s="25">
        <f t="shared" si="23"/>
        <v>0</v>
      </c>
      <c r="T74" s="25">
        <f t="shared" si="24"/>
        <v>1</v>
      </c>
      <c r="U74" s="25">
        <f t="shared" si="25"/>
        <v>1</v>
      </c>
      <c r="V74" s="25">
        <f t="shared" si="26"/>
        <v>0</v>
      </c>
      <c r="W74" s="25">
        <f t="shared" si="27"/>
        <v>1</v>
      </c>
      <c r="X74" s="25">
        <f t="shared" si="28"/>
        <v>1</v>
      </c>
      <c r="Y74" s="25">
        <f t="shared" si="29"/>
        <v>1</v>
      </c>
      <c r="Z74" s="25">
        <f t="shared" si="30"/>
        <v>0</v>
      </c>
      <c r="AA74" s="25">
        <f t="shared" si="31"/>
        <v>1</v>
      </c>
      <c r="AB74" s="3">
        <f t="shared" si="32"/>
        <v>0.6</v>
      </c>
      <c r="AC74" s="3">
        <f t="shared" si="33"/>
        <v>0.4</v>
      </c>
      <c r="AD74" s="3">
        <f t="shared" si="34"/>
        <v>0.24</v>
      </c>
      <c r="AE74" s="20"/>
    </row>
    <row r="75" spans="1:31" ht="28" x14ac:dyDescent="0.3">
      <c r="A75" s="24" t="s">
        <v>501</v>
      </c>
      <c r="B75" s="25">
        <v>0</v>
      </c>
      <c r="C75" s="25">
        <v>0</v>
      </c>
      <c r="D75" s="25">
        <v>0</v>
      </c>
      <c r="E75" s="25">
        <v>0</v>
      </c>
      <c r="F75" s="25">
        <v>0</v>
      </c>
      <c r="G75" s="25">
        <v>1</v>
      </c>
      <c r="H75" s="25">
        <v>0</v>
      </c>
      <c r="I75" s="25">
        <v>1</v>
      </c>
      <c r="J75" s="25">
        <v>1</v>
      </c>
      <c r="K75" s="25">
        <v>1</v>
      </c>
      <c r="L75" s="12">
        <f t="shared" si="18"/>
        <v>0.4</v>
      </c>
      <c r="M75" s="25" t="str">
        <f t="shared" si="19"/>
        <v>sedang</v>
      </c>
      <c r="N75" s="12">
        <f t="shared" si="20"/>
        <v>0.8</v>
      </c>
      <c r="O75" s="25" t="str">
        <f t="shared" si="21"/>
        <v>soal diterima baik</v>
      </c>
      <c r="P75" s="33"/>
      <c r="Q75" s="26">
        <v>70</v>
      </c>
      <c r="R75" s="25">
        <f t="shared" si="22"/>
        <v>1</v>
      </c>
      <c r="S75" s="25">
        <f t="shared" si="23"/>
        <v>1</v>
      </c>
      <c r="T75" s="25">
        <f t="shared" si="24"/>
        <v>0</v>
      </c>
      <c r="U75" s="25">
        <f t="shared" si="25"/>
        <v>1</v>
      </c>
      <c r="V75" s="25">
        <f t="shared" si="26"/>
        <v>1</v>
      </c>
      <c r="W75" s="25">
        <f t="shared" si="27"/>
        <v>0</v>
      </c>
      <c r="X75" s="25">
        <f t="shared" si="28"/>
        <v>0</v>
      </c>
      <c r="Y75" s="25">
        <f t="shared" si="29"/>
        <v>0</v>
      </c>
      <c r="Z75" s="25">
        <f t="shared" si="30"/>
        <v>0</v>
      </c>
      <c r="AA75" s="25">
        <f t="shared" si="31"/>
        <v>0</v>
      </c>
      <c r="AB75" s="3">
        <f t="shared" si="32"/>
        <v>0.4</v>
      </c>
      <c r="AC75" s="3">
        <f t="shared" si="33"/>
        <v>0.6</v>
      </c>
      <c r="AD75" s="3">
        <f t="shared" si="34"/>
        <v>0.24</v>
      </c>
      <c r="AE75" s="20"/>
    </row>
    <row r="76" spans="1:31" ht="42" x14ac:dyDescent="0.3">
      <c r="A76" s="30" t="s">
        <v>502</v>
      </c>
      <c r="B76" s="25">
        <v>0</v>
      </c>
      <c r="C76" s="25">
        <v>1</v>
      </c>
      <c r="D76" s="25">
        <v>0</v>
      </c>
      <c r="E76" s="25">
        <v>0</v>
      </c>
      <c r="F76" s="25">
        <v>0</v>
      </c>
      <c r="G76" s="25">
        <v>1</v>
      </c>
      <c r="H76" s="25">
        <v>0</v>
      </c>
      <c r="I76" s="25">
        <v>0</v>
      </c>
      <c r="J76" s="25">
        <v>1</v>
      </c>
      <c r="K76" s="25">
        <v>1</v>
      </c>
      <c r="L76" s="12">
        <f t="shared" si="18"/>
        <v>0.4</v>
      </c>
      <c r="M76" s="25" t="str">
        <f t="shared" si="19"/>
        <v>sedang</v>
      </c>
      <c r="N76" s="12">
        <f t="shared" si="20"/>
        <v>0.4</v>
      </c>
      <c r="O76" s="25" t="str">
        <f t="shared" si="21"/>
        <v>soal diterima baik</v>
      </c>
      <c r="P76" s="33"/>
      <c r="Q76" s="26">
        <v>71</v>
      </c>
      <c r="R76" s="25">
        <f t="shared" si="22"/>
        <v>0</v>
      </c>
      <c r="S76" s="25">
        <f t="shared" si="23"/>
        <v>0</v>
      </c>
      <c r="T76" s="25">
        <f t="shared" si="24"/>
        <v>0</v>
      </c>
      <c r="U76" s="25">
        <f t="shared" si="25"/>
        <v>0</v>
      </c>
      <c r="V76" s="25">
        <f t="shared" si="26"/>
        <v>0</v>
      </c>
      <c r="W76" s="25">
        <f t="shared" si="27"/>
        <v>1</v>
      </c>
      <c r="X76" s="25">
        <f t="shared" si="28"/>
        <v>0</v>
      </c>
      <c r="Y76" s="25">
        <f t="shared" si="29"/>
        <v>1</v>
      </c>
      <c r="Z76" s="25">
        <f t="shared" si="30"/>
        <v>1</v>
      </c>
      <c r="AA76" s="25">
        <f t="shared" si="31"/>
        <v>1</v>
      </c>
      <c r="AB76" s="3">
        <f t="shared" si="32"/>
        <v>0.4</v>
      </c>
      <c r="AC76" s="3">
        <f t="shared" si="33"/>
        <v>0.6</v>
      </c>
      <c r="AD76" s="3">
        <f t="shared" si="34"/>
        <v>0.24</v>
      </c>
      <c r="AE76" s="20"/>
    </row>
    <row r="77" spans="1:31" ht="28" x14ac:dyDescent="0.3">
      <c r="A77" s="24" t="s">
        <v>503</v>
      </c>
      <c r="B77" s="25">
        <v>0</v>
      </c>
      <c r="C77" s="25">
        <v>0</v>
      </c>
      <c r="D77" s="25">
        <v>0</v>
      </c>
      <c r="E77" s="25">
        <v>0</v>
      </c>
      <c r="F77" s="25">
        <v>0</v>
      </c>
      <c r="G77" s="25">
        <v>0</v>
      </c>
      <c r="H77" s="25">
        <v>1</v>
      </c>
      <c r="I77" s="25">
        <v>1</v>
      </c>
      <c r="J77" s="25">
        <v>1</v>
      </c>
      <c r="K77" s="25">
        <v>1</v>
      </c>
      <c r="L77" s="12">
        <f t="shared" si="18"/>
        <v>0.4</v>
      </c>
      <c r="M77" s="25" t="str">
        <f t="shared" si="19"/>
        <v>sedang</v>
      </c>
      <c r="N77" s="12">
        <f t="shared" si="20"/>
        <v>0.8</v>
      </c>
      <c r="O77" s="25" t="str">
        <f t="shared" si="21"/>
        <v>soal diterima baik</v>
      </c>
      <c r="P77" s="33"/>
      <c r="Q77" s="26">
        <v>72</v>
      </c>
      <c r="R77" s="25">
        <f t="shared" si="22"/>
        <v>0</v>
      </c>
      <c r="S77" s="25">
        <f t="shared" si="23"/>
        <v>1</v>
      </c>
      <c r="T77" s="25">
        <f t="shared" si="24"/>
        <v>0</v>
      </c>
      <c r="U77" s="25">
        <f t="shared" si="25"/>
        <v>0</v>
      </c>
      <c r="V77" s="25">
        <f t="shared" si="26"/>
        <v>0</v>
      </c>
      <c r="W77" s="25">
        <f t="shared" si="27"/>
        <v>1</v>
      </c>
      <c r="X77" s="25">
        <f t="shared" si="28"/>
        <v>0</v>
      </c>
      <c r="Y77" s="25">
        <f t="shared" si="29"/>
        <v>0</v>
      </c>
      <c r="Z77" s="25">
        <f t="shared" si="30"/>
        <v>1</v>
      </c>
      <c r="AA77" s="25">
        <f t="shared" si="31"/>
        <v>1</v>
      </c>
      <c r="AB77" s="3">
        <f t="shared" si="32"/>
        <v>0.4</v>
      </c>
      <c r="AC77" s="3">
        <f t="shared" si="33"/>
        <v>0.6</v>
      </c>
      <c r="AD77" s="3">
        <f t="shared" si="34"/>
        <v>0.24</v>
      </c>
      <c r="AE77" s="20"/>
    </row>
    <row r="78" spans="1:31" ht="28" x14ac:dyDescent="0.3">
      <c r="A78" s="28" t="s">
        <v>504</v>
      </c>
      <c r="B78" s="25">
        <v>0</v>
      </c>
      <c r="C78" s="25">
        <v>0</v>
      </c>
      <c r="D78" s="25">
        <v>0</v>
      </c>
      <c r="E78" s="25">
        <v>0</v>
      </c>
      <c r="F78" s="25">
        <v>0</v>
      </c>
      <c r="G78" s="25">
        <v>0</v>
      </c>
      <c r="H78" s="25">
        <v>0</v>
      </c>
      <c r="I78" s="25">
        <v>1</v>
      </c>
      <c r="J78" s="25">
        <v>1</v>
      </c>
      <c r="K78" s="25">
        <v>0</v>
      </c>
      <c r="L78" s="12">
        <f t="shared" si="18"/>
        <v>0.2</v>
      </c>
      <c r="M78" s="25" t="str">
        <f t="shared" si="19"/>
        <v>sukar</v>
      </c>
      <c r="N78" s="12">
        <f t="shared" si="20"/>
        <v>0.4</v>
      </c>
      <c r="O78" s="25" t="str">
        <f t="shared" si="21"/>
        <v>soal diterima baik</v>
      </c>
      <c r="P78" s="33"/>
      <c r="Q78" s="26">
        <v>73</v>
      </c>
      <c r="R78" s="25">
        <f t="shared" si="22"/>
        <v>0</v>
      </c>
      <c r="S78" s="25">
        <f t="shared" si="23"/>
        <v>0</v>
      </c>
      <c r="T78" s="25">
        <f t="shared" si="24"/>
        <v>0</v>
      </c>
      <c r="U78" s="25">
        <f t="shared" si="25"/>
        <v>0</v>
      </c>
      <c r="V78" s="25">
        <f t="shared" si="26"/>
        <v>0</v>
      </c>
      <c r="W78" s="25">
        <f t="shared" si="27"/>
        <v>0</v>
      </c>
      <c r="X78" s="25">
        <f t="shared" si="28"/>
        <v>1</v>
      </c>
      <c r="Y78" s="25">
        <f t="shared" si="29"/>
        <v>1</v>
      </c>
      <c r="Z78" s="25">
        <f t="shared" si="30"/>
        <v>1</v>
      </c>
      <c r="AA78" s="25">
        <f t="shared" si="31"/>
        <v>1</v>
      </c>
      <c r="AB78" s="3">
        <f t="shared" si="32"/>
        <v>0.4</v>
      </c>
      <c r="AC78" s="3">
        <f t="shared" si="33"/>
        <v>0.6</v>
      </c>
      <c r="AD78" s="3">
        <f t="shared" si="34"/>
        <v>0.24</v>
      </c>
      <c r="AE78" s="20"/>
    </row>
    <row r="79" spans="1:31" ht="42" x14ac:dyDescent="0.3">
      <c r="A79" s="28" t="s">
        <v>505</v>
      </c>
      <c r="B79" s="25">
        <v>1</v>
      </c>
      <c r="C79" s="25">
        <v>1</v>
      </c>
      <c r="D79" s="25">
        <v>1</v>
      </c>
      <c r="E79" s="25">
        <v>1</v>
      </c>
      <c r="F79" s="25">
        <v>1</v>
      </c>
      <c r="G79" s="25">
        <v>0</v>
      </c>
      <c r="H79" s="25">
        <v>1</v>
      </c>
      <c r="I79" s="25">
        <v>0</v>
      </c>
      <c r="J79" s="25">
        <v>0</v>
      </c>
      <c r="K79" s="25">
        <v>0</v>
      </c>
      <c r="L79" s="12">
        <f t="shared" si="18"/>
        <v>0.6</v>
      </c>
      <c r="M79" s="25" t="str">
        <f t="shared" si="19"/>
        <v>sedang</v>
      </c>
      <c r="N79" s="12">
        <f t="shared" si="20"/>
        <v>0.8</v>
      </c>
      <c r="O79" s="25" t="str">
        <f t="shared" si="21"/>
        <v>soal diterima baik</v>
      </c>
      <c r="P79" s="33"/>
      <c r="Q79" s="26">
        <v>74</v>
      </c>
      <c r="R79" s="25">
        <f t="shared" si="22"/>
        <v>0</v>
      </c>
      <c r="S79" s="25">
        <f t="shared" si="23"/>
        <v>0</v>
      </c>
      <c r="T79" s="25">
        <f t="shared" si="24"/>
        <v>0</v>
      </c>
      <c r="U79" s="25">
        <f t="shared" si="25"/>
        <v>0</v>
      </c>
      <c r="V79" s="25">
        <f t="shared" si="26"/>
        <v>0</v>
      </c>
      <c r="W79" s="25">
        <f t="shared" si="27"/>
        <v>0</v>
      </c>
      <c r="X79" s="25">
        <f t="shared" si="28"/>
        <v>0</v>
      </c>
      <c r="Y79" s="25">
        <f t="shared" si="29"/>
        <v>1</v>
      </c>
      <c r="Z79" s="25">
        <f t="shared" si="30"/>
        <v>1</v>
      </c>
      <c r="AA79" s="25">
        <f t="shared" si="31"/>
        <v>0</v>
      </c>
      <c r="AB79" s="3">
        <f t="shared" si="32"/>
        <v>0.2</v>
      </c>
      <c r="AC79" s="3">
        <f t="shared" si="33"/>
        <v>0.8</v>
      </c>
      <c r="AD79" s="3">
        <f t="shared" si="34"/>
        <v>0.16000000000000003</v>
      </c>
      <c r="AE79" s="20"/>
    </row>
    <row r="80" spans="1:31" ht="42" x14ac:dyDescent="0.3">
      <c r="A80" s="24" t="s">
        <v>506</v>
      </c>
      <c r="B80" s="25">
        <v>1</v>
      </c>
      <c r="C80" s="25">
        <v>0</v>
      </c>
      <c r="D80" s="25">
        <v>1</v>
      </c>
      <c r="E80" s="25">
        <v>0</v>
      </c>
      <c r="F80" s="25">
        <v>1</v>
      </c>
      <c r="G80" s="25">
        <v>1</v>
      </c>
      <c r="H80" s="25">
        <v>1</v>
      </c>
      <c r="I80" s="25">
        <v>1</v>
      </c>
      <c r="J80" s="25">
        <v>1</v>
      </c>
      <c r="K80" s="25">
        <v>1</v>
      </c>
      <c r="L80" s="12">
        <f t="shared" si="18"/>
        <v>0.8</v>
      </c>
      <c r="M80" s="25" t="str">
        <f t="shared" si="19"/>
        <v>mudah</v>
      </c>
      <c r="N80" s="12">
        <f t="shared" si="20"/>
        <v>0.4</v>
      </c>
      <c r="O80" s="25" t="str">
        <f t="shared" si="21"/>
        <v>soal diterima baik</v>
      </c>
      <c r="P80" s="33"/>
      <c r="Q80" s="26">
        <v>75</v>
      </c>
      <c r="R80" s="25">
        <f t="shared" si="22"/>
        <v>1</v>
      </c>
      <c r="S80" s="25">
        <f t="shared" si="23"/>
        <v>1</v>
      </c>
      <c r="T80" s="25">
        <f t="shared" si="24"/>
        <v>1</v>
      </c>
      <c r="U80" s="25">
        <f t="shared" si="25"/>
        <v>1</v>
      </c>
      <c r="V80" s="25">
        <f t="shared" si="26"/>
        <v>1</v>
      </c>
      <c r="W80" s="25">
        <f t="shared" si="27"/>
        <v>0</v>
      </c>
      <c r="X80" s="25">
        <f t="shared" si="28"/>
        <v>1</v>
      </c>
      <c r="Y80" s="25">
        <f t="shared" si="29"/>
        <v>0</v>
      </c>
      <c r="Z80" s="25">
        <f t="shared" si="30"/>
        <v>0</v>
      </c>
      <c r="AA80" s="25">
        <f t="shared" si="31"/>
        <v>0</v>
      </c>
      <c r="AB80" s="3">
        <f t="shared" si="32"/>
        <v>0.6</v>
      </c>
      <c r="AC80" s="3">
        <f t="shared" si="33"/>
        <v>0.4</v>
      </c>
      <c r="AD80" s="3">
        <f t="shared" si="34"/>
        <v>0.24</v>
      </c>
      <c r="AE80" s="20"/>
    </row>
    <row r="81" spans="1:31" ht="56" x14ac:dyDescent="0.3">
      <c r="A81" s="28" t="s">
        <v>507</v>
      </c>
      <c r="B81" s="25">
        <v>0</v>
      </c>
      <c r="C81" s="25">
        <v>1</v>
      </c>
      <c r="D81" s="25">
        <v>0</v>
      </c>
      <c r="E81" s="25">
        <v>0</v>
      </c>
      <c r="F81" s="25">
        <v>0</v>
      </c>
      <c r="G81" s="25">
        <v>0</v>
      </c>
      <c r="H81" s="25">
        <v>1</v>
      </c>
      <c r="I81" s="25">
        <v>0</v>
      </c>
      <c r="J81" s="25">
        <v>1</v>
      </c>
      <c r="K81" s="25">
        <v>1</v>
      </c>
      <c r="L81" s="12">
        <f t="shared" si="18"/>
        <v>0.4</v>
      </c>
      <c r="M81" s="25" t="str">
        <f t="shared" si="19"/>
        <v>sedang</v>
      </c>
      <c r="N81" s="12">
        <f t="shared" si="20"/>
        <v>0.4</v>
      </c>
      <c r="O81" s="25" t="str">
        <f t="shared" si="21"/>
        <v>soal diterima baik</v>
      </c>
      <c r="P81" s="33"/>
      <c r="Q81" s="26">
        <v>76</v>
      </c>
      <c r="R81" s="25">
        <f t="shared" si="22"/>
        <v>1</v>
      </c>
      <c r="S81" s="25">
        <f t="shared" si="23"/>
        <v>0</v>
      </c>
      <c r="T81" s="25">
        <f t="shared" si="24"/>
        <v>1</v>
      </c>
      <c r="U81" s="25">
        <f t="shared" si="25"/>
        <v>0</v>
      </c>
      <c r="V81" s="25">
        <f t="shared" si="26"/>
        <v>1</v>
      </c>
      <c r="W81" s="25">
        <f t="shared" si="27"/>
        <v>1</v>
      </c>
      <c r="X81" s="25">
        <f t="shared" si="28"/>
        <v>1</v>
      </c>
      <c r="Y81" s="25">
        <f t="shared" si="29"/>
        <v>1</v>
      </c>
      <c r="Z81" s="25">
        <f t="shared" si="30"/>
        <v>1</v>
      </c>
      <c r="AA81" s="25">
        <f t="shared" si="31"/>
        <v>1</v>
      </c>
      <c r="AB81" s="3">
        <f t="shared" si="32"/>
        <v>0.8</v>
      </c>
      <c r="AC81" s="3">
        <f t="shared" si="33"/>
        <v>0.19999999999999996</v>
      </c>
      <c r="AD81" s="3">
        <f t="shared" si="34"/>
        <v>0.15999999999999998</v>
      </c>
      <c r="AE81" s="20"/>
    </row>
    <row r="82" spans="1:31" ht="42" x14ac:dyDescent="0.3">
      <c r="A82" s="24" t="s">
        <v>508</v>
      </c>
      <c r="B82" s="25">
        <v>1</v>
      </c>
      <c r="C82" s="25">
        <v>0</v>
      </c>
      <c r="D82" s="25">
        <v>1</v>
      </c>
      <c r="E82" s="25">
        <v>0</v>
      </c>
      <c r="F82" s="25">
        <v>0</v>
      </c>
      <c r="G82" s="25">
        <v>0</v>
      </c>
      <c r="H82" s="25">
        <v>0</v>
      </c>
      <c r="I82" s="25">
        <v>0</v>
      </c>
      <c r="J82" s="25">
        <v>0</v>
      </c>
      <c r="K82" s="25">
        <v>0</v>
      </c>
      <c r="L82" s="12">
        <f t="shared" si="18"/>
        <v>0.2</v>
      </c>
      <c r="M82" s="25" t="str">
        <f t="shared" si="19"/>
        <v>sukar</v>
      </c>
      <c r="N82" s="12">
        <f t="shared" si="20"/>
        <v>0.4</v>
      </c>
      <c r="O82" s="25" t="str">
        <f t="shared" si="21"/>
        <v>soal diterima baik</v>
      </c>
      <c r="P82" s="33"/>
      <c r="Q82" s="26">
        <v>77</v>
      </c>
      <c r="R82" s="25">
        <f t="shared" si="22"/>
        <v>0</v>
      </c>
      <c r="S82" s="25">
        <f t="shared" si="23"/>
        <v>1</v>
      </c>
      <c r="T82" s="25">
        <f t="shared" si="24"/>
        <v>0</v>
      </c>
      <c r="U82" s="25">
        <f t="shared" si="25"/>
        <v>0</v>
      </c>
      <c r="V82" s="25">
        <f t="shared" si="26"/>
        <v>0</v>
      </c>
      <c r="W82" s="25">
        <f t="shared" si="27"/>
        <v>0</v>
      </c>
      <c r="X82" s="25">
        <f t="shared" si="28"/>
        <v>1</v>
      </c>
      <c r="Y82" s="25">
        <f t="shared" si="29"/>
        <v>0</v>
      </c>
      <c r="Z82" s="25">
        <f t="shared" si="30"/>
        <v>1</v>
      </c>
      <c r="AA82" s="25">
        <f t="shared" si="31"/>
        <v>1</v>
      </c>
      <c r="AB82" s="3">
        <f t="shared" si="32"/>
        <v>0.4</v>
      </c>
      <c r="AC82" s="3">
        <f t="shared" si="33"/>
        <v>0.6</v>
      </c>
      <c r="AD82" s="3">
        <f t="shared" si="34"/>
        <v>0.24</v>
      </c>
      <c r="AE82" s="20"/>
    </row>
    <row r="83" spans="1:31" ht="56" x14ac:dyDescent="0.3">
      <c r="A83" s="30" t="s">
        <v>509</v>
      </c>
      <c r="B83" s="25">
        <v>0</v>
      </c>
      <c r="C83" s="25">
        <v>1</v>
      </c>
      <c r="D83" s="25">
        <v>0</v>
      </c>
      <c r="E83" s="25">
        <v>1</v>
      </c>
      <c r="F83" s="25">
        <v>0</v>
      </c>
      <c r="G83" s="25">
        <v>1</v>
      </c>
      <c r="H83" s="25">
        <v>1</v>
      </c>
      <c r="I83" s="25">
        <v>0</v>
      </c>
      <c r="J83" s="25">
        <v>1</v>
      </c>
      <c r="K83" s="25">
        <v>1</v>
      </c>
      <c r="L83" s="12">
        <f t="shared" si="18"/>
        <v>0.6</v>
      </c>
      <c r="M83" s="25" t="str">
        <f t="shared" si="19"/>
        <v>sedang</v>
      </c>
      <c r="N83" s="12">
        <f t="shared" si="20"/>
        <v>0.4</v>
      </c>
      <c r="O83" s="25" t="str">
        <f t="shared" si="21"/>
        <v>soal diterima baik</v>
      </c>
      <c r="P83" s="33"/>
      <c r="Q83" s="26">
        <v>78</v>
      </c>
      <c r="R83" s="25">
        <f t="shared" si="22"/>
        <v>1</v>
      </c>
      <c r="S83" s="25">
        <f t="shared" si="23"/>
        <v>0</v>
      </c>
      <c r="T83" s="25">
        <f t="shared" si="24"/>
        <v>1</v>
      </c>
      <c r="U83" s="25">
        <f t="shared" si="25"/>
        <v>0</v>
      </c>
      <c r="V83" s="25">
        <f t="shared" si="26"/>
        <v>0</v>
      </c>
      <c r="W83" s="25">
        <f t="shared" si="27"/>
        <v>0</v>
      </c>
      <c r="X83" s="25">
        <f t="shared" si="28"/>
        <v>0</v>
      </c>
      <c r="Y83" s="25">
        <f t="shared" si="29"/>
        <v>0</v>
      </c>
      <c r="Z83" s="25">
        <f t="shared" si="30"/>
        <v>0</v>
      </c>
      <c r="AA83" s="25">
        <f t="shared" si="31"/>
        <v>0</v>
      </c>
      <c r="AB83" s="3">
        <f t="shared" si="32"/>
        <v>0.2</v>
      </c>
      <c r="AC83" s="3">
        <f t="shared" si="33"/>
        <v>0.8</v>
      </c>
      <c r="AD83" s="3">
        <f t="shared" si="34"/>
        <v>0.16000000000000003</v>
      </c>
      <c r="AE83" s="20"/>
    </row>
    <row r="84" spans="1:31" ht="56" x14ac:dyDescent="0.3">
      <c r="A84" s="28" t="s">
        <v>510</v>
      </c>
      <c r="B84" s="25">
        <v>1</v>
      </c>
      <c r="C84" s="25">
        <v>1</v>
      </c>
      <c r="D84" s="25">
        <v>0</v>
      </c>
      <c r="E84" s="25">
        <v>1</v>
      </c>
      <c r="F84" s="25">
        <v>0</v>
      </c>
      <c r="G84" s="25">
        <v>0</v>
      </c>
      <c r="H84" s="25">
        <v>0</v>
      </c>
      <c r="I84" s="25">
        <v>0</v>
      </c>
      <c r="J84" s="25">
        <v>1</v>
      </c>
      <c r="K84" s="25">
        <v>0</v>
      </c>
      <c r="L84" s="12">
        <f t="shared" si="18"/>
        <v>0.4</v>
      </c>
      <c r="M84" s="25" t="str">
        <f t="shared" si="19"/>
        <v>sedang</v>
      </c>
      <c r="N84" s="12">
        <f t="shared" si="20"/>
        <v>0.4</v>
      </c>
      <c r="O84" s="25" t="str">
        <f t="shared" si="21"/>
        <v>soal diterima baik</v>
      </c>
      <c r="P84" s="33"/>
      <c r="Q84" s="26">
        <v>79</v>
      </c>
      <c r="R84" s="25">
        <f t="shared" si="22"/>
        <v>0</v>
      </c>
      <c r="S84" s="25">
        <f t="shared" si="23"/>
        <v>1</v>
      </c>
      <c r="T84" s="25">
        <f t="shared" si="24"/>
        <v>0</v>
      </c>
      <c r="U84" s="25">
        <f t="shared" si="25"/>
        <v>1</v>
      </c>
      <c r="V84" s="25">
        <f t="shared" si="26"/>
        <v>0</v>
      </c>
      <c r="W84" s="25">
        <f t="shared" si="27"/>
        <v>1</v>
      </c>
      <c r="X84" s="25">
        <f t="shared" si="28"/>
        <v>1</v>
      </c>
      <c r="Y84" s="25">
        <f t="shared" si="29"/>
        <v>0</v>
      </c>
      <c r="Z84" s="25">
        <f t="shared" si="30"/>
        <v>1</v>
      </c>
      <c r="AA84" s="25">
        <f t="shared" si="31"/>
        <v>1</v>
      </c>
      <c r="AB84" s="3">
        <f t="shared" si="32"/>
        <v>0.6</v>
      </c>
      <c r="AC84" s="3">
        <f t="shared" si="33"/>
        <v>0.4</v>
      </c>
      <c r="AD84" s="3">
        <f t="shared" si="34"/>
        <v>0.24</v>
      </c>
      <c r="AE84" s="20"/>
    </row>
    <row r="85" spans="1:31" ht="28" x14ac:dyDescent="0.3">
      <c r="A85" s="24" t="s">
        <v>511</v>
      </c>
      <c r="B85" s="25">
        <v>0</v>
      </c>
      <c r="C85" s="25">
        <v>0</v>
      </c>
      <c r="D85" s="25">
        <v>0</v>
      </c>
      <c r="E85" s="25">
        <v>0</v>
      </c>
      <c r="F85" s="25">
        <v>1</v>
      </c>
      <c r="G85" s="25">
        <v>1</v>
      </c>
      <c r="H85" s="25">
        <v>1</v>
      </c>
      <c r="I85" s="25">
        <v>1</v>
      </c>
      <c r="J85" s="25">
        <v>1</v>
      </c>
      <c r="K85" s="25">
        <v>1</v>
      </c>
      <c r="L85" s="12">
        <f t="shared" si="18"/>
        <v>0.6</v>
      </c>
      <c r="M85" s="25" t="str">
        <f t="shared" si="19"/>
        <v>sedang</v>
      </c>
      <c r="N85" s="12">
        <f t="shared" si="20"/>
        <v>0.8</v>
      </c>
      <c r="O85" s="25" t="str">
        <f t="shared" si="21"/>
        <v>soal diterima baik</v>
      </c>
      <c r="P85" s="33"/>
      <c r="Q85" s="26">
        <v>80</v>
      </c>
      <c r="R85" s="25">
        <f t="shared" si="22"/>
        <v>1</v>
      </c>
      <c r="S85" s="25">
        <f t="shared" si="23"/>
        <v>1</v>
      </c>
      <c r="T85" s="25">
        <f t="shared" si="24"/>
        <v>0</v>
      </c>
      <c r="U85" s="25">
        <f t="shared" si="25"/>
        <v>1</v>
      </c>
      <c r="V85" s="25">
        <f t="shared" si="26"/>
        <v>0</v>
      </c>
      <c r="W85" s="25">
        <f t="shared" si="27"/>
        <v>0</v>
      </c>
      <c r="X85" s="25">
        <f t="shared" si="28"/>
        <v>0</v>
      </c>
      <c r="Y85" s="25">
        <f t="shared" si="29"/>
        <v>0</v>
      </c>
      <c r="Z85" s="25">
        <f t="shared" si="30"/>
        <v>1</v>
      </c>
      <c r="AA85" s="25">
        <f t="shared" si="31"/>
        <v>0</v>
      </c>
      <c r="AB85" s="3">
        <f t="shared" si="32"/>
        <v>0.4</v>
      </c>
      <c r="AC85" s="3">
        <f t="shared" si="33"/>
        <v>0.6</v>
      </c>
      <c r="AD85" s="3">
        <f t="shared" si="34"/>
        <v>0.24</v>
      </c>
      <c r="AE85" s="20"/>
    </row>
    <row r="86" spans="1:31" ht="28" x14ac:dyDescent="0.3">
      <c r="A86" s="28" t="s">
        <v>512</v>
      </c>
      <c r="B86" s="25">
        <v>0</v>
      </c>
      <c r="C86" s="25">
        <v>0</v>
      </c>
      <c r="D86" s="25">
        <v>0</v>
      </c>
      <c r="E86" s="25">
        <v>1</v>
      </c>
      <c r="F86" s="25">
        <v>1</v>
      </c>
      <c r="G86" s="25">
        <v>1</v>
      </c>
      <c r="H86" s="25">
        <v>1</v>
      </c>
      <c r="I86" s="25">
        <v>1</v>
      </c>
      <c r="J86" s="25">
        <v>1</v>
      </c>
      <c r="K86" s="25">
        <v>0</v>
      </c>
      <c r="L86" s="12">
        <f t="shared" si="18"/>
        <v>0.6</v>
      </c>
      <c r="M86" s="25" t="str">
        <f t="shared" si="19"/>
        <v>sedang</v>
      </c>
      <c r="N86" s="12">
        <f t="shared" si="20"/>
        <v>0.4</v>
      </c>
      <c r="O86" s="25" t="str">
        <f t="shared" si="21"/>
        <v>soal diterima baik</v>
      </c>
      <c r="P86" s="33"/>
      <c r="Q86" s="26">
        <v>81</v>
      </c>
      <c r="R86" s="25">
        <f t="shared" si="22"/>
        <v>0</v>
      </c>
      <c r="S86" s="25">
        <f t="shared" si="23"/>
        <v>0</v>
      </c>
      <c r="T86" s="25">
        <f t="shared" si="24"/>
        <v>0</v>
      </c>
      <c r="U86" s="25">
        <f t="shared" si="25"/>
        <v>0</v>
      </c>
      <c r="V86" s="25">
        <f t="shared" si="26"/>
        <v>1</v>
      </c>
      <c r="W86" s="25">
        <f t="shared" si="27"/>
        <v>1</v>
      </c>
      <c r="X86" s="25">
        <f t="shared" si="28"/>
        <v>1</v>
      </c>
      <c r="Y86" s="25">
        <f t="shared" si="29"/>
        <v>1</v>
      </c>
      <c r="Z86" s="25">
        <f t="shared" si="30"/>
        <v>1</v>
      </c>
      <c r="AA86" s="25">
        <f t="shared" si="31"/>
        <v>1</v>
      </c>
      <c r="AB86" s="3">
        <f t="shared" si="32"/>
        <v>0.6</v>
      </c>
      <c r="AC86" s="3">
        <f t="shared" si="33"/>
        <v>0.4</v>
      </c>
      <c r="AD86" s="3">
        <f t="shared" si="34"/>
        <v>0.24</v>
      </c>
      <c r="AE86" s="20"/>
    </row>
    <row r="87" spans="1:31" ht="28" x14ac:dyDescent="0.3">
      <c r="A87" s="24" t="s">
        <v>513</v>
      </c>
      <c r="B87" s="25">
        <v>0</v>
      </c>
      <c r="C87" s="25">
        <v>1</v>
      </c>
      <c r="D87" s="25">
        <v>1</v>
      </c>
      <c r="E87" s="25">
        <v>0</v>
      </c>
      <c r="F87" s="25">
        <v>0</v>
      </c>
      <c r="G87" s="25">
        <v>0</v>
      </c>
      <c r="H87" s="25">
        <v>0</v>
      </c>
      <c r="I87" s="25">
        <v>0</v>
      </c>
      <c r="J87" s="25">
        <v>0</v>
      </c>
      <c r="K87" s="25">
        <v>0</v>
      </c>
      <c r="L87" s="12">
        <f t="shared" si="18"/>
        <v>0.2</v>
      </c>
      <c r="M87" s="25" t="str">
        <f t="shared" si="19"/>
        <v>sukar</v>
      </c>
      <c r="N87" s="12">
        <f t="shared" si="20"/>
        <v>0.4</v>
      </c>
      <c r="O87" s="25" t="str">
        <f t="shared" si="21"/>
        <v>soal diterima baik</v>
      </c>
      <c r="P87" s="33"/>
      <c r="Q87" s="26">
        <v>82</v>
      </c>
      <c r="R87" s="25">
        <f t="shared" si="22"/>
        <v>0</v>
      </c>
      <c r="S87" s="25">
        <f t="shared" si="23"/>
        <v>0</v>
      </c>
      <c r="T87" s="25">
        <f t="shared" si="24"/>
        <v>0</v>
      </c>
      <c r="U87" s="25">
        <f t="shared" si="25"/>
        <v>1</v>
      </c>
      <c r="V87" s="25">
        <f t="shared" si="26"/>
        <v>1</v>
      </c>
      <c r="W87" s="25">
        <f t="shared" si="27"/>
        <v>1</v>
      </c>
      <c r="X87" s="25">
        <f t="shared" si="28"/>
        <v>1</v>
      </c>
      <c r="Y87" s="25">
        <f t="shared" si="29"/>
        <v>1</v>
      </c>
      <c r="Z87" s="25">
        <f t="shared" si="30"/>
        <v>1</v>
      </c>
      <c r="AA87" s="25">
        <f t="shared" si="31"/>
        <v>0</v>
      </c>
      <c r="AB87" s="3">
        <f t="shared" si="32"/>
        <v>0.6</v>
      </c>
      <c r="AC87" s="3">
        <f t="shared" si="33"/>
        <v>0.4</v>
      </c>
      <c r="AD87" s="3">
        <f t="shared" si="34"/>
        <v>0.24</v>
      </c>
      <c r="AE87" s="20"/>
    </row>
    <row r="88" spans="1:31" ht="42" x14ac:dyDescent="0.3">
      <c r="A88" s="24" t="s">
        <v>514</v>
      </c>
      <c r="B88" s="25">
        <v>0</v>
      </c>
      <c r="C88" s="25">
        <v>0</v>
      </c>
      <c r="D88" s="25">
        <v>0</v>
      </c>
      <c r="E88" s="25">
        <v>0</v>
      </c>
      <c r="F88" s="25">
        <v>0</v>
      </c>
      <c r="G88" s="25">
        <v>0</v>
      </c>
      <c r="H88" s="25">
        <v>1</v>
      </c>
      <c r="I88" s="25">
        <v>0</v>
      </c>
      <c r="J88" s="25">
        <v>1</v>
      </c>
      <c r="K88" s="25">
        <v>0</v>
      </c>
      <c r="L88" s="12">
        <f t="shared" si="18"/>
        <v>0.2</v>
      </c>
      <c r="M88" s="25" t="str">
        <f t="shared" si="19"/>
        <v>sukar</v>
      </c>
      <c r="N88" s="12">
        <f t="shared" si="20"/>
        <v>0.4</v>
      </c>
      <c r="O88" s="25" t="str">
        <f t="shared" si="21"/>
        <v>soal diterima baik</v>
      </c>
      <c r="P88" s="33"/>
      <c r="Q88" s="26">
        <v>83</v>
      </c>
      <c r="R88" s="25">
        <f t="shared" si="22"/>
        <v>0</v>
      </c>
      <c r="S88" s="25">
        <f t="shared" si="23"/>
        <v>1</v>
      </c>
      <c r="T88" s="25">
        <f t="shared" si="24"/>
        <v>1</v>
      </c>
      <c r="U88" s="25">
        <f t="shared" si="25"/>
        <v>0</v>
      </c>
      <c r="V88" s="25">
        <f t="shared" si="26"/>
        <v>0</v>
      </c>
      <c r="W88" s="25">
        <f t="shared" si="27"/>
        <v>0</v>
      </c>
      <c r="X88" s="25">
        <f t="shared" si="28"/>
        <v>0</v>
      </c>
      <c r="Y88" s="25">
        <f t="shared" si="29"/>
        <v>0</v>
      </c>
      <c r="Z88" s="25">
        <f t="shared" si="30"/>
        <v>0</v>
      </c>
      <c r="AA88" s="25">
        <f t="shared" si="31"/>
        <v>0</v>
      </c>
      <c r="AB88" s="3">
        <f t="shared" si="32"/>
        <v>0.2</v>
      </c>
      <c r="AC88" s="3">
        <f t="shared" si="33"/>
        <v>0.8</v>
      </c>
      <c r="AD88" s="3">
        <f t="shared" si="34"/>
        <v>0.16000000000000003</v>
      </c>
      <c r="AE88" s="20"/>
    </row>
    <row r="89" spans="1:31" ht="56" x14ac:dyDescent="0.3">
      <c r="A89" s="28" t="s">
        <v>515</v>
      </c>
      <c r="B89" s="25">
        <v>0</v>
      </c>
      <c r="C89" s="25">
        <v>0</v>
      </c>
      <c r="D89" s="25">
        <v>1</v>
      </c>
      <c r="E89" s="25">
        <v>0</v>
      </c>
      <c r="F89" s="25">
        <v>0</v>
      </c>
      <c r="G89" s="25">
        <v>1</v>
      </c>
      <c r="H89" s="25">
        <v>1</v>
      </c>
      <c r="I89" s="25">
        <v>0</v>
      </c>
      <c r="J89" s="25">
        <v>1</v>
      </c>
      <c r="K89" s="25">
        <v>0</v>
      </c>
      <c r="L89" s="12">
        <f t="shared" si="18"/>
        <v>0.4</v>
      </c>
      <c r="M89" s="25" t="str">
        <f t="shared" si="19"/>
        <v>sedang</v>
      </c>
      <c r="N89" s="12">
        <f t="shared" si="20"/>
        <v>0.4</v>
      </c>
      <c r="O89" s="25" t="str">
        <f t="shared" si="21"/>
        <v>soal diterima baik</v>
      </c>
      <c r="P89" s="33"/>
      <c r="Q89" s="26">
        <v>84</v>
      </c>
      <c r="R89" s="25">
        <f t="shared" si="22"/>
        <v>0</v>
      </c>
      <c r="S89" s="25">
        <f t="shared" si="23"/>
        <v>0</v>
      </c>
      <c r="T89" s="25">
        <f t="shared" si="24"/>
        <v>0</v>
      </c>
      <c r="U89" s="25">
        <f t="shared" si="25"/>
        <v>0</v>
      </c>
      <c r="V89" s="25">
        <f t="shared" si="26"/>
        <v>0</v>
      </c>
      <c r="W89" s="25">
        <f t="shared" si="27"/>
        <v>0</v>
      </c>
      <c r="X89" s="25">
        <f t="shared" si="28"/>
        <v>1</v>
      </c>
      <c r="Y89" s="25">
        <f t="shared" si="29"/>
        <v>0</v>
      </c>
      <c r="Z89" s="25">
        <f t="shared" si="30"/>
        <v>1</v>
      </c>
      <c r="AA89" s="25">
        <f t="shared" si="31"/>
        <v>0</v>
      </c>
      <c r="AB89" s="3">
        <f t="shared" si="32"/>
        <v>0.2</v>
      </c>
      <c r="AC89" s="3">
        <f t="shared" si="33"/>
        <v>0.8</v>
      </c>
      <c r="AD89" s="3">
        <f t="shared" si="34"/>
        <v>0.16000000000000003</v>
      </c>
      <c r="AE89" s="20"/>
    </row>
    <row r="90" spans="1:31" ht="70" x14ac:dyDescent="0.3">
      <c r="A90" s="24" t="s">
        <v>516</v>
      </c>
      <c r="B90" s="25">
        <v>1</v>
      </c>
      <c r="C90" s="25">
        <v>0</v>
      </c>
      <c r="D90" s="25">
        <v>1</v>
      </c>
      <c r="E90" s="25">
        <v>0</v>
      </c>
      <c r="F90" s="25">
        <v>0</v>
      </c>
      <c r="G90" s="25">
        <v>1</v>
      </c>
      <c r="H90" s="25">
        <v>1</v>
      </c>
      <c r="I90" s="25">
        <v>0</v>
      </c>
      <c r="J90" s="25">
        <v>1</v>
      </c>
      <c r="K90" s="25">
        <v>1</v>
      </c>
      <c r="L90" s="12">
        <f t="shared" si="18"/>
        <v>0.6</v>
      </c>
      <c r="M90" s="25" t="str">
        <f t="shared" si="19"/>
        <v>sedang</v>
      </c>
      <c r="N90" s="12">
        <f t="shared" si="20"/>
        <v>0.4</v>
      </c>
      <c r="O90" s="25" t="str">
        <f t="shared" si="21"/>
        <v>soal diterima baik</v>
      </c>
      <c r="P90" s="33"/>
      <c r="Q90" s="26">
        <v>85</v>
      </c>
      <c r="R90" s="25">
        <f t="shared" si="22"/>
        <v>0</v>
      </c>
      <c r="S90" s="25">
        <f t="shared" si="23"/>
        <v>0</v>
      </c>
      <c r="T90" s="25">
        <f t="shared" si="24"/>
        <v>1</v>
      </c>
      <c r="U90" s="25">
        <f t="shared" si="25"/>
        <v>0</v>
      </c>
      <c r="V90" s="25">
        <f t="shared" si="26"/>
        <v>0</v>
      </c>
      <c r="W90" s="25">
        <f t="shared" si="27"/>
        <v>1</v>
      </c>
      <c r="X90" s="25">
        <f t="shared" si="28"/>
        <v>1</v>
      </c>
      <c r="Y90" s="25">
        <f t="shared" si="29"/>
        <v>0</v>
      </c>
      <c r="Z90" s="25">
        <f t="shared" si="30"/>
        <v>1</v>
      </c>
      <c r="AA90" s="25">
        <f t="shared" si="31"/>
        <v>0</v>
      </c>
      <c r="AB90" s="3">
        <f t="shared" si="32"/>
        <v>0.4</v>
      </c>
      <c r="AC90" s="3">
        <f t="shared" si="33"/>
        <v>0.6</v>
      </c>
      <c r="AD90" s="3">
        <f t="shared" si="34"/>
        <v>0.24</v>
      </c>
      <c r="AE90" s="20"/>
    </row>
    <row r="91" spans="1:31" ht="70" x14ac:dyDescent="0.3">
      <c r="A91" s="28" t="s">
        <v>517</v>
      </c>
      <c r="B91" s="25">
        <v>1</v>
      </c>
      <c r="C91" s="25">
        <v>1</v>
      </c>
      <c r="D91" s="25">
        <v>1</v>
      </c>
      <c r="E91" s="25">
        <v>1</v>
      </c>
      <c r="F91" s="25">
        <v>0</v>
      </c>
      <c r="G91" s="25">
        <v>0</v>
      </c>
      <c r="H91" s="25">
        <v>0</v>
      </c>
      <c r="I91" s="25">
        <v>0</v>
      </c>
      <c r="J91" s="25">
        <v>0</v>
      </c>
      <c r="K91" s="25">
        <v>0</v>
      </c>
      <c r="L91" s="12">
        <f t="shared" si="18"/>
        <v>0.4</v>
      </c>
      <c r="M91" s="25" t="str">
        <f t="shared" si="19"/>
        <v>sedang</v>
      </c>
      <c r="N91" s="12">
        <f t="shared" si="20"/>
        <v>0.8</v>
      </c>
      <c r="O91" s="25" t="str">
        <f t="shared" si="21"/>
        <v>soal diterima baik</v>
      </c>
      <c r="P91" s="33"/>
      <c r="Q91" s="26">
        <v>86</v>
      </c>
      <c r="R91" s="25">
        <f t="shared" si="22"/>
        <v>1</v>
      </c>
      <c r="S91" s="25">
        <f t="shared" si="23"/>
        <v>0</v>
      </c>
      <c r="T91" s="25">
        <f t="shared" si="24"/>
        <v>1</v>
      </c>
      <c r="U91" s="25">
        <f t="shared" si="25"/>
        <v>0</v>
      </c>
      <c r="V91" s="25">
        <f t="shared" si="26"/>
        <v>0</v>
      </c>
      <c r="W91" s="25">
        <f t="shared" si="27"/>
        <v>1</v>
      </c>
      <c r="X91" s="25">
        <f t="shared" si="28"/>
        <v>1</v>
      </c>
      <c r="Y91" s="25">
        <f t="shared" si="29"/>
        <v>0</v>
      </c>
      <c r="Z91" s="25">
        <f t="shared" si="30"/>
        <v>1</v>
      </c>
      <c r="AA91" s="25">
        <f t="shared" si="31"/>
        <v>1</v>
      </c>
      <c r="AB91" s="3">
        <f t="shared" si="32"/>
        <v>0.6</v>
      </c>
      <c r="AC91" s="3">
        <f t="shared" si="33"/>
        <v>0.4</v>
      </c>
      <c r="AD91" s="3">
        <f t="shared" si="34"/>
        <v>0.24</v>
      </c>
      <c r="AE91" s="20"/>
    </row>
    <row r="92" spans="1:31" ht="42" x14ac:dyDescent="0.3">
      <c r="A92" s="24" t="s">
        <v>518</v>
      </c>
      <c r="B92" s="25">
        <v>1</v>
      </c>
      <c r="C92" s="25">
        <v>1</v>
      </c>
      <c r="D92" s="25">
        <v>1</v>
      </c>
      <c r="E92" s="25">
        <v>1</v>
      </c>
      <c r="F92" s="25">
        <v>1</v>
      </c>
      <c r="G92" s="25">
        <v>1</v>
      </c>
      <c r="H92" s="25">
        <v>0</v>
      </c>
      <c r="I92" s="25">
        <v>0</v>
      </c>
      <c r="J92" s="25">
        <v>0</v>
      </c>
      <c r="K92" s="25">
        <v>0</v>
      </c>
      <c r="L92" s="12">
        <f t="shared" si="18"/>
        <v>0.6</v>
      </c>
      <c r="M92" s="25" t="str">
        <f t="shared" si="19"/>
        <v>sedang</v>
      </c>
      <c r="N92" s="12">
        <f t="shared" si="20"/>
        <v>0.8</v>
      </c>
      <c r="O92" s="25" t="str">
        <f t="shared" si="21"/>
        <v>soal diterima baik</v>
      </c>
      <c r="P92" s="33"/>
      <c r="Q92" s="26">
        <v>87</v>
      </c>
      <c r="R92" s="25">
        <f t="shared" si="22"/>
        <v>1</v>
      </c>
      <c r="S92" s="25">
        <f t="shared" si="23"/>
        <v>1</v>
      </c>
      <c r="T92" s="25">
        <f t="shared" si="24"/>
        <v>1</v>
      </c>
      <c r="U92" s="25">
        <f t="shared" si="25"/>
        <v>1</v>
      </c>
      <c r="V92" s="25">
        <f t="shared" si="26"/>
        <v>0</v>
      </c>
      <c r="W92" s="25">
        <f t="shared" si="27"/>
        <v>0</v>
      </c>
      <c r="X92" s="25">
        <f t="shared" si="28"/>
        <v>0</v>
      </c>
      <c r="Y92" s="25">
        <f t="shared" si="29"/>
        <v>0</v>
      </c>
      <c r="Z92" s="25">
        <f t="shared" si="30"/>
        <v>0</v>
      </c>
      <c r="AA92" s="25">
        <f t="shared" si="31"/>
        <v>0</v>
      </c>
      <c r="AB92" s="3">
        <f t="shared" si="32"/>
        <v>0.4</v>
      </c>
      <c r="AC92" s="3">
        <f t="shared" si="33"/>
        <v>0.6</v>
      </c>
      <c r="AD92" s="3">
        <f t="shared" si="34"/>
        <v>0.24</v>
      </c>
      <c r="AE92" s="20"/>
    </row>
    <row r="93" spans="1:31" ht="42" x14ac:dyDescent="0.3">
      <c r="A93" s="24" t="s">
        <v>519</v>
      </c>
      <c r="B93" s="25">
        <v>1</v>
      </c>
      <c r="C93" s="25">
        <v>0</v>
      </c>
      <c r="D93" s="25">
        <v>1</v>
      </c>
      <c r="E93" s="25">
        <v>1</v>
      </c>
      <c r="F93" s="25">
        <v>0</v>
      </c>
      <c r="G93" s="25">
        <v>1</v>
      </c>
      <c r="H93" s="25">
        <v>1</v>
      </c>
      <c r="I93" s="25">
        <v>1</v>
      </c>
      <c r="J93" s="25">
        <v>1</v>
      </c>
      <c r="K93" s="25">
        <v>1</v>
      </c>
      <c r="L93" s="12">
        <f t="shared" si="18"/>
        <v>0.8</v>
      </c>
      <c r="M93" s="25" t="str">
        <f t="shared" si="19"/>
        <v>mudah</v>
      </c>
      <c r="N93" s="12">
        <f t="shared" si="20"/>
        <v>0.4</v>
      </c>
      <c r="O93" s="25" t="str">
        <f t="shared" si="21"/>
        <v>soal diterima baik</v>
      </c>
      <c r="P93" s="33"/>
      <c r="Q93" s="26">
        <v>88</v>
      </c>
      <c r="R93" s="25">
        <f t="shared" si="22"/>
        <v>1</v>
      </c>
      <c r="S93" s="25">
        <f t="shared" si="23"/>
        <v>1</v>
      </c>
      <c r="T93" s="25">
        <f t="shared" si="24"/>
        <v>1</v>
      </c>
      <c r="U93" s="25">
        <f t="shared" si="25"/>
        <v>1</v>
      </c>
      <c r="V93" s="25">
        <f t="shared" si="26"/>
        <v>1</v>
      </c>
      <c r="W93" s="25">
        <f t="shared" si="27"/>
        <v>1</v>
      </c>
      <c r="X93" s="25">
        <f t="shared" si="28"/>
        <v>0</v>
      </c>
      <c r="Y93" s="25">
        <f t="shared" si="29"/>
        <v>0</v>
      </c>
      <c r="Z93" s="25">
        <f t="shared" si="30"/>
        <v>0</v>
      </c>
      <c r="AA93" s="25">
        <f t="shared" si="31"/>
        <v>0</v>
      </c>
      <c r="AB93" s="3">
        <f t="shared" si="32"/>
        <v>0.6</v>
      </c>
      <c r="AC93" s="3">
        <f t="shared" si="33"/>
        <v>0.4</v>
      </c>
      <c r="AD93" s="3">
        <f t="shared" si="34"/>
        <v>0.24</v>
      </c>
      <c r="AE93" s="20"/>
    </row>
    <row r="94" spans="1:31" ht="56" x14ac:dyDescent="0.3">
      <c r="A94" s="28" t="s">
        <v>520</v>
      </c>
      <c r="B94" s="25">
        <v>0</v>
      </c>
      <c r="C94" s="25">
        <v>0</v>
      </c>
      <c r="D94" s="25">
        <v>0</v>
      </c>
      <c r="E94" s="25">
        <v>0</v>
      </c>
      <c r="F94" s="25">
        <v>0</v>
      </c>
      <c r="G94" s="25">
        <v>0</v>
      </c>
      <c r="H94" s="25">
        <v>1</v>
      </c>
      <c r="I94" s="25">
        <v>0</v>
      </c>
      <c r="J94" s="25">
        <v>1</v>
      </c>
      <c r="K94" s="25">
        <v>0</v>
      </c>
      <c r="L94" s="12">
        <f t="shared" si="18"/>
        <v>0.2</v>
      </c>
      <c r="M94" s="25" t="str">
        <f t="shared" si="19"/>
        <v>sukar</v>
      </c>
      <c r="N94" s="12">
        <f t="shared" si="20"/>
        <v>0.4</v>
      </c>
      <c r="O94" s="25" t="str">
        <f t="shared" si="21"/>
        <v>soal diterima baik</v>
      </c>
      <c r="P94" s="33"/>
      <c r="Q94" s="26">
        <v>89</v>
      </c>
      <c r="R94" s="25">
        <f t="shared" si="22"/>
        <v>1</v>
      </c>
      <c r="S94" s="25">
        <f t="shared" si="23"/>
        <v>0</v>
      </c>
      <c r="T94" s="25">
        <f t="shared" si="24"/>
        <v>1</v>
      </c>
      <c r="U94" s="25">
        <f t="shared" si="25"/>
        <v>1</v>
      </c>
      <c r="V94" s="25">
        <f t="shared" si="26"/>
        <v>0</v>
      </c>
      <c r="W94" s="25">
        <f t="shared" si="27"/>
        <v>1</v>
      </c>
      <c r="X94" s="25">
        <f t="shared" si="28"/>
        <v>1</v>
      </c>
      <c r="Y94" s="25">
        <f t="shared" si="29"/>
        <v>1</v>
      </c>
      <c r="Z94" s="25">
        <f t="shared" si="30"/>
        <v>1</v>
      </c>
      <c r="AA94" s="25">
        <f t="shared" si="31"/>
        <v>1</v>
      </c>
      <c r="AB94" s="3">
        <f t="shared" si="32"/>
        <v>0.8</v>
      </c>
      <c r="AC94" s="3">
        <f t="shared" si="33"/>
        <v>0.19999999999999996</v>
      </c>
      <c r="AD94" s="3">
        <f t="shared" si="34"/>
        <v>0.15999999999999998</v>
      </c>
      <c r="AE94" s="20"/>
    </row>
    <row r="95" spans="1:31" ht="42" x14ac:dyDescent="0.3">
      <c r="A95" s="24" t="s">
        <v>521</v>
      </c>
      <c r="B95" s="25">
        <v>0</v>
      </c>
      <c r="C95" s="25">
        <v>0</v>
      </c>
      <c r="D95" s="25">
        <v>1</v>
      </c>
      <c r="E95" s="25">
        <v>0</v>
      </c>
      <c r="F95" s="25">
        <v>0</v>
      </c>
      <c r="G95" s="25">
        <v>0</v>
      </c>
      <c r="H95" s="25">
        <v>1</v>
      </c>
      <c r="I95" s="25">
        <v>1</v>
      </c>
      <c r="J95" s="25">
        <v>0</v>
      </c>
      <c r="K95" s="25">
        <v>1</v>
      </c>
      <c r="L95" s="12">
        <f t="shared" si="18"/>
        <v>0.4</v>
      </c>
      <c r="M95" s="25" t="str">
        <f t="shared" si="19"/>
        <v>sedang</v>
      </c>
      <c r="N95" s="12">
        <f t="shared" si="20"/>
        <v>0.4</v>
      </c>
      <c r="O95" s="25" t="str">
        <f t="shared" si="21"/>
        <v>soal diterima baik</v>
      </c>
      <c r="P95" s="33"/>
      <c r="Q95" s="26">
        <v>90</v>
      </c>
      <c r="R95" s="25">
        <f t="shared" si="22"/>
        <v>0</v>
      </c>
      <c r="S95" s="25">
        <f t="shared" si="23"/>
        <v>0</v>
      </c>
      <c r="T95" s="25">
        <f t="shared" si="24"/>
        <v>0</v>
      </c>
      <c r="U95" s="25">
        <f t="shared" si="25"/>
        <v>0</v>
      </c>
      <c r="V95" s="25">
        <f t="shared" si="26"/>
        <v>0</v>
      </c>
      <c r="W95" s="25">
        <f t="shared" si="27"/>
        <v>0</v>
      </c>
      <c r="X95" s="25">
        <f t="shared" si="28"/>
        <v>1</v>
      </c>
      <c r="Y95" s="25">
        <f t="shared" si="29"/>
        <v>0</v>
      </c>
      <c r="Z95" s="25">
        <f t="shared" si="30"/>
        <v>1</v>
      </c>
      <c r="AA95" s="25">
        <f t="shared" si="31"/>
        <v>0</v>
      </c>
      <c r="AB95" s="3">
        <f t="shared" si="32"/>
        <v>0.2</v>
      </c>
      <c r="AC95" s="3">
        <f t="shared" si="33"/>
        <v>0.8</v>
      </c>
      <c r="AD95" s="3">
        <f t="shared" si="34"/>
        <v>0.16000000000000003</v>
      </c>
      <c r="AE95" s="20"/>
    </row>
    <row r="96" spans="1:31" ht="42" x14ac:dyDescent="0.3">
      <c r="A96" s="28" t="s">
        <v>522</v>
      </c>
      <c r="B96" s="25">
        <v>0</v>
      </c>
      <c r="C96" s="25">
        <v>0</v>
      </c>
      <c r="D96" s="25">
        <v>0</v>
      </c>
      <c r="E96" s="25">
        <v>1</v>
      </c>
      <c r="F96" s="25">
        <v>0</v>
      </c>
      <c r="G96" s="25">
        <v>1</v>
      </c>
      <c r="H96" s="25">
        <v>1</v>
      </c>
      <c r="I96" s="25">
        <v>1</v>
      </c>
      <c r="J96" s="25">
        <v>1</v>
      </c>
      <c r="K96" s="25">
        <v>1</v>
      </c>
      <c r="L96" s="12">
        <f t="shared" si="18"/>
        <v>0.6</v>
      </c>
      <c r="M96" s="25" t="str">
        <f t="shared" si="19"/>
        <v>sedang</v>
      </c>
      <c r="N96" s="12">
        <f t="shared" si="20"/>
        <v>0.8</v>
      </c>
      <c r="O96" s="25" t="str">
        <f t="shared" si="21"/>
        <v>soal diterima baik</v>
      </c>
      <c r="P96" s="33"/>
      <c r="Q96" s="26">
        <v>91</v>
      </c>
      <c r="R96" s="25">
        <f t="shared" si="22"/>
        <v>0</v>
      </c>
      <c r="S96" s="25">
        <f t="shared" si="23"/>
        <v>0</v>
      </c>
      <c r="T96" s="25">
        <f t="shared" si="24"/>
        <v>1</v>
      </c>
      <c r="U96" s="25">
        <f t="shared" si="25"/>
        <v>0</v>
      </c>
      <c r="V96" s="25">
        <f t="shared" si="26"/>
        <v>0</v>
      </c>
      <c r="W96" s="25">
        <f t="shared" si="27"/>
        <v>0</v>
      </c>
      <c r="X96" s="25">
        <f t="shared" si="28"/>
        <v>1</v>
      </c>
      <c r="Y96" s="25">
        <f t="shared" si="29"/>
        <v>1</v>
      </c>
      <c r="Z96" s="25">
        <f t="shared" si="30"/>
        <v>0</v>
      </c>
      <c r="AA96" s="25">
        <f t="shared" si="31"/>
        <v>1</v>
      </c>
      <c r="AB96" s="3">
        <f t="shared" si="32"/>
        <v>0.4</v>
      </c>
      <c r="AC96" s="3">
        <f t="shared" si="33"/>
        <v>0.6</v>
      </c>
      <c r="AD96" s="3">
        <f t="shared" si="34"/>
        <v>0.24</v>
      </c>
      <c r="AE96" s="20"/>
    </row>
    <row r="97" spans="1:31" ht="56" x14ac:dyDescent="0.3">
      <c r="A97" s="24" t="s">
        <v>523</v>
      </c>
      <c r="B97" s="25">
        <v>1</v>
      </c>
      <c r="C97" s="25">
        <v>1</v>
      </c>
      <c r="D97" s="25">
        <v>1</v>
      </c>
      <c r="E97" s="25">
        <v>1</v>
      </c>
      <c r="F97" s="25">
        <v>1</v>
      </c>
      <c r="G97" s="25">
        <v>1</v>
      </c>
      <c r="H97" s="25">
        <v>0</v>
      </c>
      <c r="I97" s="25">
        <v>0</v>
      </c>
      <c r="J97" s="25">
        <v>0</v>
      </c>
      <c r="K97" s="25">
        <v>0</v>
      </c>
      <c r="L97" s="12">
        <f t="shared" si="18"/>
        <v>0.6</v>
      </c>
      <c r="M97" s="25" t="str">
        <f t="shared" si="19"/>
        <v>sedang</v>
      </c>
      <c r="N97" s="12">
        <f t="shared" si="20"/>
        <v>0.8</v>
      </c>
      <c r="O97" s="25" t="str">
        <f t="shared" si="21"/>
        <v>soal diterima baik</v>
      </c>
      <c r="P97" s="33"/>
      <c r="Q97" s="26">
        <v>92</v>
      </c>
      <c r="R97" s="25">
        <f t="shared" si="22"/>
        <v>0</v>
      </c>
      <c r="S97" s="25">
        <f t="shared" si="23"/>
        <v>0</v>
      </c>
      <c r="T97" s="25">
        <f t="shared" si="24"/>
        <v>0</v>
      </c>
      <c r="U97" s="25">
        <f t="shared" si="25"/>
        <v>1</v>
      </c>
      <c r="V97" s="25">
        <f t="shared" si="26"/>
        <v>0</v>
      </c>
      <c r="W97" s="25">
        <f t="shared" si="27"/>
        <v>1</v>
      </c>
      <c r="X97" s="25">
        <f t="shared" si="28"/>
        <v>1</v>
      </c>
      <c r="Y97" s="25">
        <f t="shared" si="29"/>
        <v>1</v>
      </c>
      <c r="Z97" s="25">
        <f t="shared" si="30"/>
        <v>1</v>
      </c>
      <c r="AA97" s="25">
        <f t="shared" si="31"/>
        <v>1</v>
      </c>
      <c r="AB97" s="3">
        <f t="shared" si="32"/>
        <v>0.6</v>
      </c>
      <c r="AC97" s="3">
        <f t="shared" si="33"/>
        <v>0.4</v>
      </c>
      <c r="AD97" s="3">
        <f t="shared" si="34"/>
        <v>0.24</v>
      </c>
      <c r="AE97" s="20"/>
    </row>
    <row r="98" spans="1:31" ht="56" x14ac:dyDescent="0.3">
      <c r="A98" s="28" t="s">
        <v>524</v>
      </c>
      <c r="B98" s="25">
        <v>1</v>
      </c>
      <c r="C98" s="25">
        <v>0</v>
      </c>
      <c r="D98" s="25">
        <v>0</v>
      </c>
      <c r="E98" s="25">
        <v>0</v>
      </c>
      <c r="F98" s="25">
        <v>1</v>
      </c>
      <c r="G98" s="25">
        <v>1</v>
      </c>
      <c r="H98" s="25">
        <v>0</v>
      </c>
      <c r="I98" s="25">
        <v>1</v>
      </c>
      <c r="J98" s="25">
        <v>1</v>
      </c>
      <c r="K98" s="25">
        <v>1</v>
      </c>
      <c r="L98" s="12">
        <f t="shared" si="18"/>
        <v>0.6</v>
      </c>
      <c r="M98" s="25" t="str">
        <f t="shared" si="19"/>
        <v>sedang</v>
      </c>
      <c r="N98" s="12">
        <f t="shared" si="20"/>
        <v>0.4</v>
      </c>
      <c r="O98" s="25" t="str">
        <f t="shared" si="21"/>
        <v>soal diterima baik</v>
      </c>
      <c r="P98" s="33"/>
      <c r="Q98" s="26">
        <v>93</v>
      </c>
      <c r="R98" s="25">
        <f t="shared" si="22"/>
        <v>1</v>
      </c>
      <c r="S98" s="25">
        <f t="shared" si="23"/>
        <v>1</v>
      </c>
      <c r="T98" s="25">
        <f t="shared" si="24"/>
        <v>1</v>
      </c>
      <c r="U98" s="25">
        <f t="shared" si="25"/>
        <v>1</v>
      </c>
      <c r="V98" s="25">
        <f t="shared" si="26"/>
        <v>1</v>
      </c>
      <c r="W98" s="25">
        <f t="shared" si="27"/>
        <v>1</v>
      </c>
      <c r="X98" s="25">
        <f t="shared" si="28"/>
        <v>0</v>
      </c>
      <c r="Y98" s="25">
        <f t="shared" si="29"/>
        <v>0</v>
      </c>
      <c r="Z98" s="25">
        <f t="shared" si="30"/>
        <v>0</v>
      </c>
      <c r="AA98" s="25">
        <f t="shared" si="31"/>
        <v>0</v>
      </c>
      <c r="AB98" s="3">
        <f t="shared" si="32"/>
        <v>0.6</v>
      </c>
      <c r="AC98" s="3">
        <f t="shared" si="33"/>
        <v>0.4</v>
      </c>
      <c r="AD98" s="3">
        <f t="shared" si="34"/>
        <v>0.24</v>
      </c>
      <c r="AE98" s="20"/>
    </row>
    <row r="99" spans="1:31" ht="56" x14ac:dyDescent="0.3">
      <c r="A99" s="24" t="s">
        <v>525</v>
      </c>
      <c r="B99" s="25">
        <v>0</v>
      </c>
      <c r="C99" s="25">
        <v>0</v>
      </c>
      <c r="D99" s="25">
        <v>0</v>
      </c>
      <c r="E99" s="25">
        <v>0</v>
      </c>
      <c r="F99" s="25">
        <v>0</v>
      </c>
      <c r="G99" s="25">
        <v>1</v>
      </c>
      <c r="H99" s="25">
        <v>1</v>
      </c>
      <c r="I99" s="25">
        <v>0</v>
      </c>
      <c r="J99" s="25">
        <v>1</v>
      </c>
      <c r="K99" s="25">
        <v>1</v>
      </c>
      <c r="L99" s="12">
        <f t="shared" si="18"/>
        <v>0.4</v>
      </c>
      <c r="M99" s="25" t="str">
        <f t="shared" si="19"/>
        <v>sedang</v>
      </c>
      <c r="N99" s="12">
        <f t="shared" si="20"/>
        <v>0.8</v>
      </c>
      <c r="O99" s="25" t="str">
        <f t="shared" si="21"/>
        <v>soal diterima baik</v>
      </c>
      <c r="P99" s="33"/>
      <c r="Q99" s="26">
        <v>94</v>
      </c>
      <c r="R99" s="25">
        <f t="shared" si="22"/>
        <v>1</v>
      </c>
      <c r="S99" s="25">
        <f t="shared" si="23"/>
        <v>0</v>
      </c>
      <c r="T99" s="25">
        <f t="shared" si="24"/>
        <v>0</v>
      </c>
      <c r="U99" s="25">
        <f t="shared" si="25"/>
        <v>0</v>
      </c>
      <c r="V99" s="25">
        <f t="shared" si="26"/>
        <v>1</v>
      </c>
      <c r="W99" s="25">
        <f t="shared" si="27"/>
        <v>1</v>
      </c>
      <c r="X99" s="25">
        <f t="shared" si="28"/>
        <v>0</v>
      </c>
      <c r="Y99" s="25">
        <f t="shared" si="29"/>
        <v>1</v>
      </c>
      <c r="Z99" s="25">
        <f t="shared" si="30"/>
        <v>1</v>
      </c>
      <c r="AA99" s="25">
        <f t="shared" si="31"/>
        <v>1</v>
      </c>
      <c r="AB99" s="3">
        <f t="shared" si="32"/>
        <v>0.6</v>
      </c>
      <c r="AC99" s="3">
        <f t="shared" si="33"/>
        <v>0.4</v>
      </c>
      <c r="AD99" s="3">
        <f t="shared" si="34"/>
        <v>0.24</v>
      </c>
      <c r="AE99" s="20"/>
    </row>
    <row r="100" spans="1:31" ht="42" x14ac:dyDescent="0.3">
      <c r="A100" s="28" t="s">
        <v>526</v>
      </c>
      <c r="B100" s="25">
        <v>1</v>
      </c>
      <c r="C100" s="25">
        <v>1</v>
      </c>
      <c r="D100" s="25">
        <v>0</v>
      </c>
      <c r="E100" s="25">
        <v>0</v>
      </c>
      <c r="F100" s="25">
        <v>1</v>
      </c>
      <c r="G100" s="25">
        <v>0</v>
      </c>
      <c r="H100" s="25">
        <v>0</v>
      </c>
      <c r="I100" s="25">
        <v>0</v>
      </c>
      <c r="J100" s="25">
        <v>0</v>
      </c>
      <c r="K100" s="25">
        <v>1</v>
      </c>
      <c r="L100" s="12">
        <f t="shared" si="18"/>
        <v>0.4</v>
      </c>
      <c r="M100" s="25" t="str">
        <f t="shared" si="19"/>
        <v>sedang</v>
      </c>
      <c r="N100" s="12">
        <f t="shared" si="20"/>
        <v>0.4</v>
      </c>
      <c r="O100" s="25" t="str">
        <f t="shared" si="21"/>
        <v>soal diterima baik</v>
      </c>
      <c r="P100" s="33"/>
      <c r="Q100" s="26">
        <v>95</v>
      </c>
      <c r="R100" s="25">
        <f t="shared" si="22"/>
        <v>0</v>
      </c>
      <c r="S100" s="25">
        <f t="shared" si="23"/>
        <v>0</v>
      </c>
      <c r="T100" s="25">
        <f t="shared" si="24"/>
        <v>0</v>
      </c>
      <c r="U100" s="25">
        <f t="shared" si="25"/>
        <v>0</v>
      </c>
      <c r="V100" s="25">
        <f t="shared" si="26"/>
        <v>0</v>
      </c>
      <c r="W100" s="25">
        <f t="shared" si="27"/>
        <v>1</v>
      </c>
      <c r="X100" s="25">
        <f t="shared" si="28"/>
        <v>1</v>
      </c>
      <c r="Y100" s="25">
        <f t="shared" si="29"/>
        <v>0</v>
      </c>
      <c r="Z100" s="25">
        <f t="shared" si="30"/>
        <v>1</v>
      </c>
      <c r="AA100" s="25">
        <f t="shared" si="31"/>
        <v>1</v>
      </c>
      <c r="AB100" s="3">
        <f t="shared" si="32"/>
        <v>0.4</v>
      </c>
      <c r="AC100" s="3">
        <f t="shared" si="33"/>
        <v>0.6</v>
      </c>
      <c r="AD100" s="3">
        <f t="shared" si="34"/>
        <v>0.24</v>
      </c>
      <c r="AE100" s="20"/>
    </row>
    <row r="101" spans="1:31" ht="56" x14ac:dyDescent="0.3">
      <c r="A101" s="30" t="s">
        <v>527</v>
      </c>
      <c r="B101" s="25">
        <v>1</v>
      </c>
      <c r="C101" s="25">
        <v>1</v>
      </c>
      <c r="D101" s="25">
        <v>0</v>
      </c>
      <c r="E101" s="25">
        <v>0</v>
      </c>
      <c r="F101" s="25">
        <v>1</v>
      </c>
      <c r="G101" s="25">
        <v>0</v>
      </c>
      <c r="H101" s="25">
        <v>0</v>
      </c>
      <c r="I101" s="25">
        <v>0</v>
      </c>
      <c r="J101" s="25">
        <v>1</v>
      </c>
      <c r="K101" s="25">
        <v>0</v>
      </c>
      <c r="L101" s="12">
        <f t="shared" si="18"/>
        <v>0.4</v>
      </c>
      <c r="M101" s="25" t="str">
        <f t="shared" si="19"/>
        <v>sedang</v>
      </c>
      <c r="N101" s="12">
        <f t="shared" si="20"/>
        <v>0.4</v>
      </c>
      <c r="O101" s="25" t="str">
        <f t="shared" si="21"/>
        <v>soal diterima baik</v>
      </c>
      <c r="P101" s="33"/>
      <c r="Q101" s="26">
        <v>96</v>
      </c>
      <c r="R101" s="25">
        <f t="shared" si="22"/>
        <v>1</v>
      </c>
      <c r="S101" s="25">
        <f t="shared" si="23"/>
        <v>1</v>
      </c>
      <c r="T101" s="25">
        <f t="shared" si="24"/>
        <v>0</v>
      </c>
      <c r="U101" s="25">
        <f t="shared" si="25"/>
        <v>0</v>
      </c>
      <c r="V101" s="25">
        <f t="shared" si="26"/>
        <v>1</v>
      </c>
      <c r="W101" s="25">
        <f t="shared" si="27"/>
        <v>0</v>
      </c>
      <c r="X101" s="25">
        <f t="shared" si="28"/>
        <v>0</v>
      </c>
      <c r="Y101" s="25">
        <f t="shared" si="29"/>
        <v>0</v>
      </c>
      <c r="Z101" s="25">
        <f t="shared" si="30"/>
        <v>0</v>
      </c>
      <c r="AA101" s="25">
        <f t="shared" si="31"/>
        <v>1</v>
      </c>
      <c r="AB101" s="3">
        <f t="shared" si="32"/>
        <v>0.4</v>
      </c>
      <c r="AC101" s="3">
        <f t="shared" si="33"/>
        <v>0.6</v>
      </c>
      <c r="AD101" s="3">
        <f t="shared" si="34"/>
        <v>0.24</v>
      </c>
      <c r="AE101" s="20"/>
    </row>
    <row r="102" spans="1:31" ht="56" x14ac:dyDescent="0.3">
      <c r="A102" s="28" t="s">
        <v>528</v>
      </c>
      <c r="B102" s="25">
        <v>0</v>
      </c>
      <c r="C102" s="25">
        <v>1</v>
      </c>
      <c r="D102" s="25">
        <v>0</v>
      </c>
      <c r="E102" s="25">
        <v>0</v>
      </c>
      <c r="F102" s="25">
        <v>0</v>
      </c>
      <c r="G102" s="25">
        <v>0</v>
      </c>
      <c r="H102" s="25">
        <v>0</v>
      </c>
      <c r="I102" s="25">
        <v>1</v>
      </c>
      <c r="J102" s="25">
        <v>1</v>
      </c>
      <c r="K102" s="25">
        <v>1</v>
      </c>
      <c r="L102" s="12">
        <f t="shared" si="18"/>
        <v>0.4</v>
      </c>
      <c r="M102" s="25" t="str">
        <f t="shared" si="19"/>
        <v>sedang</v>
      </c>
      <c r="N102" s="12">
        <f t="shared" si="20"/>
        <v>0.4</v>
      </c>
      <c r="O102" s="25" t="str">
        <f t="shared" si="21"/>
        <v>soal diterima baik</v>
      </c>
      <c r="P102" s="33"/>
      <c r="Q102" s="26">
        <v>97</v>
      </c>
      <c r="R102" s="25">
        <f t="shared" si="22"/>
        <v>1</v>
      </c>
      <c r="S102" s="25">
        <f t="shared" si="23"/>
        <v>1</v>
      </c>
      <c r="T102" s="25">
        <f t="shared" si="24"/>
        <v>0</v>
      </c>
      <c r="U102" s="25">
        <f t="shared" si="25"/>
        <v>0</v>
      </c>
      <c r="V102" s="25">
        <f t="shared" si="26"/>
        <v>1</v>
      </c>
      <c r="W102" s="25">
        <f t="shared" si="27"/>
        <v>0</v>
      </c>
      <c r="X102" s="25">
        <f t="shared" si="28"/>
        <v>0</v>
      </c>
      <c r="Y102" s="25">
        <f t="shared" si="29"/>
        <v>0</v>
      </c>
      <c r="Z102" s="25">
        <f t="shared" si="30"/>
        <v>1</v>
      </c>
      <c r="AA102" s="25">
        <f t="shared" si="31"/>
        <v>0</v>
      </c>
      <c r="AB102" s="3">
        <f t="shared" si="32"/>
        <v>0.4</v>
      </c>
      <c r="AC102" s="3">
        <f t="shared" si="33"/>
        <v>0.6</v>
      </c>
      <c r="AD102" s="3">
        <f t="shared" si="34"/>
        <v>0.24</v>
      </c>
      <c r="AE102" s="20"/>
    </row>
    <row r="103" spans="1:31" ht="56" x14ac:dyDescent="0.3">
      <c r="A103" s="24" t="s">
        <v>529</v>
      </c>
      <c r="B103" s="25">
        <v>1</v>
      </c>
      <c r="C103" s="25">
        <v>1</v>
      </c>
      <c r="D103" s="25">
        <v>0</v>
      </c>
      <c r="E103" s="25">
        <v>0</v>
      </c>
      <c r="F103" s="25">
        <v>1</v>
      </c>
      <c r="G103" s="25">
        <v>0</v>
      </c>
      <c r="H103" s="25">
        <v>0</v>
      </c>
      <c r="I103" s="25">
        <v>0</v>
      </c>
      <c r="J103" s="25">
        <v>0</v>
      </c>
      <c r="K103" s="25">
        <v>1</v>
      </c>
      <c r="L103" s="12">
        <f t="shared" si="18"/>
        <v>0.4</v>
      </c>
      <c r="M103" s="25" t="str">
        <f t="shared" si="19"/>
        <v>sedang</v>
      </c>
      <c r="N103" s="12">
        <f t="shared" si="20"/>
        <v>0.4</v>
      </c>
      <c r="O103" s="25" t="str">
        <f t="shared" si="21"/>
        <v>soal diterima baik</v>
      </c>
      <c r="P103" s="33"/>
      <c r="Q103" s="26">
        <v>98</v>
      </c>
      <c r="R103" s="25">
        <f t="shared" si="22"/>
        <v>0</v>
      </c>
      <c r="S103" s="25">
        <f t="shared" si="23"/>
        <v>1</v>
      </c>
      <c r="T103" s="25">
        <f t="shared" si="24"/>
        <v>0</v>
      </c>
      <c r="U103" s="25">
        <f t="shared" si="25"/>
        <v>0</v>
      </c>
      <c r="V103" s="25">
        <f t="shared" si="26"/>
        <v>0</v>
      </c>
      <c r="W103" s="25">
        <f t="shared" si="27"/>
        <v>0</v>
      </c>
      <c r="X103" s="25">
        <f t="shared" si="28"/>
        <v>0</v>
      </c>
      <c r="Y103" s="25">
        <f t="shared" si="29"/>
        <v>1</v>
      </c>
      <c r="Z103" s="25">
        <f t="shared" si="30"/>
        <v>1</v>
      </c>
      <c r="AA103" s="25">
        <f t="shared" si="31"/>
        <v>1</v>
      </c>
      <c r="AB103" s="3">
        <f t="shared" si="32"/>
        <v>0.4</v>
      </c>
      <c r="AC103" s="3">
        <f t="shared" si="33"/>
        <v>0.6</v>
      </c>
      <c r="AD103" s="3">
        <f t="shared" si="34"/>
        <v>0.24</v>
      </c>
      <c r="AE103" s="20"/>
    </row>
    <row r="104" spans="1:31" ht="42" x14ac:dyDescent="0.3">
      <c r="A104" s="28" t="s">
        <v>530</v>
      </c>
      <c r="B104" s="25">
        <v>1</v>
      </c>
      <c r="C104" s="25">
        <v>0</v>
      </c>
      <c r="D104" s="25">
        <v>0</v>
      </c>
      <c r="E104" s="25">
        <v>1</v>
      </c>
      <c r="F104" s="25">
        <v>0</v>
      </c>
      <c r="G104" s="25">
        <v>1</v>
      </c>
      <c r="H104" s="25">
        <v>1</v>
      </c>
      <c r="I104" s="25">
        <v>0</v>
      </c>
      <c r="J104" s="25">
        <v>1</v>
      </c>
      <c r="K104" s="25">
        <v>1</v>
      </c>
      <c r="L104" s="12">
        <f t="shared" si="18"/>
        <v>0.6</v>
      </c>
      <c r="M104" s="25" t="str">
        <f t="shared" si="19"/>
        <v>sedang</v>
      </c>
      <c r="N104" s="12">
        <f t="shared" si="20"/>
        <v>0.4</v>
      </c>
      <c r="O104" s="25" t="str">
        <f t="shared" si="21"/>
        <v>soal diterima baik</v>
      </c>
      <c r="P104" s="33"/>
      <c r="Q104" s="26">
        <v>99</v>
      </c>
      <c r="R104" s="25">
        <f t="shared" si="22"/>
        <v>1</v>
      </c>
      <c r="S104" s="25">
        <f t="shared" si="23"/>
        <v>1</v>
      </c>
      <c r="T104" s="25">
        <f t="shared" si="24"/>
        <v>0</v>
      </c>
      <c r="U104" s="25">
        <f t="shared" si="25"/>
        <v>0</v>
      </c>
      <c r="V104" s="25">
        <f t="shared" si="26"/>
        <v>1</v>
      </c>
      <c r="W104" s="25">
        <f t="shared" si="27"/>
        <v>0</v>
      </c>
      <c r="X104" s="25">
        <f t="shared" si="28"/>
        <v>0</v>
      </c>
      <c r="Y104" s="25">
        <f t="shared" si="29"/>
        <v>0</v>
      </c>
      <c r="Z104" s="25">
        <f t="shared" si="30"/>
        <v>0</v>
      </c>
      <c r="AA104" s="25">
        <f t="shared" si="31"/>
        <v>1</v>
      </c>
      <c r="AB104" s="3">
        <f t="shared" si="32"/>
        <v>0.4</v>
      </c>
      <c r="AC104" s="3">
        <f t="shared" si="33"/>
        <v>0.6</v>
      </c>
      <c r="AD104" s="3">
        <f t="shared" si="34"/>
        <v>0.24</v>
      </c>
      <c r="AE104" s="20"/>
    </row>
    <row r="105" spans="1:31" x14ac:dyDescent="0.3">
      <c r="A105" s="31"/>
      <c r="B105" s="32">
        <f>SUM(B5:B104)</f>
        <v>58</v>
      </c>
      <c r="C105" s="32">
        <f>SUM(C5:C104)</f>
        <v>55</v>
      </c>
      <c r="D105" s="32">
        <f>SUM(D5:D104)</f>
        <v>44</v>
      </c>
      <c r="E105" s="32">
        <f t="shared" ref="E105:K105" si="35">SUM(E5:E104)</f>
        <v>48</v>
      </c>
      <c r="F105" s="32">
        <f t="shared" si="35"/>
        <v>45</v>
      </c>
      <c r="G105" s="32">
        <f t="shared" si="35"/>
        <v>39</v>
      </c>
      <c r="H105" s="32">
        <f t="shared" si="35"/>
        <v>50</v>
      </c>
      <c r="I105" s="32">
        <f t="shared" si="35"/>
        <v>34</v>
      </c>
      <c r="J105" s="32">
        <f t="shared" si="35"/>
        <v>52</v>
      </c>
      <c r="K105" s="32">
        <f t="shared" si="35"/>
        <v>47</v>
      </c>
      <c r="L105" s="31"/>
      <c r="M105" s="31"/>
      <c r="N105" s="31"/>
      <c r="O105" s="50">
        <f>COUNTIF(O5:O104,"soal dibuang")</f>
        <v>0</v>
      </c>
      <c r="P105" s="33"/>
      <c r="Q105" s="26">
        <v>100</v>
      </c>
      <c r="R105" s="25">
        <f t="shared" si="22"/>
        <v>1</v>
      </c>
      <c r="S105" s="25">
        <f t="shared" si="23"/>
        <v>0</v>
      </c>
      <c r="T105" s="25">
        <f t="shared" si="24"/>
        <v>0</v>
      </c>
      <c r="U105" s="25">
        <f t="shared" si="25"/>
        <v>1</v>
      </c>
      <c r="V105" s="25">
        <f t="shared" si="26"/>
        <v>0</v>
      </c>
      <c r="W105" s="25">
        <f t="shared" si="27"/>
        <v>1</v>
      </c>
      <c r="X105" s="25">
        <f t="shared" si="28"/>
        <v>1</v>
      </c>
      <c r="Y105" s="25">
        <f t="shared" si="29"/>
        <v>0</v>
      </c>
      <c r="Z105" s="25">
        <f t="shared" si="30"/>
        <v>1</v>
      </c>
      <c r="AA105" s="25">
        <f t="shared" si="31"/>
        <v>1</v>
      </c>
      <c r="AB105" s="3">
        <f>SUM(R105:AA105)/COUNT(R105:AA105)</f>
        <v>0.6</v>
      </c>
      <c r="AC105" s="3">
        <f t="shared" si="33"/>
        <v>0.4</v>
      </c>
      <c r="AD105" s="3">
        <f t="shared" si="34"/>
        <v>0.24</v>
      </c>
      <c r="AE105" s="20"/>
    </row>
    <row r="106" spans="1:31" ht="28" x14ac:dyDescent="0.3">
      <c r="A106" s="31"/>
      <c r="B106" s="35" t="s">
        <v>105</v>
      </c>
      <c r="C106" s="35" t="s">
        <v>105</v>
      </c>
      <c r="D106" s="35" t="s">
        <v>105</v>
      </c>
      <c r="E106" s="35" t="s">
        <v>105</v>
      </c>
      <c r="F106" s="35" t="s">
        <v>105</v>
      </c>
      <c r="G106" s="35" t="s">
        <v>104</v>
      </c>
      <c r="H106" s="35" t="s">
        <v>104</v>
      </c>
      <c r="I106" s="35" t="s">
        <v>104</v>
      </c>
      <c r="J106" s="35" t="s">
        <v>104</v>
      </c>
      <c r="K106" s="35" t="s">
        <v>104</v>
      </c>
      <c r="L106" s="31"/>
      <c r="M106" s="50">
        <f>COUNTIF(M5:M104,"mudah")</f>
        <v>13</v>
      </c>
      <c r="N106" s="31"/>
      <c r="O106" s="31"/>
      <c r="P106" s="33"/>
      <c r="Q106" s="20" t="s">
        <v>112</v>
      </c>
      <c r="R106" s="36">
        <f>SUM(R6:R105)</f>
        <v>58</v>
      </c>
      <c r="S106" s="36">
        <f t="shared" ref="S106:AA106" si="36">SUM(S6:S105)</f>
        <v>55</v>
      </c>
      <c r="T106" s="36">
        <f t="shared" si="36"/>
        <v>44</v>
      </c>
      <c r="U106" s="36">
        <f t="shared" si="36"/>
        <v>48</v>
      </c>
      <c r="V106" s="36">
        <f t="shared" si="36"/>
        <v>45</v>
      </c>
      <c r="W106" s="36">
        <f t="shared" si="36"/>
        <v>39</v>
      </c>
      <c r="X106" s="36">
        <f t="shared" si="36"/>
        <v>50</v>
      </c>
      <c r="Y106" s="36">
        <f t="shared" si="36"/>
        <v>34</v>
      </c>
      <c r="Z106" s="36">
        <f t="shared" si="36"/>
        <v>52</v>
      </c>
      <c r="AA106" s="36">
        <f t="shared" si="36"/>
        <v>47</v>
      </c>
      <c r="AB106" s="36"/>
      <c r="AC106" s="36"/>
      <c r="AD106" s="10">
        <f>SUM(AD6:AD105)</f>
        <v>21.679999999999982</v>
      </c>
      <c r="AE106" s="36" t="s">
        <v>111</v>
      </c>
    </row>
    <row r="107" spans="1:31" x14ac:dyDescent="0.3">
      <c r="A107" s="31"/>
      <c r="B107" s="31"/>
      <c r="C107" s="31"/>
      <c r="D107" s="31"/>
      <c r="E107" s="31"/>
      <c r="F107" s="31"/>
      <c r="G107" s="31"/>
      <c r="H107" s="31"/>
      <c r="I107" s="31"/>
      <c r="J107" s="31"/>
      <c r="K107" s="31"/>
      <c r="L107" s="31"/>
      <c r="M107" s="50">
        <f>COUNTIF(M5:M104,"sedang")</f>
        <v>71</v>
      </c>
      <c r="N107" s="31"/>
      <c r="O107" s="31"/>
      <c r="P107" s="33"/>
      <c r="Q107" s="20" t="s">
        <v>113</v>
      </c>
      <c r="R107" s="36">
        <f>SUM(R106:AA106)</f>
        <v>472</v>
      </c>
      <c r="S107" s="36"/>
      <c r="T107" s="36"/>
      <c r="U107" s="36"/>
      <c r="V107" s="36"/>
      <c r="W107" s="36"/>
      <c r="X107" s="36"/>
      <c r="Y107" s="36"/>
      <c r="Z107" s="36"/>
      <c r="AA107" s="36"/>
      <c r="AB107" s="36"/>
      <c r="AC107" s="36"/>
      <c r="AD107" s="36"/>
      <c r="AE107" s="36"/>
    </row>
    <row r="108" spans="1:31" ht="24" customHeight="1" x14ac:dyDescent="0.3">
      <c r="A108" s="39"/>
      <c r="B108" s="110" t="s">
        <v>630</v>
      </c>
      <c r="C108" s="110"/>
      <c r="D108" s="110"/>
      <c r="E108" s="25">
        <v>40</v>
      </c>
      <c r="F108" s="31"/>
      <c r="G108" s="31"/>
      <c r="H108" s="31"/>
      <c r="I108" s="31"/>
      <c r="J108" s="31"/>
      <c r="K108" s="31"/>
      <c r="L108" s="31"/>
      <c r="M108" s="32">
        <f>100-M106-M107</f>
        <v>16</v>
      </c>
      <c r="N108" s="31"/>
      <c r="O108" s="31"/>
      <c r="P108" s="33"/>
      <c r="Q108" s="20" t="s">
        <v>114</v>
      </c>
      <c r="R108" s="36">
        <f>$R$107/10</f>
        <v>47.2</v>
      </c>
      <c r="S108" s="36">
        <f t="shared" ref="S108:AA108" si="37">$R$108/10</f>
        <v>4.7200000000000006</v>
      </c>
      <c r="T108" s="36">
        <f t="shared" si="37"/>
        <v>4.7200000000000006</v>
      </c>
      <c r="U108" s="36">
        <f t="shared" si="37"/>
        <v>4.7200000000000006</v>
      </c>
      <c r="V108" s="36">
        <f t="shared" si="37"/>
        <v>4.7200000000000006</v>
      </c>
      <c r="W108" s="36">
        <f t="shared" si="37"/>
        <v>4.7200000000000006</v>
      </c>
      <c r="X108" s="36">
        <f>$R$107/10</f>
        <v>47.2</v>
      </c>
      <c r="Y108" s="36">
        <f t="shared" si="37"/>
        <v>4.7200000000000006</v>
      </c>
      <c r="Z108" s="36">
        <f t="shared" si="37"/>
        <v>4.7200000000000006</v>
      </c>
      <c r="AA108" s="36">
        <f t="shared" si="37"/>
        <v>4.7200000000000006</v>
      </c>
      <c r="AB108" s="36"/>
      <c r="AC108" s="36"/>
      <c r="AD108" s="36"/>
      <c r="AE108" s="36"/>
    </row>
    <row r="109" spans="1:31" ht="24" customHeight="1" x14ac:dyDescent="0.3">
      <c r="A109" s="28"/>
      <c r="B109" s="110" t="s">
        <v>631</v>
      </c>
      <c r="C109" s="110"/>
      <c r="D109" s="110"/>
      <c r="E109" s="25">
        <v>30</v>
      </c>
      <c r="F109" s="31"/>
      <c r="G109" s="31"/>
      <c r="H109" s="31"/>
      <c r="I109" s="31"/>
      <c r="J109" s="31"/>
      <c r="K109" s="31"/>
      <c r="L109" s="31"/>
      <c r="M109" s="31"/>
      <c r="N109" s="31"/>
      <c r="O109" s="31"/>
      <c r="P109" s="33"/>
      <c r="Q109" s="20" t="s">
        <v>115</v>
      </c>
      <c r="R109" s="10">
        <f>R106-R108</f>
        <v>10.799999999999997</v>
      </c>
      <c r="S109" s="10">
        <f t="shared" ref="S109:AA109" si="38">S106-S108</f>
        <v>50.28</v>
      </c>
      <c r="T109" s="10">
        <f t="shared" si="38"/>
        <v>39.28</v>
      </c>
      <c r="U109" s="10">
        <f t="shared" si="38"/>
        <v>43.28</v>
      </c>
      <c r="V109" s="10">
        <f t="shared" si="38"/>
        <v>40.28</v>
      </c>
      <c r="W109" s="10">
        <f t="shared" si="38"/>
        <v>34.28</v>
      </c>
      <c r="X109" s="10">
        <f t="shared" si="38"/>
        <v>2.7999999999999972</v>
      </c>
      <c r="Y109" s="10">
        <f t="shared" si="38"/>
        <v>29.28</v>
      </c>
      <c r="Z109" s="10">
        <f t="shared" si="38"/>
        <v>47.28</v>
      </c>
      <c r="AA109" s="10">
        <f t="shared" si="38"/>
        <v>42.28</v>
      </c>
      <c r="AB109" s="36"/>
      <c r="AC109" s="36"/>
      <c r="AD109" s="36"/>
      <c r="AE109" s="36"/>
    </row>
    <row r="110" spans="1:31" ht="24" customHeight="1" x14ac:dyDescent="0.3">
      <c r="A110" s="30"/>
      <c r="B110" s="110" t="s">
        <v>632</v>
      </c>
      <c r="C110" s="110"/>
      <c r="D110" s="110"/>
      <c r="E110" s="25">
        <v>30</v>
      </c>
      <c r="F110" s="31"/>
      <c r="G110" s="31"/>
      <c r="H110" s="31"/>
      <c r="I110" s="31"/>
      <c r="J110" s="31"/>
      <c r="K110" s="31"/>
      <c r="L110" s="31"/>
      <c r="M110" s="31"/>
      <c r="N110" s="31"/>
      <c r="O110" s="31"/>
      <c r="P110" s="33"/>
      <c r="Q110" s="20" t="s">
        <v>116</v>
      </c>
      <c r="R110" s="11">
        <f>R109^2</f>
        <v>116.63999999999994</v>
      </c>
      <c r="S110" s="10">
        <f t="shared" ref="S110:AA110" si="39">S109^2</f>
        <v>2528.0784000000003</v>
      </c>
      <c r="T110" s="10">
        <f t="shared" si="39"/>
        <v>1542.9184</v>
      </c>
      <c r="U110" s="10">
        <f t="shared" si="39"/>
        <v>1873.1584</v>
      </c>
      <c r="V110" s="10">
        <f t="shared" si="39"/>
        <v>1622.4784000000002</v>
      </c>
      <c r="W110" s="10">
        <f t="shared" si="39"/>
        <v>1175.1184000000001</v>
      </c>
      <c r="X110" s="11">
        <f t="shared" si="39"/>
        <v>7.8399999999999839</v>
      </c>
      <c r="Y110" s="10">
        <f t="shared" si="39"/>
        <v>857.31840000000011</v>
      </c>
      <c r="Z110" s="10">
        <f t="shared" si="39"/>
        <v>2235.3984</v>
      </c>
      <c r="AA110" s="10">
        <f t="shared" si="39"/>
        <v>1787.5984000000001</v>
      </c>
      <c r="AB110" s="36"/>
      <c r="AC110" s="36"/>
      <c r="AD110" s="36"/>
      <c r="AE110" s="36"/>
    </row>
    <row r="111" spans="1:31" x14ac:dyDescent="0.3">
      <c r="A111" s="33"/>
      <c r="B111" s="33"/>
      <c r="C111" s="33"/>
      <c r="D111" s="33"/>
      <c r="E111" s="33"/>
      <c r="F111" s="33"/>
      <c r="G111" s="33"/>
      <c r="H111" s="33"/>
      <c r="I111" s="33"/>
      <c r="J111" s="33"/>
      <c r="K111" s="33"/>
      <c r="L111" s="33"/>
      <c r="M111" s="33"/>
      <c r="N111" s="33"/>
      <c r="O111" s="33"/>
      <c r="P111" s="33"/>
      <c r="Q111" s="20" t="s">
        <v>117</v>
      </c>
      <c r="R111" s="10">
        <f>SUM(R110:AA110)/10</f>
        <v>1374.65472</v>
      </c>
      <c r="S111" s="36"/>
      <c r="T111" s="36"/>
      <c r="U111" s="36"/>
      <c r="V111" s="36"/>
      <c r="W111" s="36"/>
      <c r="X111" s="36"/>
      <c r="Y111" s="36"/>
      <c r="Z111" s="36"/>
      <c r="AA111" s="36"/>
      <c r="AB111" s="36"/>
      <c r="AC111" s="36"/>
      <c r="AD111" s="36"/>
      <c r="AE111" s="36"/>
    </row>
    <row r="112" spans="1:31" x14ac:dyDescent="0.3">
      <c r="A112" s="33"/>
      <c r="B112" s="33"/>
      <c r="C112" s="33"/>
      <c r="D112" s="33"/>
      <c r="E112" s="33"/>
      <c r="F112" s="33"/>
      <c r="G112" s="33"/>
      <c r="H112" s="33"/>
      <c r="I112" s="33"/>
      <c r="J112" s="33"/>
      <c r="K112" s="33"/>
      <c r="L112" s="33"/>
      <c r="M112" s="33"/>
      <c r="N112" s="33"/>
      <c r="O112" s="33"/>
      <c r="P112" s="33"/>
      <c r="Q112" s="20" t="s">
        <v>118</v>
      </c>
      <c r="R112" s="10">
        <f>SQRT(R111)</f>
        <v>37.076336388591578</v>
      </c>
      <c r="S112" s="36"/>
      <c r="T112" s="36"/>
      <c r="U112" s="36"/>
      <c r="V112" s="36"/>
      <c r="W112" s="36"/>
      <c r="X112" s="36"/>
      <c r="Y112" s="36"/>
      <c r="Z112" s="36"/>
      <c r="AA112" s="36"/>
      <c r="AB112" s="36"/>
      <c r="AC112" s="36"/>
      <c r="AD112" s="36"/>
      <c r="AE112" s="36"/>
    </row>
    <row r="113" spans="1:31" x14ac:dyDescent="0.3">
      <c r="A113" s="33"/>
      <c r="B113" s="33"/>
      <c r="C113" s="33"/>
      <c r="D113" s="33"/>
      <c r="E113" s="33"/>
      <c r="F113" s="33"/>
      <c r="G113" s="33"/>
      <c r="H113" s="33"/>
      <c r="I113" s="33"/>
      <c r="J113" s="33"/>
      <c r="K113" s="33"/>
      <c r="L113" s="33"/>
      <c r="M113" s="33"/>
      <c r="N113" s="33"/>
      <c r="O113" s="33"/>
      <c r="P113" s="33"/>
      <c r="Q113" s="41" t="s">
        <v>106</v>
      </c>
      <c r="R113" s="42">
        <f>100/(100-1)*(1-AD106/R111)</f>
        <v>0.99417047163169192</v>
      </c>
      <c r="S113" s="43" t="s">
        <v>119</v>
      </c>
      <c r="T113" s="36"/>
      <c r="U113" s="36"/>
      <c r="V113" s="36"/>
      <c r="W113" s="36"/>
      <c r="X113" s="36"/>
      <c r="Y113" s="36"/>
      <c r="Z113" s="36"/>
      <c r="AA113" s="36"/>
      <c r="AB113" s="36"/>
      <c r="AC113" s="36"/>
      <c r="AD113" s="36"/>
      <c r="AE113" s="36"/>
    </row>
  </sheetData>
  <mergeCells count="15">
    <mergeCell ref="B108:D108"/>
    <mergeCell ref="B109:D109"/>
    <mergeCell ref="B110:D110"/>
    <mergeCell ref="Q4:Q5"/>
    <mergeCell ref="B3:K3"/>
    <mergeCell ref="L3:L4"/>
    <mergeCell ref="M3:M4"/>
    <mergeCell ref="N3:N4"/>
    <mergeCell ref="O3:O4"/>
    <mergeCell ref="R4:AA4"/>
    <mergeCell ref="AB4:AB5"/>
    <mergeCell ref="AC4:AC5"/>
    <mergeCell ref="AD4:AD5"/>
    <mergeCell ref="A1:O1"/>
    <mergeCell ref="A3:A4"/>
  </mergeCells>
  <conditionalFormatting sqref="M5:M104 M3:O3 Q3">
    <cfRule type="containsText" dxfId="20" priority="10" operator="containsText" text="sedang">
      <formula>NOT(ISERROR(SEARCH("sedang",M3)))</formula>
    </cfRule>
  </conditionalFormatting>
  <conditionalFormatting sqref="M5:M104">
    <cfRule type="containsText" dxfId="19" priority="9" operator="containsText" text="sukar">
      <formula>NOT(ISERROR(SEARCH("sukar",M5)))</formula>
    </cfRule>
  </conditionalFormatting>
  <conditionalFormatting sqref="M106:M107">
    <cfRule type="containsText" dxfId="18" priority="4" operator="containsText" text="sukar">
      <formula>NOT(ISERROR(SEARCH("sukar",M106)))</formula>
    </cfRule>
    <cfRule type="containsText" dxfId="17" priority="5" operator="containsText" text="sedang">
      <formula>NOT(ISERROR(SEARCH("sedang",M106)))</formula>
    </cfRule>
    <cfRule type="containsText" dxfId="16" priority="6" operator="containsText" text="mudah">
      <formula>NOT(ISERROR(SEARCH("mudah",M106)))</formula>
    </cfRule>
  </conditionalFormatting>
  <conditionalFormatting sqref="M3:O3 Q3 M5:M104">
    <cfRule type="containsText" dxfId="15" priority="11" operator="containsText" text="mudah">
      <formula>NOT(ISERROR(SEARCH("mudah",M3)))</formula>
    </cfRule>
  </conditionalFormatting>
  <conditionalFormatting sqref="O5:O106">
    <cfRule type="containsText" dxfId="14" priority="8" operator="containsText" text="soal dibuang">
      <formula>NOT(ISERROR(SEARCH("soal dibuang",O5)))</formula>
    </cfRule>
  </conditionalFormatting>
  <pageMargins left="0.26" right="0.23622047244094491" top="0.47244094488188981" bottom="0.27" header="0.31496062992125984" footer="0.11811023622047245"/>
  <pageSetup paperSize="9" scale="70"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23177-491B-4020-AFC4-4478EFF83715}">
  <dimension ref="A1:AC112"/>
  <sheetViews>
    <sheetView view="pageBreakPreview" topLeftCell="A15" zoomScale="48" zoomScaleNormal="48" zoomScaleSheetLayoutView="48" workbookViewId="0">
      <selection activeCell="L21" sqref="L21"/>
    </sheetView>
  </sheetViews>
  <sheetFormatPr defaultRowHeight="14.5" x14ac:dyDescent="0.35"/>
  <cols>
    <col min="1" max="1" width="34.81640625" customWidth="1"/>
    <col min="2" max="11" width="5.7265625" style="1" customWidth="1"/>
    <col min="12" max="12" width="5.36328125" style="1" bestFit="1" customWidth="1"/>
    <col min="13" max="13" width="5.453125" bestFit="1" customWidth="1"/>
    <col min="14" max="14" width="11.26953125" customWidth="1"/>
    <col min="15" max="15" width="5.81640625" customWidth="1"/>
    <col min="16" max="16" width="8.36328125" customWidth="1"/>
    <col min="17" max="17" width="8" customWidth="1"/>
    <col min="18" max="18" width="10.36328125" customWidth="1"/>
    <col min="19" max="19" width="8.81640625" customWidth="1"/>
    <col min="20" max="20" width="7.7265625" customWidth="1"/>
    <col min="21" max="21" width="7.453125" customWidth="1"/>
    <col min="22" max="22" width="6.08984375" bestFit="1" customWidth="1"/>
    <col min="23" max="23" width="6.1796875" bestFit="1" customWidth="1"/>
    <col min="24" max="24" width="7.81640625" customWidth="1"/>
    <col min="25" max="25" width="9.08984375" customWidth="1"/>
    <col min="26" max="26" width="5.54296875" bestFit="1" customWidth="1"/>
    <col min="27" max="27" width="10.6328125" customWidth="1"/>
    <col min="28" max="28" width="12.26953125" style="1" customWidth="1"/>
    <col min="29" max="29" width="35.1796875" customWidth="1"/>
  </cols>
  <sheetData>
    <row r="1" spans="1:29" ht="15.5" x14ac:dyDescent="0.35">
      <c r="A1" s="122" t="s">
        <v>795</v>
      </c>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row>
    <row r="2" spans="1:29" x14ac:dyDescent="0.35">
      <c r="A2" s="76"/>
      <c r="B2" s="77"/>
      <c r="C2" s="77"/>
      <c r="D2" s="77"/>
      <c r="E2" s="77"/>
      <c r="F2" s="77"/>
      <c r="G2" s="77"/>
      <c r="H2" s="77"/>
      <c r="I2" s="77"/>
      <c r="J2" s="77"/>
      <c r="K2" s="77"/>
      <c r="L2" s="77"/>
      <c r="M2" s="76"/>
      <c r="N2" s="76"/>
      <c r="O2" s="76"/>
      <c r="P2" s="76"/>
      <c r="Q2" s="76"/>
      <c r="R2" s="76"/>
      <c r="S2" s="76"/>
      <c r="T2" s="76"/>
      <c r="U2" s="76"/>
      <c r="V2" s="76"/>
      <c r="W2" s="76"/>
      <c r="X2" s="76"/>
      <c r="Y2" s="76"/>
      <c r="Z2" s="76"/>
      <c r="AA2" s="76"/>
      <c r="AB2" s="77"/>
      <c r="AC2" s="76"/>
    </row>
    <row r="3" spans="1:29" ht="14.5" customHeight="1" x14ac:dyDescent="0.35">
      <c r="A3" s="79" t="s">
        <v>759</v>
      </c>
      <c r="B3" s="87">
        <v>0.5</v>
      </c>
      <c r="C3" s="86"/>
      <c r="D3" s="86"/>
      <c r="E3" s="86"/>
      <c r="F3" s="86"/>
      <c r="G3" s="86"/>
      <c r="H3" s="86"/>
      <c r="I3" s="86"/>
      <c r="J3" s="93" t="s">
        <v>763</v>
      </c>
      <c r="K3" s="93"/>
      <c r="L3" s="93"/>
      <c r="M3" s="93"/>
      <c r="N3" s="92"/>
      <c r="O3" s="91"/>
      <c r="P3" s="127" t="s">
        <v>767</v>
      </c>
      <c r="Q3" s="127"/>
      <c r="R3" s="127"/>
      <c r="S3" s="127"/>
      <c r="T3" s="91"/>
      <c r="U3" s="76"/>
      <c r="V3" s="76"/>
      <c r="W3" s="76"/>
      <c r="X3" s="76"/>
      <c r="Y3" s="76"/>
      <c r="Z3" s="76"/>
      <c r="AA3" s="76"/>
      <c r="AB3" s="77"/>
      <c r="AC3" s="76"/>
    </row>
    <row r="4" spans="1:29" ht="14.5" customHeight="1" x14ac:dyDescent="0.35">
      <c r="A4" s="79" t="s">
        <v>760</v>
      </c>
      <c r="B4" s="87">
        <v>1</v>
      </c>
      <c r="C4" s="86"/>
      <c r="D4" s="86"/>
      <c r="E4" s="86"/>
      <c r="F4" s="86"/>
      <c r="G4" s="86"/>
      <c r="H4" s="86"/>
      <c r="I4" s="86"/>
      <c r="J4" s="85"/>
      <c r="K4" s="120" t="s">
        <v>764</v>
      </c>
      <c r="L4" s="120"/>
      <c r="M4" s="120"/>
      <c r="N4" s="90">
        <f>COUNTIF($AA$11:$AA$110,"DIF Besar - review")</f>
        <v>0</v>
      </c>
      <c r="O4" s="81"/>
      <c r="P4" s="119" t="s">
        <v>768</v>
      </c>
      <c r="Q4" s="119"/>
      <c r="R4" s="119"/>
      <c r="S4" s="89"/>
      <c r="T4" s="88">
        <f>COUNTIF($AB$11:$AB$110,"Berpotensi Bias - Tinjau Konten")</f>
        <v>0</v>
      </c>
      <c r="U4" s="76"/>
      <c r="V4" s="76"/>
      <c r="W4" s="76"/>
      <c r="X4" s="76"/>
      <c r="Y4" s="76"/>
      <c r="Z4" s="76"/>
      <c r="AA4" s="76"/>
      <c r="AB4" s="77"/>
      <c r="AC4" s="76"/>
    </row>
    <row r="5" spans="1:29" ht="14.5" customHeight="1" x14ac:dyDescent="0.35">
      <c r="A5" s="79" t="s">
        <v>761</v>
      </c>
      <c r="B5" s="87">
        <v>2</v>
      </c>
      <c r="C5" s="86"/>
      <c r="D5" s="86"/>
      <c r="E5" s="86"/>
      <c r="F5" s="86"/>
      <c r="G5" s="86"/>
      <c r="H5" s="86"/>
      <c r="I5" s="86"/>
      <c r="J5" s="85"/>
      <c r="K5" s="120" t="s">
        <v>765</v>
      </c>
      <c r="L5" s="120"/>
      <c r="M5" s="120"/>
      <c r="N5" s="84">
        <f>COUNTIF($AA$11:$AA$110,"DIF Moderat - cek")</f>
        <v>0</v>
      </c>
      <c r="O5" s="81"/>
      <c r="P5" s="119" t="s">
        <v>769</v>
      </c>
      <c r="Q5" s="119"/>
      <c r="R5" s="119"/>
      <c r="S5" s="119"/>
      <c r="T5" s="84">
        <f>COUNTIF($AB$11:$AB$110,"Indikasi Ringan - Pantau")</f>
        <v>0</v>
      </c>
      <c r="U5" s="76"/>
      <c r="V5" s="76"/>
      <c r="W5" s="76"/>
      <c r="X5" s="76"/>
      <c r="Y5" s="76"/>
      <c r="Z5" s="76"/>
      <c r="AA5" s="76"/>
      <c r="AB5" s="77"/>
      <c r="AC5" s="76"/>
    </row>
    <row r="6" spans="1:29" ht="14.5" customHeight="1" x14ac:dyDescent="0.35">
      <c r="A6" s="79" t="s">
        <v>762</v>
      </c>
      <c r="B6" s="83">
        <f>_xlfn.AGGREGATE(14,6,ABS(X11:X110),1)</f>
        <v>0</v>
      </c>
      <c r="C6" s="78"/>
      <c r="D6" s="78"/>
      <c r="E6" s="78"/>
      <c r="F6" s="78"/>
      <c r="G6" s="78"/>
      <c r="H6" s="78"/>
      <c r="I6" s="78"/>
      <c r="J6" s="82"/>
      <c r="K6" s="120" t="s">
        <v>766</v>
      </c>
      <c r="L6" s="120"/>
      <c r="M6" s="120"/>
      <c r="N6" s="80">
        <f>COUNTIF($AA$11:$AA$110,"Negligible")</f>
        <v>100</v>
      </c>
      <c r="O6" s="81"/>
      <c r="P6" s="119" t="s">
        <v>770</v>
      </c>
      <c r="Q6" s="119"/>
      <c r="R6" s="119"/>
      <c r="S6" s="119"/>
      <c r="T6" s="80">
        <f>COUNTIF($AB$11:$AB$110,"Tidak Ada Indikasi Bias")</f>
        <v>100</v>
      </c>
      <c r="U6" s="76"/>
      <c r="V6" s="76"/>
      <c r="W6" s="76"/>
      <c r="X6" s="76"/>
      <c r="Y6" s="76"/>
      <c r="Z6" s="76"/>
      <c r="AA6" s="76"/>
      <c r="AB6" s="77"/>
      <c r="AC6" s="76"/>
    </row>
    <row r="7" spans="1:29" ht="36.5" customHeight="1" x14ac:dyDescent="0.35">
      <c r="A7" s="79"/>
      <c r="B7" s="78"/>
      <c r="C7" s="78"/>
      <c r="D7" s="78"/>
      <c r="E7" s="78"/>
      <c r="F7" s="78"/>
      <c r="G7" s="78"/>
      <c r="H7" s="78"/>
      <c r="I7" s="78"/>
      <c r="J7" s="121" t="s">
        <v>803</v>
      </c>
      <c r="K7" s="121"/>
      <c r="L7" s="121"/>
      <c r="M7" s="121"/>
      <c r="N7" s="121"/>
      <c r="O7" s="121"/>
      <c r="P7" s="121"/>
      <c r="Q7" s="121"/>
      <c r="R7" s="121"/>
      <c r="S7" s="121"/>
      <c r="T7" s="121"/>
      <c r="U7" s="121"/>
      <c r="V7" s="121"/>
      <c r="W7" s="121"/>
      <c r="X7" s="121"/>
      <c r="Y7" s="121"/>
      <c r="Z7" s="121"/>
      <c r="AA7" s="121"/>
      <c r="AB7" s="77"/>
      <c r="AC7" s="76"/>
    </row>
    <row r="8" spans="1:29" s="73" customFormat="1" ht="27.5" customHeight="1" x14ac:dyDescent="0.35">
      <c r="A8" s="75" t="s">
        <v>756</v>
      </c>
      <c r="B8" s="74" t="str">
        <f>TKO!B2</f>
        <v>Laki-Laki</v>
      </c>
      <c r="C8" s="74" t="str">
        <f>TKO!C2</f>
        <v>Laki-Laki</v>
      </c>
      <c r="D8" s="74" t="str">
        <f>TKO!D2</f>
        <v>Perempuan</v>
      </c>
      <c r="E8" s="74" t="str">
        <f>TKO!E2</f>
        <v>Perempuan</v>
      </c>
      <c r="F8" s="74" t="str">
        <f>TKO!F2</f>
        <v>Perempuan</v>
      </c>
      <c r="G8" s="74" t="str">
        <f>TKO!G2</f>
        <v>Laki-Laki</v>
      </c>
      <c r="H8" s="74" t="str">
        <f>TKO!H2</f>
        <v>Laki-Laki</v>
      </c>
      <c r="I8" s="74" t="str">
        <f>TKO!I2</f>
        <v>Laki-Laki</v>
      </c>
      <c r="J8" s="74" t="str">
        <f>TKO!J2</f>
        <v>Perempuan</v>
      </c>
      <c r="K8" s="74" t="str">
        <f>TKO!K2</f>
        <v>Perempuan</v>
      </c>
      <c r="L8" s="74"/>
      <c r="M8" s="74"/>
      <c r="N8" s="74"/>
      <c r="O8" s="74"/>
      <c r="P8" s="74"/>
      <c r="Q8" s="74"/>
      <c r="R8" s="74"/>
      <c r="S8" s="74"/>
      <c r="T8" s="74"/>
      <c r="U8" s="74"/>
      <c r="V8" s="74"/>
      <c r="W8" s="74"/>
      <c r="X8" s="74"/>
      <c r="Y8" s="74"/>
      <c r="Z8" s="74"/>
      <c r="AA8" s="74"/>
      <c r="AB8" s="74"/>
    </row>
    <row r="9" spans="1:29" s="72" customFormat="1" ht="23" customHeight="1" x14ac:dyDescent="0.35">
      <c r="A9" s="117" t="s">
        <v>0</v>
      </c>
      <c r="B9" s="124" t="s">
        <v>633</v>
      </c>
      <c r="C9" s="125"/>
      <c r="D9" s="125"/>
      <c r="E9" s="125"/>
      <c r="F9" s="125"/>
      <c r="G9" s="125"/>
      <c r="H9" s="125"/>
      <c r="I9" s="125"/>
      <c r="J9" s="125"/>
      <c r="K9" s="126"/>
      <c r="L9" s="117" t="s">
        <v>771</v>
      </c>
      <c r="M9" s="117" t="s">
        <v>772</v>
      </c>
      <c r="N9" s="117" t="s">
        <v>773</v>
      </c>
      <c r="O9" s="117" t="s">
        <v>774</v>
      </c>
      <c r="P9" s="117" t="s">
        <v>775</v>
      </c>
      <c r="Q9" s="117" t="s">
        <v>776</v>
      </c>
      <c r="R9" s="117" t="s">
        <v>777</v>
      </c>
      <c r="S9" s="117" t="s">
        <v>778</v>
      </c>
      <c r="T9" s="117" t="s">
        <v>779</v>
      </c>
      <c r="U9" s="117" t="s">
        <v>780</v>
      </c>
      <c r="V9" s="117" t="s">
        <v>781</v>
      </c>
      <c r="W9" s="117" t="s">
        <v>782</v>
      </c>
      <c r="X9" s="117" t="s">
        <v>783</v>
      </c>
      <c r="Y9" s="117" t="s">
        <v>784</v>
      </c>
      <c r="Z9" s="117" t="s">
        <v>785</v>
      </c>
      <c r="AA9" s="117" t="s">
        <v>786</v>
      </c>
      <c r="AB9" s="117" t="s">
        <v>787</v>
      </c>
    </row>
    <row r="10" spans="1:29" s="72" customFormat="1" ht="23" customHeight="1" x14ac:dyDescent="0.35">
      <c r="A10" s="118"/>
      <c r="B10" s="69">
        <v>1</v>
      </c>
      <c r="C10" s="69">
        <v>2</v>
      </c>
      <c r="D10" s="69">
        <v>3</v>
      </c>
      <c r="E10" s="69">
        <v>4</v>
      </c>
      <c r="F10" s="69">
        <v>5</v>
      </c>
      <c r="G10" s="69">
        <v>6</v>
      </c>
      <c r="H10" s="69">
        <v>7</v>
      </c>
      <c r="I10" s="69">
        <v>8</v>
      </c>
      <c r="J10" s="69">
        <v>9</v>
      </c>
      <c r="K10" s="69">
        <v>10</v>
      </c>
      <c r="L10" s="118"/>
      <c r="M10" s="118"/>
      <c r="N10" s="118"/>
      <c r="O10" s="118"/>
      <c r="P10" s="118"/>
      <c r="Q10" s="118"/>
      <c r="R10" s="118"/>
      <c r="S10" s="118"/>
      <c r="T10" s="118"/>
      <c r="U10" s="118"/>
      <c r="V10" s="118"/>
      <c r="W10" s="118"/>
      <c r="X10" s="118"/>
      <c r="Y10" s="118"/>
      <c r="Z10" s="118"/>
      <c r="AA10" s="118"/>
      <c r="AB10" s="118"/>
    </row>
    <row r="11" spans="1:29" ht="62.5" x14ac:dyDescent="0.35">
      <c r="A11" s="71" t="str">
        <f>TKO!A5</f>
        <v>1. Mekanisme penyusunan VMTS UUPS melibatkan para pemangku kepentingan baik internal dan eksternal. Dibawah ini yang tidak termasuk pemangku kepentingan internal adalah</v>
      </c>
      <c r="B11" s="69">
        <f>TKO!B5</f>
        <v>1</v>
      </c>
      <c r="C11" s="69">
        <f>TKO!C5</f>
        <v>1</v>
      </c>
      <c r="D11" s="69">
        <f>TKO!D5</f>
        <v>1</v>
      </c>
      <c r="E11" s="69">
        <f>TKO!E5</f>
        <v>0</v>
      </c>
      <c r="F11" s="69">
        <f>TKO!F5</f>
        <v>0</v>
      </c>
      <c r="G11" s="69">
        <f>TKO!G5</f>
        <v>0</v>
      </c>
      <c r="H11" s="69">
        <f>TKO!H5</f>
        <v>0</v>
      </c>
      <c r="I11" s="69">
        <f>TKO!I5</f>
        <v>0</v>
      </c>
      <c r="J11" s="69">
        <f>TKO!J5</f>
        <v>0</v>
      </c>
      <c r="K11" s="69">
        <f>TKO!K5</f>
        <v>1</v>
      </c>
      <c r="L11" s="69">
        <f t="shared" ref="L11:L42" si="0">COUNTIF($B$8:$K$8,"Laki-Laki")</f>
        <v>5</v>
      </c>
      <c r="M11" s="69">
        <f t="shared" ref="M11:M42" si="1">COUNTIF($B$8:$K$8,"Perempuan")</f>
        <v>5</v>
      </c>
      <c r="N11" s="69">
        <f t="shared" ref="N11:N42" si="2">SUMIF($B$8:$K$8,"Laki-Laki",B11:K11)</f>
        <v>2</v>
      </c>
      <c r="O11" s="69">
        <f t="shared" ref="O11:O42" si="3">SUMIF($B$8:$K$8,"Perempuan",B11:K11)</f>
        <v>2</v>
      </c>
      <c r="P11" s="69">
        <f t="shared" ref="P11:P42" si="4">IF(N11=0,0.3,IF(N11=L11,L11-0.3,N11))</f>
        <v>2</v>
      </c>
      <c r="Q11" s="69">
        <f t="shared" ref="Q11:Q42" si="5">IF(O11=0,0.3,IF(O11=M11,M11-0.3,O11))</f>
        <v>2</v>
      </c>
      <c r="R11" s="70">
        <f t="shared" ref="R11:R42" si="6">LN((L11-P11)/P11)</f>
        <v>0.40546510810816438</v>
      </c>
      <c r="S11" s="70">
        <f t="shared" ref="S11:S42" si="7">LN((M11-Q11)/Q11)</f>
        <v>0.40546510810816438</v>
      </c>
      <c r="T11" s="70">
        <f t="shared" ref="T11:T42" si="8">R11-AVERAGE($R$11:$R$110)</f>
        <v>0.28683790673401638</v>
      </c>
      <c r="U11" s="70">
        <f t="shared" ref="U11:U42" si="9">S11-AVERAGE($S$11:$S$110)</f>
        <v>0.28683790673401638</v>
      </c>
      <c r="V11" s="70">
        <f t="shared" ref="V11:V42" si="10">SQRT(1/P11+1/(L11-P11))</f>
        <v>0.91287092917527679</v>
      </c>
      <c r="W11" s="70">
        <f t="shared" ref="W11:W42" si="11">SQRT(1/Q11+1/(M11-Q11))</f>
        <v>0.91287092917527679</v>
      </c>
      <c r="X11" s="70">
        <f t="shared" ref="X11:X42" si="12">T11-U11</f>
        <v>0</v>
      </c>
      <c r="Y11" s="70">
        <f t="shared" ref="Y11:Y42" si="13">SQRT(V11^2+W11^2)</f>
        <v>1.2909944487358056</v>
      </c>
      <c r="Z11" s="70">
        <f t="shared" ref="Z11:Z42" si="14">X11/Y11</f>
        <v>0</v>
      </c>
      <c r="AA11" s="69" t="str">
        <f t="shared" ref="AA11:AA42" si="15">IF(AND(ABS(X11)&gt;=$B$4,ABS(Z11)&gt;=$B$5),"DIF Besar - review",IF(AND(ABS(X11)&gt;=$B$3,ABS(Z11)&gt;=$B$5),"DIF Moderat - cek","Negligible"))</f>
        <v>Negligible</v>
      </c>
      <c r="AB11" s="69" t="str">
        <f t="shared" ref="AB11:AB42" si="16">IF(ABS(X11)&gt;=$B$4,"Berpotensi Bias - Tinjau Konten",IF(ABS(X11)&gt;=$B$3,"Indikasi Ringan - Pantau","Tidak Ada Indikasi Bias"))</f>
        <v>Tidak Ada Indikasi Bias</v>
      </c>
    </row>
    <row r="12" spans="1:29" ht="37.5" x14ac:dyDescent="0.35">
      <c r="A12" s="71" t="str">
        <f>TKO!A6</f>
        <v>2. Hal-hal yang harus diperhatikan dalam menyusunan strategi yang efektif untuk mencapai tujuan adalah</v>
      </c>
      <c r="B12" s="69">
        <f>TKO!B6</f>
        <v>1</v>
      </c>
      <c r="C12" s="69">
        <f>TKO!C6</f>
        <v>1</v>
      </c>
      <c r="D12" s="69">
        <f>TKO!D6</f>
        <v>1</v>
      </c>
      <c r="E12" s="69">
        <f>TKO!E6</f>
        <v>1</v>
      </c>
      <c r="F12" s="69">
        <f>TKO!F6</f>
        <v>0</v>
      </c>
      <c r="G12" s="69">
        <f>TKO!G6</f>
        <v>1</v>
      </c>
      <c r="H12" s="69">
        <f>TKO!H6</f>
        <v>0</v>
      </c>
      <c r="I12" s="69">
        <f>TKO!I6</f>
        <v>0</v>
      </c>
      <c r="J12" s="69">
        <f>TKO!J6</f>
        <v>0</v>
      </c>
      <c r="K12" s="69">
        <f>TKO!K6</f>
        <v>1</v>
      </c>
      <c r="L12" s="69">
        <f t="shared" si="0"/>
        <v>5</v>
      </c>
      <c r="M12" s="69">
        <f t="shared" si="1"/>
        <v>5</v>
      </c>
      <c r="N12" s="69">
        <f t="shared" si="2"/>
        <v>3</v>
      </c>
      <c r="O12" s="69">
        <f t="shared" si="3"/>
        <v>3</v>
      </c>
      <c r="P12" s="69">
        <f t="shared" si="4"/>
        <v>3</v>
      </c>
      <c r="Q12" s="69">
        <f t="shared" si="5"/>
        <v>3</v>
      </c>
      <c r="R12" s="70">
        <f t="shared" si="6"/>
        <v>-0.40546510810816444</v>
      </c>
      <c r="S12" s="70">
        <f t="shared" si="7"/>
        <v>-0.40546510810816444</v>
      </c>
      <c r="T12" s="70">
        <f t="shared" si="8"/>
        <v>-0.52409230948231245</v>
      </c>
      <c r="U12" s="70">
        <f t="shared" si="9"/>
        <v>-0.52409230948231245</v>
      </c>
      <c r="V12" s="70">
        <f t="shared" si="10"/>
        <v>0.91287092917527679</v>
      </c>
      <c r="W12" s="70">
        <f t="shared" si="11"/>
        <v>0.91287092917527679</v>
      </c>
      <c r="X12" s="70">
        <f t="shared" si="12"/>
        <v>0</v>
      </c>
      <c r="Y12" s="70">
        <f t="shared" si="13"/>
        <v>1.2909944487358056</v>
      </c>
      <c r="Z12" s="70">
        <f t="shared" si="14"/>
        <v>0</v>
      </c>
      <c r="AA12" s="69" t="str">
        <f t="shared" si="15"/>
        <v>Negligible</v>
      </c>
      <c r="AB12" s="69" t="str">
        <f t="shared" si="16"/>
        <v>Tidak Ada Indikasi Bias</v>
      </c>
    </row>
    <row r="13" spans="1:29" ht="75" x14ac:dyDescent="0.35">
      <c r="A13" s="71" t="str">
        <f>TKO!A7</f>
        <v>3. Mekanisme penyusunan rencana strategis Perguruan Tinggi untuk mencapai tujuan organisasi mencakup beberapa aspek. dibawah ini yang merupakan aspek penyusunan renstra adalah</v>
      </c>
      <c r="B13" s="69">
        <f>TKO!B7</f>
        <v>1</v>
      </c>
      <c r="C13" s="69">
        <f>TKO!C7</f>
        <v>1</v>
      </c>
      <c r="D13" s="69">
        <f>TKO!D7</f>
        <v>1</v>
      </c>
      <c r="E13" s="69">
        <f>TKO!E7</f>
        <v>1</v>
      </c>
      <c r="F13" s="69">
        <f>TKO!F7</f>
        <v>1</v>
      </c>
      <c r="G13" s="69">
        <f>TKO!G7</f>
        <v>1</v>
      </c>
      <c r="H13" s="69">
        <f>TKO!H7</f>
        <v>0</v>
      </c>
      <c r="I13" s="69">
        <f>TKO!I7</f>
        <v>1</v>
      </c>
      <c r="J13" s="69">
        <f>TKO!J7</f>
        <v>0</v>
      </c>
      <c r="K13" s="69">
        <f>TKO!K7</f>
        <v>1</v>
      </c>
      <c r="L13" s="69">
        <f t="shared" si="0"/>
        <v>5</v>
      </c>
      <c r="M13" s="69">
        <f t="shared" si="1"/>
        <v>5</v>
      </c>
      <c r="N13" s="69">
        <f t="shared" si="2"/>
        <v>4</v>
      </c>
      <c r="O13" s="69">
        <f t="shared" si="3"/>
        <v>4</v>
      </c>
      <c r="P13" s="69">
        <f t="shared" si="4"/>
        <v>4</v>
      </c>
      <c r="Q13" s="69">
        <f t="shared" si="5"/>
        <v>4</v>
      </c>
      <c r="R13" s="70">
        <f t="shared" si="6"/>
        <v>-1.3862943611198906</v>
      </c>
      <c r="S13" s="70">
        <f t="shared" si="7"/>
        <v>-1.3862943611198906</v>
      </c>
      <c r="T13" s="70">
        <f t="shared" si="8"/>
        <v>-1.5049215624940386</v>
      </c>
      <c r="U13" s="70">
        <f t="shared" si="9"/>
        <v>-1.5049215624940386</v>
      </c>
      <c r="V13" s="70">
        <f t="shared" si="10"/>
        <v>1.1180339887498949</v>
      </c>
      <c r="W13" s="70">
        <f t="shared" si="11"/>
        <v>1.1180339887498949</v>
      </c>
      <c r="X13" s="70">
        <f t="shared" si="12"/>
        <v>0</v>
      </c>
      <c r="Y13" s="70">
        <f t="shared" si="13"/>
        <v>1.5811388300841898</v>
      </c>
      <c r="Z13" s="70">
        <f t="shared" si="14"/>
        <v>0</v>
      </c>
      <c r="AA13" s="69" t="str">
        <f t="shared" si="15"/>
        <v>Negligible</v>
      </c>
      <c r="AB13" s="69" t="str">
        <f t="shared" si="16"/>
        <v>Tidak Ada Indikasi Bias</v>
      </c>
    </row>
    <row r="14" spans="1:29" ht="62.5" x14ac:dyDescent="0.35">
      <c r="A14" s="71" t="str">
        <f>TKO!A8</f>
        <v>4. Tujuan dari budaya mutu untuk perbaikan mutu secara terus menerus adalah membentuk suatu lingkungan organisasi yang memiliki aspek dibawah ini kecuali</v>
      </c>
      <c r="B14" s="69">
        <f>TKO!B8</f>
        <v>0</v>
      </c>
      <c r="C14" s="69">
        <f>TKO!C8</f>
        <v>0</v>
      </c>
      <c r="D14" s="69">
        <f>TKO!D8</f>
        <v>0</v>
      </c>
      <c r="E14" s="69">
        <f>TKO!E8</f>
        <v>0</v>
      </c>
      <c r="F14" s="69">
        <f>TKO!F8</f>
        <v>0</v>
      </c>
      <c r="G14" s="69">
        <f>TKO!G8</f>
        <v>0</v>
      </c>
      <c r="H14" s="69">
        <f>TKO!H8</f>
        <v>1</v>
      </c>
      <c r="I14" s="69">
        <f>TKO!I8</f>
        <v>0</v>
      </c>
      <c r="J14" s="69">
        <f>TKO!J8</f>
        <v>1</v>
      </c>
      <c r="K14" s="69">
        <f>TKO!K8</f>
        <v>0</v>
      </c>
      <c r="L14" s="69">
        <f t="shared" si="0"/>
        <v>5</v>
      </c>
      <c r="M14" s="69">
        <f t="shared" si="1"/>
        <v>5</v>
      </c>
      <c r="N14" s="69">
        <f t="shared" si="2"/>
        <v>1</v>
      </c>
      <c r="O14" s="69">
        <f t="shared" si="3"/>
        <v>1</v>
      </c>
      <c r="P14" s="69">
        <f t="shared" si="4"/>
        <v>1</v>
      </c>
      <c r="Q14" s="69">
        <f t="shared" si="5"/>
        <v>1</v>
      </c>
      <c r="R14" s="70">
        <f t="shared" si="6"/>
        <v>1.3862943611198906</v>
      </c>
      <c r="S14" s="70">
        <f t="shared" si="7"/>
        <v>1.3862943611198906</v>
      </c>
      <c r="T14" s="70">
        <f t="shared" si="8"/>
        <v>1.2676671597457425</v>
      </c>
      <c r="U14" s="70">
        <f t="shared" si="9"/>
        <v>1.2676671597457425</v>
      </c>
      <c r="V14" s="70">
        <f t="shared" si="10"/>
        <v>1.1180339887498949</v>
      </c>
      <c r="W14" s="70">
        <f t="shared" si="11"/>
        <v>1.1180339887498949</v>
      </c>
      <c r="X14" s="70">
        <f t="shared" si="12"/>
        <v>0</v>
      </c>
      <c r="Y14" s="70">
        <f t="shared" si="13"/>
        <v>1.5811388300841898</v>
      </c>
      <c r="Z14" s="70">
        <f t="shared" si="14"/>
        <v>0</v>
      </c>
      <c r="AA14" s="69" t="str">
        <f t="shared" si="15"/>
        <v>Negligible</v>
      </c>
      <c r="AB14" s="69" t="str">
        <f t="shared" si="16"/>
        <v>Tidak Ada Indikasi Bias</v>
      </c>
    </row>
    <row r="15" spans="1:29" ht="25" x14ac:dyDescent="0.35">
      <c r="A15" s="71" t="str">
        <f>TKO!A9</f>
        <v>5. Strategi untuk membangun budaya mutu organisasi Pendidikan tinggi adalah</v>
      </c>
      <c r="B15" s="69">
        <f>TKO!B9</f>
        <v>0</v>
      </c>
      <c r="C15" s="69">
        <f>TKO!C9</f>
        <v>1</v>
      </c>
      <c r="D15" s="69">
        <f>TKO!D9</f>
        <v>1</v>
      </c>
      <c r="E15" s="69">
        <f>TKO!E9</f>
        <v>1</v>
      </c>
      <c r="F15" s="69">
        <f>TKO!F9</f>
        <v>0</v>
      </c>
      <c r="G15" s="69">
        <f>TKO!G9</f>
        <v>0</v>
      </c>
      <c r="H15" s="69">
        <f>TKO!H9</f>
        <v>0</v>
      </c>
      <c r="I15" s="69">
        <f>TKO!I9</f>
        <v>1</v>
      </c>
      <c r="J15" s="69">
        <f>TKO!J9</f>
        <v>0</v>
      </c>
      <c r="K15" s="69">
        <f>TKO!K9</f>
        <v>0</v>
      </c>
      <c r="L15" s="69">
        <f t="shared" si="0"/>
        <v>5</v>
      </c>
      <c r="M15" s="69">
        <f t="shared" si="1"/>
        <v>5</v>
      </c>
      <c r="N15" s="69">
        <f t="shared" si="2"/>
        <v>2</v>
      </c>
      <c r="O15" s="69">
        <f t="shared" si="3"/>
        <v>2</v>
      </c>
      <c r="P15" s="69">
        <f t="shared" si="4"/>
        <v>2</v>
      </c>
      <c r="Q15" s="69">
        <f t="shared" si="5"/>
        <v>2</v>
      </c>
      <c r="R15" s="70">
        <f t="shared" si="6"/>
        <v>0.40546510810816438</v>
      </c>
      <c r="S15" s="70">
        <f t="shared" si="7"/>
        <v>0.40546510810816438</v>
      </c>
      <c r="T15" s="70">
        <f t="shared" si="8"/>
        <v>0.28683790673401638</v>
      </c>
      <c r="U15" s="70">
        <f t="shared" si="9"/>
        <v>0.28683790673401638</v>
      </c>
      <c r="V15" s="70">
        <f t="shared" si="10"/>
        <v>0.91287092917527679</v>
      </c>
      <c r="W15" s="70">
        <f t="shared" si="11"/>
        <v>0.91287092917527679</v>
      </c>
      <c r="X15" s="70">
        <f t="shared" si="12"/>
        <v>0</v>
      </c>
      <c r="Y15" s="70">
        <f t="shared" si="13"/>
        <v>1.2909944487358056</v>
      </c>
      <c r="Z15" s="70">
        <f t="shared" si="14"/>
        <v>0</v>
      </c>
      <c r="AA15" s="69" t="str">
        <f t="shared" si="15"/>
        <v>Negligible</v>
      </c>
      <c r="AB15" s="69" t="str">
        <f t="shared" si="16"/>
        <v>Tidak Ada Indikasi Bias</v>
      </c>
    </row>
    <row r="16" spans="1:29" ht="37.5" customHeight="1" x14ac:dyDescent="0.35">
      <c r="A16" s="71" t="str">
        <f>TKO!A10</f>
        <v>6. Mengapa komitmen diperlukan dalam mengembangkan budaya baru di perguruan tinggi</v>
      </c>
      <c r="B16" s="69">
        <f>TKO!B10</f>
        <v>1</v>
      </c>
      <c r="C16" s="69">
        <f>TKO!C10</f>
        <v>0</v>
      </c>
      <c r="D16" s="69">
        <f>TKO!D10</f>
        <v>0</v>
      </c>
      <c r="E16" s="69">
        <f>TKO!E10</f>
        <v>0</v>
      </c>
      <c r="F16" s="69">
        <f>TKO!F10</f>
        <v>0</v>
      </c>
      <c r="G16" s="69">
        <f>TKO!G10</f>
        <v>1</v>
      </c>
      <c r="H16" s="69">
        <f>TKO!H10</f>
        <v>0</v>
      </c>
      <c r="I16" s="69">
        <f>TKO!I10</f>
        <v>0</v>
      </c>
      <c r="J16" s="69">
        <f>TKO!J10</f>
        <v>1</v>
      </c>
      <c r="K16" s="69">
        <f>TKO!K10</f>
        <v>1</v>
      </c>
      <c r="L16" s="69">
        <f t="shared" si="0"/>
        <v>5</v>
      </c>
      <c r="M16" s="69">
        <f t="shared" si="1"/>
        <v>5</v>
      </c>
      <c r="N16" s="69">
        <f t="shared" si="2"/>
        <v>2</v>
      </c>
      <c r="O16" s="69">
        <f t="shared" si="3"/>
        <v>2</v>
      </c>
      <c r="P16" s="69">
        <f t="shared" si="4"/>
        <v>2</v>
      </c>
      <c r="Q16" s="69">
        <f t="shared" si="5"/>
        <v>2</v>
      </c>
      <c r="R16" s="70">
        <f t="shared" si="6"/>
        <v>0.40546510810816438</v>
      </c>
      <c r="S16" s="70">
        <f t="shared" si="7"/>
        <v>0.40546510810816438</v>
      </c>
      <c r="T16" s="70">
        <f t="shared" si="8"/>
        <v>0.28683790673401638</v>
      </c>
      <c r="U16" s="70">
        <f t="shared" si="9"/>
        <v>0.28683790673401638</v>
      </c>
      <c r="V16" s="70">
        <f t="shared" si="10"/>
        <v>0.91287092917527679</v>
      </c>
      <c r="W16" s="70">
        <f t="shared" si="11"/>
        <v>0.91287092917527679</v>
      </c>
      <c r="X16" s="70">
        <f t="shared" si="12"/>
        <v>0</v>
      </c>
      <c r="Y16" s="70">
        <f t="shared" si="13"/>
        <v>1.2909944487358056</v>
      </c>
      <c r="Z16" s="70">
        <f t="shared" si="14"/>
        <v>0</v>
      </c>
      <c r="AA16" s="69" t="str">
        <f t="shared" si="15"/>
        <v>Negligible</v>
      </c>
      <c r="AB16" s="69" t="str">
        <f t="shared" si="16"/>
        <v>Tidak Ada Indikasi Bias</v>
      </c>
    </row>
    <row r="17" spans="1:28" ht="37.5" customHeight="1" x14ac:dyDescent="0.35">
      <c r="A17" s="71" t="str">
        <f>TKO!A11</f>
        <v>7. Apa yang dapat dilakukan organisasi untuk mendukung kebutuhan stakeholder dalam posisi produk dan layanan pendidikan</v>
      </c>
      <c r="B17" s="69">
        <f>TKO!B11</f>
        <v>1</v>
      </c>
      <c r="C17" s="69">
        <f>TKO!C11</f>
        <v>0</v>
      </c>
      <c r="D17" s="69">
        <f>TKO!D11</f>
        <v>0</v>
      </c>
      <c r="E17" s="69">
        <f>TKO!E11</f>
        <v>1</v>
      </c>
      <c r="F17" s="69">
        <f>TKO!F11</f>
        <v>0</v>
      </c>
      <c r="G17" s="69">
        <f>TKO!G11</f>
        <v>0</v>
      </c>
      <c r="H17" s="69">
        <f>TKO!H11</f>
        <v>0</v>
      </c>
      <c r="I17" s="69">
        <f>TKO!I11</f>
        <v>0</v>
      </c>
      <c r="J17" s="69">
        <f>TKO!J11</f>
        <v>0</v>
      </c>
      <c r="K17" s="69">
        <f>TKO!K11</f>
        <v>0</v>
      </c>
      <c r="L17" s="69">
        <f t="shared" si="0"/>
        <v>5</v>
      </c>
      <c r="M17" s="69">
        <f t="shared" si="1"/>
        <v>5</v>
      </c>
      <c r="N17" s="69">
        <f t="shared" si="2"/>
        <v>1</v>
      </c>
      <c r="O17" s="69">
        <f t="shared" si="3"/>
        <v>1</v>
      </c>
      <c r="P17" s="69">
        <f t="shared" si="4"/>
        <v>1</v>
      </c>
      <c r="Q17" s="69">
        <f t="shared" si="5"/>
        <v>1</v>
      </c>
      <c r="R17" s="70">
        <f t="shared" si="6"/>
        <v>1.3862943611198906</v>
      </c>
      <c r="S17" s="70">
        <f t="shared" si="7"/>
        <v>1.3862943611198906</v>
      </c>
      <c r="T17" s="70">
        <f t="shared" si="8"/>
        <v>1.2676671597457425</v>
      </c>
      <c r="U17" s="70">
        <f t="shared" si="9"/>
        <v>1.2676671597457425</v>
      </c>
      <c r="V17" s="70">
        <f t="shared" si="10"/>
        <v>1.1180339887498949</v>
      </c>
      <c r="W17" s="70">
        <f t="shared" si="11"/>
        <v>1.1180339887498949</v>
      </c>
      <c r="X17" s="70">
        <f t="shared" si="12"/>
        <v>0</v>
      </c>
      <c r="Y17" s="70">
        <f t="shared" si="13"/>
        <v>1.5811388300841898</v>
      </c>
      <c r="Z17" s="70">
        <f t="shared" si="14"/>
        <v>0</v>
      </c>
      <c r="AA17" s="69" t="str">
        <f t="shared" si="15"/>
        <v>Negligible</v>
      </c>
      <c r="AB17" s="69" t="str">
        <f t="shared" si="16"/>
        <v>Tidak Ada Indikasi Bias</v>
      </c>
    </row>
    <row r="18" spans="1:28" ht="50" x14ac:dyDescent="0.35">
      <c r="A18" s="71" t="str">
        <f>TKO!A12</f>
        <v>8. Mengapa penting bagi organisasi untuk mengidentifikasi posisi mereka terhadap pesaing dalam menentukan strategi bisnis di masa yang akan datang</v>
      </c>
      <c r="B18" s="69">
        <f>TKO!B12</f>
        <v>1</v>
      </c>
      <c r="C18" s="69">
        <f>TKO!C12</f>
        <v>1</v>
      </c>
      <c r="D18" s="69">
        <f>TKO!D12</f>
        <v>0</v>
      </c>
      <c r="E18" s="69">
        <f>TKO!E12</f>
        <v>1</v>
      </c>
      <c r="F18" s="69">
        <f>TKO!F12</f>
        <v>0</v>
      </c>
      <c r="G18" s="69">
        <f>TKO!G12</f>
        <v>0</v>
      </c>
      <c r="H18" s="69">
        <f>TKO!H12</f>
        <v>0</v>
      </c>
      <c r="I18" s="69">
        <f>TKO!I12</f>
        <v>0</v>
      </c>
      <c r="J18" s="69">
        <f>TKO!J12</f>
        <v>1</v>
      </c>
      <c r="K18" s="69">
        <f>TKO!K12</f>
        <v>0</v>
      </c>
      <c r="L18" s="69">
        <f t="shared" si="0"/>
        <v>5</v>
      </c>
      <c r="M18" s="69">
        <f t="shared" si="1"/>
        <v>5</v>
      </c>
      <c r="N18" s="69">
        <f t="shared" si="2"/>
        <v>2</v>
      </c>
      <c r="O18" s="69">
        <f t="shared" si="3"/>
        <v>2</v>
      </c>
      <c r="P18" s="69">
        <f t="shared" si="4"/>
        <v>2</v>
      </c>
      <c r="Q18" s="69">
        <f t="shared" si="5"/>
        <v>2</v>
      </c>
      <c r="R18" s="70">
        <f t="shared" si="6"/>
        <v>0.40546510810816438</v>
      </c>
      <c r="S18" s="70">
        <f t="shared" si="7"/>
        <v>0.40546510810816438</v>
      </c>
      <c r="T18" s="70">
        <f t="shared" si="8"/>
        <v>0.28683790673401638</v>
      </c>
      <c r="U18" s="70">
        <f t="shared" si="9"/>
        <v>0.28683790673401638</v>
      </c>
      <c r="V18" s="70">
        <f t="shared" si="10"/>
        <v>0.91287092917527679</v>
      </c>
      <c r="W18" s="70">
        <f t="shared" si="11"/>
        <v>0.91287092917527679</v>
      </c>
      <c r="X18" s="70">
        <f t="shared" si="12"/>
        <v>0</v>
      </c>
      <c r="Y18" s="70">
        <f t="shared" si="13"/>
        <v>1.2909944487358056</v>
      </c>
      <c r="Z18" s="70">
        <f t="shared" si="14"/>
        <v>0</v>
      </c>
      <c r="AA18" s="69" t="str">
        <f t="shared" si="15"/>
        <v>Negligible</v>
      </c>
      <c r="AB18" s="69" t="str">
        <f t="shared" si="16"/>
        <v>Tidak Ada Indikasi Bias</v>
      </c>
    </row>
    <row r="19" spans="1:28" ht="62.5" x14ac:dyDescent="0.35">
      <c r="A19" s="71" t="str">
        <f>TKO!A13</f>
        <v>9. Bagaimana organisasi dapat menggunakan pemahaman mereka tentang posisi mereka terhadap pesaing untuk merancang strategi bisnis yang efektif</v>
      </c>
      <c r="B19" s="69">
        <f>TKO!B13</f>
        <v>1</v>
      </c>
      <c r="C19" s="69">
        <f>TKO!C13</f>
        <v>1</v>
      </c>
      <c r="D19" s="69">
        <f>TKO!D13</f>
        <v>0</v>
      </c>
      <c r="E19" s="69">
        <f>TKO!E13</f>
        <v>1</v>
      </c>
      <c r="F19" s="69">
        <f>TKO!F13</f>
        <v>1</v>
      </c>
      <c r="G19" s="69">
        <f>TKO!G13</f>
        <v>0</v>
      </c>
      <c r="H19" s="69">
        <f>TKO!H13</f>
        <v>1</v>
      </c>
      <c r="I19" s="69">
        <f>TKO!I13</f>
        <v>0</v>
      </c>
      <c r="J19" s="69">
        <f>TKO!J13</f>
        <v>0</v>
      </c>
      <c r="K19" s="69">
        <f>TKO!K13</f>
        <v>1</v>
      </c>
      <c r="L19" s="69">
        <f t="shared" si="0"/>
        <v>5</v>
      </c>
      <c r="M19" s="69">
        <f t="shared" si="1"/>
        <v>5</v>
      </c>
      <c r="N19" s="69">
        <f t="shared" si="2"/>
        <v>3</v>
      </c>
      <c r="O19" s="69">
        <f t="shared" si="3"/>
        <v>3</v>
      </c>
      <c r="P19" s="69">
        <f t="shared" si="4"/>
        <v>3</v>
      </c>
      <c r="Q19" s="69">
        <f t="shared" si="5"/>
        <v>3</v>
      </c>
      <c r="R19" s="70">
        <f t="shared" si="6"/>
        <v>-0.40546510810816444</v>
      </c>
      <c r="S19" s="70">
        <f t="shared" si="7"/>
        <v>-0.40546510810816444</v>
      </c>
      <c r="T19" s="70">
        <f t="shared" si="8"/>
        <v>-0.52409230948231245</v>
      </c>
      <c r="U19" s="70">
        <f t="shared" si="9"/>
        <v>-0.52409230948231245</v>
      </c>
      <c r="V19" s="70">
        <f t="shared" si="10"/>
        <v>0.91287092917527679</v>
      </c>
      <c r="W19" s="70">
        <f t="shared" si="11"/>
        <v>0.91287092917527679</v>
      </c>
      <c r="X19" s="70">
        <f t="shared" si="12"/>
        <v>0</v>
      </c>
      <c r="Y19" s="70">
        <f t="shared" si="13"/>
        <v>1.2909944487358056</v>
      </c>
      <c r="Z19" s="70">
        <f t="shared" si="14"/>
        <v>0</v>
      </c>
      <c r="AA19" s="69" t="str">
        <f t="shared" si="15"/>
        <v>Negligible</v>
      </c>
      <c r="AB19" s="69" t="str">
        <f t="shared" si="16"/>
        <v>Tidak Ada Indikasi Bias</v>
      </c>
    </row>
    <row r="20" spans="1:28" ht="87.5" x14ac:dyDescent="0.35">
      <c r="A20" s="71" t="str">
        <f>TKO!A14</f>
        <v>10. Opportunity dan Threat adalah hal eksternal yang mempengaruhi proses bisnis Organisasi. Organisasi dapat memanfaatkan peluang dan melindunginya dari ancaman. Dibawah ini yang tidak termasuk contoh isu eksternal adalah</v>
      </c>
      <c r="B20" s="69">
        <f>TKO!B14</f>
        <v>0</v>
      </c>
      <c r="C20" s="69">
        <f>TKO!C14</f>
        <v>1</v>
      </c>
      <c r="D20" s="69">
        <f>TKO!D14</f>
        <v>0</v>
      </c>
      <c r="E20" s="69">
        <f>TKO!E14</f>
        <v>0</v>
      </c>
      <c r="F20" s="69">
        <f>TKO!F14</f>
        <v>1</v>
      </c>
      <c r="G20" s="69">
        <f>TKO!G14</f>
        <v>0</v>
      </c>
      <c r="H20" s="69">
        <f>TKO!H14</f>
        <v>0</v>
      </c>
      <c r="I20" s="69">
        <f>TKO!I14</f>
        <v>0</v>
      </c>
      <c r="J20" s="69">
        <f>TKO!J14</f>
        <v>0</v>
      </c>
      <c r="K20" s="69">
        <f>TKO!K14</f>
        <v>0</v>
      </c>
      <c r="L20" s="69">
        <f t="shared" si="0"/>
        <v>5</v>
      </c>
      <c r="M20" s="69">
        <f t="shared" si="1"/>
        <v>5</v>
      </c>
      <c r="N20" s="69">
        <f t="shared" si="2"/>
        <v>1</v>
      </c>
      <c r="O20" s="69">
        <f t="shared" si="3"/>
        <v>1</v>
      </c>
      <c r="P20" s="69">
        <f t="shared" si="4"/>
        <v>1</v>
      </c>
      <c r="Q20" s="69">
        <f t="shared" si="5"/>
        <v>1</v>
      </c>
      <c r="R20" s="70">
        <f t="shared" si="6"/>
        <v>1.3862943611198906</v>
      </c>
      <c r="S20" s="70">
        <f t="shared" si="7"/>
        <v>1.3862943611198906</v>
      </c>
      <c r="T20" s="70">
        <f t="shared" si="8"/>
        <v>1.2676671597457425</v>
      </c>
      <c r="U20" s="70">
        <f t="shared" si="9"/>
        <v>1.2676671597457425</v>
      </c>
      <c r="V20" s="70">
        <f t="shared" si="10"/>
        <v>1.1180339887498949</v>
      </c>
      <c r="W20" s="70">
        <f t="shared" si="11"/>
        <v>1.1180339887498949</v>
      </c>
      <c r="X20" s="70">
        <f t="shared" si="12"/>
        <v>0</v>
      </c>
      <c r="Y20" s="70">
        <f t="shared" si="13"/>
        <v>1.5811388300841898</v>
      </c>
      <c r="Z20" s="70">
        <f t="shared" si="14"/>
        <v>0</v>
      </c>
      <c r="AA20" s="69" t="str">
        <f t="shared" si="15"/>
        <v>Negligible</v>
      </c>
      <c r="AB20" s="69" t="str">
        <f t="shared" si="16"/>
        <v>Tidak Ada Indikasi Bias</v>
      </c>
    </row>
    <row r="21" spans="1:28" ht="50" x14ac:dyDescent="0.35">
      <c r="A21" s="71" t="str">
        <f>TKO!A15</f>
        <v>11. Mengapa penting untuk mengidentifikasi kondisi objektif internal sebagai kondisi awal untuk melakukan perubahan di organisasi pendidikan</v>
      </c>
      <c r="B21" s="69">
        <f>TKO!B15</f>
        <v>0</v>
      </c>
      <c r="C21" s="69">
        <f>TKO!C15</f>
        <v>1</v>
      </c>
      <c r="D21" s="69">
        <f>TKO!D15</f>
        <v>0</v>
      </c>
      <c r="E21" s="69">
        <f>TKO!E15</f>
        <v>0</v>
      </c>
      <c r="F21" s="69">
        <f>TKO!F15</f>
        <v>0</v>
      </c>
      <c r="G21" s="69">
        <f>TKO!G15</f>
        <v>0</v>
      </c>
      <c r="H21" s="69">
        <f>TKO!H15</f>
        <v>0</v>
      </c>
      <c r="I21" s="69">
        <f>TKO!I15</f>
        <v>1</v>
      </c>
      <c r="J21" s="69">
        <f>TKO!J15</f>
        <v>1</v>
      </c>
      <c r="K21" s="69">
        <f>TKO!K15</f>
        <v>1</v>
      </c>
      <c r="L21" s="69">
        <f t="shared" si="0"/>
        <v>5</v>
      </c>
      <c r="M21" s="69">
        <f t="shared" si="1"/>
        <v>5</v>
      </c>
      <c r="N21" s="69">
        <f t="shared" si="2"/>
        <v>2</v>
      </c>
      <c r="O21" s="69">
        <f t="shared" si="3"/>
        <v>2</v>
      </c>
      <c r="P21" s="69">
        <f t="shared" si="4"/>
        <v>2</v>
      </c>
      <c r="Q21" s="69">
        <f t="shared" si="5"/>
        <v>2</v>
      </c>
      <c r="R21" s="70">
        <f t="shared" si="6"/>
        <v>0.40546510810816438</v>
      </c>
      <c r="S21" s="70">
        <f t="shared" si="7"/>
        <v>0.40546510810816438</v>
      </c>
      <c r="T21" s="70">
        <f t="shared" si="8"/>
        <v>0.28683790673401638</v>
      </c>
      <c r="U21" s="70">
        <f t="shared" si="9"/>
        <v>0.28683790673401638</v>
      </c>
      <c r="V21" s="70">
        <f t="shared" si="10"/>
        <v>0.91287092917527679</v>
      </c>
      <c r="W21" s="70">
        <f t="shared" si="11"/>
        <v>0.91287092917527679</v>
      </c>
      <c r="X21" s="70">
        <f t="shared" si="12"/>
        <v>0</v>
      </c>
      <c r="Y21" s="70">
        <f t="shared" si="13"/>
        <v>1.2909944487358056</v>
      </c>
      <c r="Z21" s="70">
        <f t="shared" si="14"/>
        <v>0</v>
      </c>
      <c r="AA21" s="69" t="str">
        <f t="shared" si="15"/>
        <v>Negligible</v>
      </c>
      <c r="AB21" s="69" t="str">
        <f t="shared" si="16"/>
        <v>Tidak Ada Indikasi Bias</v>
      </c>
    </row>
    <row r="22" spans="1:28" ht="50" x14ac:dyDescent="0.35">
      <c r="A22" s="71" t="str">
        <f>TKO!A16</f>
        <v>12. Mengapa penting untuk mengidentifikasi kondisi objektif eksternal sebagai kondisi awal untuk melakukan perubahan di organisasi pendidikan</v>
      </c>
      <c r="B22" s="69">
        <f>TKO!B16</f>
        <v>0</v>
      </c>
      <c r="C22" s="69">
        <f>TKO!C16</f>
        <v>0</v>
      </c>
      <c r="D22" s="69">
        <f>TKO!D16</f>
        <v>0</v>
      </c>
      <c r="E22" s="69">
        <f>TKO!E16</f>
        <v>1</v>
      </c>
      <c r="F22" s="69">
        <f>TKO!F16</f>
        <v>0</v>
      </c>
      <c r="G22" s="69">
        <f>TKO!G16</f>
        <v>1</v>
      </c>
      <c r="H22" s="69">
        <f>TKO!H16</f>
        <v>1</v>
      </c>
      <c r="I22" s="69">
        <f>TKO!I16</f>
        <v>0</v>
      </c>
      <c r="J22" s="69">
        <f>TKO!J16</f>
        <v>1</v>
      </c>
      <c r="K22" s="69">
        <f>TKO!K16</f>
        <v>0</v>
      </c>
      <c r="L22" s="69">
        <f t="shared" si="0"/>
        <v>5</v>
      </c>
      <c r="M22" s="69">
        <f t="shared" si="1"/>
        <v>5</v>
      </c>
      <c r="N22" s="69">
        <f t="shared" si="2"/>
        <v>2</v>
      </c>
      <c r="O22" s="69">
        <f t="shared" si="3"/>
        <v>2</v>
      </c>
      <c r="P22" s="69">
        <f t="shared" si="4"/>
        <v>2</v>
      </c>
      <c r="Q22" s="69">
        <f t="shared" si="5"/>
        <v>2</v>
      </c>
      <c r="R22" s="70">
        <f t="shared" si="6"/>
        <v>0.40546510810816438</v>
      </c>
      <c r="S22" s="70">
        <f t="shared" si="7"/>
        <v>0.40546510810816438</v>
      </c>
      <c r="T22" s="70">
        <f t="shared" si="8"/>
        <v>0.28683790673401638</v>
      </c>
      <c r="U22" s="70">
        <f t="shared" si="9"/>
        <v>0.28683790673401638</v>
      </c>
      <c r="V22" s="70">
        <f t="shared" si="10"/>
        <v>0.91287092917527679</v>
      </c>
      <c r="W22" s="70">
        <f t="shared" si="11"/>
        <v>0.91287092917527679</v>
      </c>
      <c r="X22" s="70">
        <f t="shared" si="12"/>
        <v>0</v>
      </c>
      <c r="Y22" s="70">
        <f t="shared" si="13"/>
        <v>1.2909944487358056</v>
      </c>
      <c r="Z22" s="70">
        <f t="shared" si="14"/>
        <v>0</v>
      </c>
      <c r="AA22" s="69" t="str">
        <f t="shared" si="15"/>
        <v>Negligible</v>
      </c>
      <c r="AB22" s="69" t="str">
        <f t="shared" si="16"/>
        <v>Tidak Ada Indikasi Bias</v>
      </c>
    </row>
    <row r="23" spans="1:28" ht="62.5" x14ac:dyDescent="0.35">
      <c r="A23" s="71" t="str">
        <f>TKO!A17</f>
        <v>13. Apa manfaat yang dapat diperoleh organisasi pendidikan dari pemahaman yang baik tentang kondisi objektif internal dan eksternal sebagai kondisi awal untuk melakukan perubahan</v>
      </c>
      <c r="B23" s="69">
        <f>TKO!B17</f>
        <v>1</v>
      </c>
      <c r="C23" s="69">
        <f>TKO!C17</f>
        <v>0</v>
      </c>
      <c r="D23" s="69">
        <f>TKO!D17</f>
        <v>1</v>
      </c>
      <c r="E23" s="69">
        <f>TKO!E17</f>
        <v>1</v>
      </c>
      <c r="F23" s="69">
        <f>TKO!F17</f>
        <v>1</v>
      </c>
      <c r="G23" s="69">
        <f>TKO!G17</f>
        <v>1</v>
      </c>
      <c r="H23" s="69">
        <f>TKO!H17</f>
        <v>1</v>
      </c>
      <c r="I23" s="69">
        <f>TKO!I17</f>
        <v>0</v>
      </c>
      <c r="J23" s="69">
        <f>TKO!J17</f>
        <v>0</v>
      </c>
      <c r="K23" s="69">
        <f>TKO!K17</f>
        <v>0</v>
      </c>
      <c r="L23" s="69">
        <f t="shared" si="0"/>
        <v>5</v>
      </c>
      <c r="M23" s="69">
        <f t="shared" si="1"/>
        <v>5</v>
      </c>
      <c r="N23" s="69">
        <f t="shared" si="2"/>
        <v>3</v>
      </c>
      <c r="O23" s="69">
        <f t="shared" si="3"/>
        <v>3</v>
      </c>
      <c r="P23" s="69">
        <f t="shared" si="4"/>
        <v>3</v>
      </c>
      <c r="Q23" s="69">
        <f t="shared" si="5"/>
        <v>3</v>
      </c>
      <c r="R23" s="70">
        <f t="shared" si="6"/>
        <v>-0.40546510810816444</v>
      </c>
      <c r="S23" s="70">
        <f t="shared" si="7"/>
        <v>-0.40546510810816444</v>
      </c>
      <c r="T23" s="70">
        <f t="shared" si="8"/>
        <v>-0.52409230948231245</v>
      </c>
      <c r="U23" s="70">
        <f t="shared" si="9"/>
        <v>-0.52409230948231245</v>
      </c>
      <c r="V23" s="70">
        <f t="shared" si="10"/>
        <v>0.91287092917527679</v>
      </c>
      <c r="W23" s="70">
        <f t="shared" si="11"/>
        <v>0.91287092917527679</v>
      </c>
      <c r="X23" s="70">
        <f t="shared" si="12"/>
        <v>0</v>
      </c>
      <c r="Y23" s="70">
        <f t="shared" si="13"/>
        <v>1.2909944487358056</v>
      </c>
      <c r="Z23" s="70">
        <f t="shared" si="14"/>
        <v>0</v>
      </c>
      <c r="AA23" s="69" t="str">
        <f t="shared" si="15"/>
        <v>Negligible</v>
      </c>
      <c r="AB23" s="69" t="str">
        <f t="shared" si="16"/>
        <v>Tidak Ada Indikasi Bias</v>
      </c>
    </row>
    <row r="24" spans="1:28" ht="62.5" x14ac:dyDescent="0.35">
      <c r="A24" s="71" t="str">
        <f>TKO!A18</f>
        <v>14. Mengapa penting untuk mengembangkan peta proses bisnis berdasarkan hasil analisis SWOT, visi, misi, tujuan, dan strategi organisasi pendidikan</v>
      </c>
      <c r="B24" s="69">
        <f>TKO!B18</f>
        <v>1</v>
      </c>
      <c r="C24" s="69">
        <f>TKO!C18</f>
        <v>0</v>
      </c>
      <c r="D24" s="69">
        <f>TKO!D18</f>
        <v>1</v>
      </c>
      <c r="E24" s="69">
        <f>TKO!E18</f>
        <v>1</v>
      </c>
      <c r="F24" s="69">
        <f>TKO!F18</f>
        <v>0</v>
      </c>
      <c r="G24" s="69">
        <f>TKO!G18</f>
        <v>0</v>
      </c>
      <c r="H24" s="69">
        <f>TKO!H18</f>
        <v>1</v>
      </c>
      <c r="I24" s="69">
        <f>TKO!I18</f>
        <v>0</v>
      </c>
      <c r="J24" s="69">
        <f>TKO!J18</f>
        <v>0</v>
      </c>
      <c r="K24" s="69">
        <f>TKO!K18</f>
        <v>0</v>
      </c>
      <c r="L24" s="69">
        <f t="shared" si="0"/>
        <v>5</v>
      </c>
      <c r="M24" s="69">
        <f t="shared" si="1"/>
        <v>5</v>
      </c>
      <c r="N24" s="69">
        <f t="shared" si="2"/>
        <v>2</v>
      </c>
      <c r="O24" s="69">
        <f t="shared" si="3"/>
        <v>2</v>
      </c>
      <c r="P24" s="69">
        <f t="shared" si="4"/>
        <v>2</v>
      </c>
      <c r="Q24" s="69">
        <f t="shared" si="5"/>
        <v>2</v>
      </c>
      <c r="R24" s="70">
        <f t="shared" si="6"/>
        <v>0.40546510810816438</v>
      </c>
      <c r="S24" s="70">
        <f t="shared" si="7"/>
        <v>0.40546510810816438</v>
      </c>
      <c r="T24" s="70">
        <f t="shared" si="8"/>
        <v>0.28683790673401638</v>
      </c>
      <c r="U24" s="70">
        <f t="shared" si="9"/>
        <v>0.28683790673401638</v>
      </c>
      <c r="V24" s="70">
        <f t="shared" si="10"/>
        <v>0.91287092917527679</v>
      </c>
      <c r="W24" s="70">
        <f t="shared" si="11"/>
        <v>0.91287092917527679</v>
      </c>
      <c r="X24" s="70">
        <f t="shared" si="12"/>
        <v>0</v>
      </c>
      <c r="Y24" s="70">
        <f t="shared" si="13"/>
        <v>1.2909944487358056</v>
      </c>
      <c r="Z24" s="70">
        <f t="shared" si="14"/>
        <v>0</v>
      </c>
      <c r="AA24" s="69" t="str">
        <f t="shared" si="15"/>
        <v>Negligible</v>
      </c>
      <c r="AB24" s="69" t="str">
        <f t="shared" si="16"/>
        <v>Tidak Ada Indikasi Bias</v>
      </c>
    </row>
    <row r="25" spans="1:28" ht="75" customHeight="1" x14ac:dyDescent="0.35">
      <c r="A25" s="71" t="str">
        <f>TKO!A19</f>
        <v>15. Mengapa penting untuk menetapkan pemetaan proses bisnis yang selaras dengan core bisnis organisasi</v>
      </c>
      <c r="B25" s="69">
        <f>TKO!B19</f>
        <v>0</v>
      </c>
      <c r="C25" s="69">
        <f>TKO!C19</f>
        <v>0</v>
      </c>
      <c r="D25" s="69">
        <f>TKO!D19</f>
        <v>0</v>
      </c>
      <c r="E25" s="69">
        <f>TKO!E19</f>
        <v>0</v>
      </c>
      <c r="F25" s="69">
        <f>TKO!F19</f>
        <v>0</v>
      </c>
      <c r="G25" s="69">
        <f>TKO!G19</f>
        <v>1</v>
      </c>
      <c r="H25" s="69">
        <f>TKO!H19</f>
        <v>0</v>
      </c>
      <c r="I25" s="69">
        <f>TKO!I19</f>
        <v>0</v>
      </c>
      <c r="J25" s="69">
        <f>TKO!J19</f>
        <v>0</v>
      </c>
      <c r="K25" s="69">
        <f>TKO!K19</f>
        <v>1</v>
      </c>
      <c r="L25" s="69">
        <f t="shared" si="0"/>
        <v>5</v>
      </c>
      <c r="M25" s="69">
        <f t="shared" si="1"/>
        <v>5</v>
      </c>
      <c r="N25" s="69">
        <f t="shared" si="2"/>
        <v>1</v>
      </c>
      <c r="O25" s="69">
        <f t="shared" si="3"/>
        <v>1</v>
      </c>
      <c r="P25" s="69">
        <f t="shared" si="4"/>
        <v>1</v>
      </c>
      <c r="Q25" s="69">
        <f t="shared" si="5"/>
        <v>1</v>
      </c>
      <c r="R25" s="70">
        <f t="shared" si="6"/>
        <v>1.3862943611198906</v>
      </c>
      <c r="S25" s="70">
        <f t="shared" si="7"/>
        <v>1.3862943611198906</v>
      </c>
      <c r="T25" s="70">
        <f t="shared" si="8"/>
        <v>1.2676671597457425</v>
      </c>
      <c r="U25" s="70">
        <f t="shared" si="9"/>
        <v>1.2676671597457425</v>
      </c>
      <c r="V25" s="70">
        <f t="shared" si="10"/>
        <v>1.1180339887498949</v>
      </c>
      <c r="W25" s="70">
        <f t="shared" si="11"/>
        <v>1.1180339887498949</v>
      </c>
      <c r="X25" s="70">
        <f t="shared" si="12"/>
        <v>0</v>
      </c>
      <c r="Y25" s="70">
        <f t="shared" si="13"/>
        <v>1.5811388300841898</v>
      </c>
      <c r="Z25" s="70">
        <f t="shared" si="14"/>
        <v>0</v>
      </c>
      <c r="AA25" s="69" t="str">
        <f t="shared" si="15"/>
        <v>Negligible</v>
      </c>
      <c r="AB25" s="69" t="str">
        <f t="shared" si="16"/>
        <v>Tidak Ada Indikasi Bias</v>
      </c>
    </row>
    <row r="26" spans="1:28" ht="37.5" x14ac:dyDescent="0.35">
      <c r="A26" s="71" t="str">
        <f>TKO!A20</f>
        <v>16. Apa manfaat utama dari penyusunan roadmap dan masterplan dalam konteks monitoring pencapaian target organisasi</v>
      </c>
      <c r="B26" s="69">
        <f>TKO!B20</f>
        <v>1</v>
      </c>
      <c r="C26" s="69">
        <f>TKO!C20</f>
        <v>1</v>
      </c>
      <c r="D26" s="69">
        <f>TKO!D20</f>
        <v>1</v>
      </c>
      <c r="E26" s="69">
        <f>TKO!E20</f>
        <v>1</v>
      </c>
      <c r="F26" s="69">
        <f>TKO!F20</f>
        <v>1</v>
      </c>
      <c r="G26" s="69">
        <f>TKO!G20</f>
        <v>0</v>
      </c>
      <c r="H26" s="69">
        <f>TKO!H20</f>
        <v>1</v>
      </c>
      <c r="I26" s="69">
        <f>TKO!I20</f>
        <v>1</v>
      </c>
      <c r="J26" s="69">
        <f>TKO!J20</f>
        <v>1</v>
      </c>
      <c r="K26" s="69">
        <f>TKO!K20</f>
        <v>0</v>
      </c>
      <c r="L26" s="69">
        <f t="shared" si="0"/>
        <v>5</v>
      </c>
      <c r="M26" s="69">
        <f t="shared" si="1"/>
        <v>5</v>
      </c>
      <c r="N26" s="69">
        <f t="shared" si="2"/>
        <v>4</v>
      </c>
      <c r="O26" s="69">
        <f t="shared" si="3"/>
        <v>4</v>
      </c>
      <c r="P26" s="69">
        <f t="shared" si="4"/>
        <v>4</v>
      </c>
      <c r="Q26" s="69">
        <f t="shared" si="5"/>
        <v>4</v>
      </c>
      <c r="R26" s="70">
        <f t="shared" si="6"/>
        <v>-1.3862943611198906</v>
      </c>
      <c r="S26" s="70">
        <f t="shared" si="7"/>
        <v>-1.3862943611198906</v>
      </c>
      <c r="T26" s="70">
        <f t="shared" si="8"/>
        <v>-1.5049215624940386</v>
      </c>
      <c r="U26" s="70">
        <f t="shared" si="9"/>
        <v>-1.5049215624940386</v>
      </c>
      <c r="V26" s="70">
        <f t="shared" si="10"/>
        <v>1.1180339887498949</v>
      </c>
      <c r="W26" s="70">
        <f t="shared" si="11"/>
        <v>1.1180339887498949</v>
      </c>
      <c r="X26" s="70">
        <f t="shared" si="12"/>
        <v>0</v>
      </c>
      <c r="Y26" s="70">
        <f t="shared" si="13"/>
        <v>1.5811388300841898</v>
      </c>
      <c r="Z26" s="70">
        <f t="shared" si="14"/>
        <v>0</v>
      </c>
      <c r="AA26" s="69" t="str">
        <f t="shared" si="15"/>
        <v>Negligible</v>
      </c>
      <c r="AB26" s="69" t="str">
        <f t="shared" si="16"/>
        <v>Tidak Ada Indikasi Bias</v>
      </c>
    </row>
    <row r="27" spans="1:28" ht="75" customHeight="1" x14ac:dyDescent="0.35">
      <c r="A27" s="71" t="str">
        <f>TKO!A21</f>
        <v>17. Mengapa penting untuk mengidentifikasi ruang lingkup dan tujuan organisasi sebelum merancang desain organisasi</v>
      </c>
      <c r="B27" s="69">
        <f>TKO!B21</f>
        <v>1</v>
      </c>
      <c r="C27" s="69">
        <f>TKO!C21</f>
        <v>1</v>
      </c>
      <c r="D27" s="69">
        <f>TKO!D21</f>
        <v>1</v>
      </c>
      <c r="E27" s="69">
        <f>TKO!E21</f>
        <v>1</v>
      </c>
      <c r="F27" s="69">
        <f>TKO!F21</f>
        <v>1</v>
      </c>
      <c r="G27" s="69">
        <f>TKO!G21</f>
        <v>0</v>
      </c>
      <c r="H27" s="69">
        <f>TKO!H21</f>
        <v>0</v>
      </c>
      <c r="I27" s="69">
        <f>TKO!I21</f>
        <v>1</v>
      </c>
      <c r="J27" s="69">
        <f>TKO!J21</f>
        <v>0</v>
      </c>
      <c r="K27" s="69">
        <f>TKO!K21</f>
        <v>0</v>
      </c>
      <c r="L27" s="69">
        <f t="shared" si="0"/>
        <v>5</v>
      </c>
      <c r="M27" s="69">
        <f t="shared" si="1"/>
        <v>5</v>
      </c>
      <c r="N27" s="69">
        <f t="shared" si="2"/>
        <v>3</v>
      </c>
      <c r="O27" s="69">
        <f t="shared" si="3"/>
        <v>3</v>
      </c>
      <c r="P27" s="69">
        <f t="shared" si="4"/>
        <v>3</v>
      </c>
      <c r="Q27" s="69">
        <f t="shared" si="5"/>
        <v>3</v>
      </c>
      <c r="R27" s="70">
        <f t="shared" si="6"/>
        <v>-0.40546510810816444</v>
      </c>
      <c r="S27" s="70">
        <f t="shared" si="7"/>
        <v>-0.40546510810816444</v>
      </c>
      <c r="T27" s="70">
        <f t="shared" si="8"/>
        <v>-0.52409230948231245</v>
      </c>
      <c r="U27" s="70">
        <f t="shared" si="9"/>
        <v>-0.52409230948231245</v>
      </c>
      <c r="V27" s="70">
        <f t="shared" si="10"/>
        <v>0.91287092917527679</v>
      </c>
      <c r="W27" s="70">
        <f t="shared" si="11"/>
        <v>0.91287092917527679</v>
      </c>
      <c r="X27" s="70">
        <f t="shared" si="12"/>
        <v>0</v>
      </c>
      <c r="Y27" s="70">
        <f t="shared" si="13"/>
        <v>1.2909944487358056</v>
      </c>
      <c r="Z27" s="70">
        <f t="shared" si="14"/>
        <v>0</v>
      </c>
      <c r="AA27" s="69" t="str">
        <f t="shared" si="15"/>
        <v>Negligible</v>
      </c>
      <c r="AB27" s="69" t="str">
        <f t="shared" si="16"/>
        <v>Tidak Ada Indikasi Bias</v>
      </c>
    </row>
    <row r="28" spans="1:28" ht="100" x14ac:dyDescent="0.35">
      <c r="A28" s="71" t="str">
        <f>TKO!A22</f>
        <v>18. Organisasi harus memantau dan meninjau hasil identifikasi terhadap pihak yang berkepentingan untuk memastikan bahwa organisasi telah memenuhi harapan dan kebutuhan dari pihak yang berkepentingan. Hal yang perlu dipertimbangkan dalam pembuatan identifikasi pihak berkepentingan adalah</v>
      </c>
      <c r="B28" s="69">
        <f>TKO!B22</f>
        <v>1</v>
      </c>
      <c r="C28" s="69">
        <f>TKO!C22</f>
        <v>1</v>
      </c>
      <c r="D28" s="69">
        <f>TKO!D22</f>
        <v>1</v>
      </c>
      <c r="E28" s="69">
        <f>TKO!E22</f>
        <v>1</v>
      </c>
      <c r="F28" s="69">
        <f>TKO!F22</f>
        <v>1</v>
      </c>
      <c r="G28" s="69">
        <f>TKO!G22</f>
        <v>0</v>
      </c>
      <c r="H28" s="69">
        <f>TKO!H22</f>
        <v>1</v>
      </c>
      <c r="I28" s="69">
        <f>TKO!I22</f>
        <v>1</v>
      </c>
      <c r="J28" s="69">
        <f>TKO!J22</f>
        <v>1</v>
      </c>
      <c r="K28" s="69">
        <f>TKO!K22</f>
        <v>0</v>
      </c>
      <c r="L28" s="69">
        <f t="shared" si="0"/>
        <v>5</v>
      </c>
      <c r="M28" s="69">
        <f t="shared" si="1"/>
        <v>5</v>
      </c>
      <c r="N28" s="69">
        <f t="shared" si="2"/>
        <v>4</v>
      </c>
      <c r="O28" s="69">
        <f t="shared" si="3"/>
        <v>4</v>
      </c>
      <c r="P28" s="69">
        <f t="shared" si="4"/>
        <v>4</v>
      </c>
      <c r="Q28" s="69">
        <f t="shared" si="5"/>
        <v>4</v>
      </c>
      <c r="R28" s="70">
        <f t="shared" si="6"/>
        <v>-1.3862943611198906</v>
      </c>
      <c r="S28" s="70">
        <f t="shared" si="7"/>
        <v>-1.3862943611198906</v>
      </c>
      <c r="T28" s="70">
        <f t="shared" si="8"/>
        <v>-1.5049215624940386</v>
      </c>
      <c r="U28" s="70">
        <f t="shared" si="9"/>
        <v>-1.5049215624940386</v>
      </c>
      <c r="V28" s="70">
        <f t="shared" si="10"/>
        <v>1.1180339887498949</v>
      </c>
      <c r="W28" s="70">
        <f t="shared" si="11"/>
        <v>1.1180339887498949</v>
      </c>
      <c r="X28" s="70">
        <f t="shared" si="12"/>
        <v>0</v>
      </c>
      <c r="Y28" s="70">
        <f t="shared" si="13"/>
        <v>1.5811388300841898</v>
      </c>
      <c r="Z28" s="70">
        <f t="shared" si="14"/>
        <v>0</v>
      </c>
      <c r="AA28" s="69" t="str">
        <f t="shared" si="15"/>
        <v>Negligible</v>
      </c>
      <c r="AB28" s="69" t="str">
        <f t="shared" si="16"/>
        <v>Tidak Ada Indikasi Bias</v>
      </c>
    </row>
    <row r="29" spans="1:28" ht="50" x14ac:dyDescent="0.35">
      <c r="A29" s="71" t="str">
        <f>TKO!A23</f>
        <v>19. Apa yang bisa menjadi hasil dari tidak memperhatikan ruang lingkup dan tujuan organisasi dalam merancang struktur organisasi</v>
      </c>
      <c r="B29" s="69">
        <f>TKO!B23</f>
        <v>0</v>
      </c>
      <c r="C29" s="69">
        <f>TKO!C23</f>
        <v>0</v>
      </c>
      <c r="D29" s="69">
        <f>TKO!D23</f>
        <v>0</v>
      </c>
      <c r="E29" s="69">
        <f>TKO!E23</f>
        <v>0</v>
      </c>
      <c r="F29" s="69">
        <f>TKO!F23</f>
        <v>0</v>
      </c>
      <c r="G29" s="69">
        <f>TKO!G23</f>
        <v>1</v>
      </c>
      <c r="H29" s="69">
        <f>TKO!H23</f>
        <v>1</v>
      </c>
      <c r="I29" s="69">
        <f>TKO!I23</f>
        <v>0</v>
      </c>
      <c r="J29" s="69">
        <f>TKO!J23</f>
        <v>1</v>
      </c>
      <c r="K29" s="69">
        <f>TKO!K23</f>
        <v>1</v>
      </c>
      <c r="L29" s="69">
        <f t="shared" si="0"/>
        <v>5</v>
      </c>
      <c r="M29" s="69">
        <f t="shared" si="1"/>
        <v>5</v>
      </c>
      <c r="N29" s="69">
        <f t="shared" si="2"/>
        <v>2</v>
      </c>
      <c r="O29" s="69">
        <f t="shared" si="3"/>
        <v>2</v>
      </c>
      <c r="P29" s="69">
        <f t="shared" si="4"/>
        <v>2</v>
      </c>
      <c r="Q29" s="69">
        <f t="shared" si="5"/>
        <v>2</v>
      </c>
      <c r="R29" s="70">
        <f t="shared" si="6"/>
        <v>0.40546510810816438</v>
      </c>
      <c r="S29" s="70">
        <f t="shared" si="7"/>
        <v>0.40546510810816438</v>
      </c>
      <c r="T29" s="70">
        <f t="shared" si="8"/>
        <v>0.28683790673401638</v>
      </c>
      <c r="U29" s="70">
        <f t="shared" si="9"/>
        <v>0.28683790673401638</v>
      </c>
      <c r="V29" s="70">
        <f t="shared" si="10"/>
        <v>0.91287092917527679</v>
      </c>
      <c r="W29" s="70">
        <f t="shared" si="11"/>
        <v>0.91287092917527679</v>
      </c>
      <c r="X29" s="70">
        <f t="shared" si="12"/>
        <v>0</v>
      </c>
      <c r="Y29" s="70">
        <f t="shared" si="13"/>
        <v>1.2909944487358056</v>
      </c>
      <c r="Z29" s="70">
        <f t="shared" si="14"/>
        <v>0</v>
      </c>
      <c r="AA29" s="69" t="str">
        <f t="shared" si="15"/>
        <v>Negligible</v>
      </c>
      <c r="AB29" s="69" t="str">
        <f t="shared" si="16"/>
        <v>Tidak Ada Indikasi Bias</v>
      </c>
    </row>
    <row r="30" spans="1:28" ht="50" x14ac:dyDescent="0.35">
      <c r="A30" s="71" t="str">
        <f>TKO!A24</f>
        <v>20. Mengapa penting untuk mengidentifikasi tugas dan fungsi jabatan dengan mengacu kepada job description dalam sebuah organisasi</v>
      </c>
      <c r="B30" s="69">
        <f>TKO!B24</f>
        <v>0</v>
      </c>
      <c r="C30" s="69">
        <f>TKO!C24</f>
        <v>1</v>
      </c>
      <c r="D30" s="69">
        <f>TKO!D24</f>
        <v>0</v>
      </c>
      <c r="E30" s="69">
        <f>TKO!E24</f>
        <v>0</v>
      </c>
      <c r="F30" s="69">
        <f>TKO!F24</f>
        <v>0</v>
      </c>
      <c r="G30" s="69">
        <f>TKO!G24</f>
        <v>0</v>
      </c>
      <c r="H30" s="69">
        <f>TKO!H24</f>
        <v>1</v>
      </c>
      <c r="I30" s="69">
        <f>TKO!I24</f>
        <v>0</v>
      </c>
      <c r="J30" s="69">
        <f>TKO!J24</f>
        <v>1</v>
      </c>
      <c r="K30" s="69">
        <f>TKO!K24</f>
        <v>1</v>
      </c>
      <c r="L30" s="69">
        <f t="shared" si="0"/>
        <v>5</v>
      </c>
      <c r="M30" s="69">
        <f t="shared" si="1"/>
        <v>5</v>
      </c>
      <c r="N30" s="69">
        <f t="shared" si="2"/>
        <v>2</v>
      </c>
      <c r="O30" s="69">
        <f t="shared" si="3"/>
        <v>2</v>
      </c>
      <c r="P30" s="69">
        <f t="shared" si="4"/>
        <v>2</v>
      </c>
      <c r="Q30" s="69">
        <f t="shared" si="5"/>
        <v>2</v>
      </c>
      <c r="R30" s="70">
        <f t="shared" si="6"/>
        <v>0.40546510810816438</v>
      </c>
      <c r="S30" s="70">
        <f t="shared" si="7"/>
        <v>0.40546510810816438</v>
      </c>
      <c r="T30" s="70">
        <f t="shared" si="8"/>
        <v>0.28683790673401638</v>
      </c>
      <c r="U30" s="70">
        <f t="shared" si="9"/>
        <v>0.28683790673401638</v>
      </c>
      <c r="V30" s="70">
        <f t="shared" si="10"/>
        <v>0.91287092917527679</v>
      </c>
      <c r="W30" s="70">
        <f t="shared" si="11"/>
        <v>0.91287092917527679</v>
      </c>
      <c r="X30" s="70">
        <f t="shared" si="12"/>
        <v>0</v>
      </c>
      <c r="Y30" s="70">
        <f t="shared" si="13"/>
        <v>1.2909944487358056</v>
      </c>
      <c r="Z30" s="70">
        <f t="shared" si="14"/>
        <v>0</v>
      </c>
      <c r="AA30" s="69" t="str">
        <f t="shared" si="15"/>
        <v>Negligible</v>
      </c>
      <c r="AB30" s="69" t="str">
        <f t="shared" si="16"/>
        <v>Tidak Ada Indikasi Bias</v>
      </c>
    </row>
    <row r="31" spans="1:28" ht="50" x14ac:dyDescent="0.35">
      <c r="A31" s="71" t="str">
        <f>TKO!A25</f>
        <v>21. Bagaimana standar kompetensi yang ditetapkan berdasarkan hasil pemetaan dapat membantu dalam pengembangan personel</v>
      </c>
      <c r="B31" s="69">
        <f>TKO!B25</f>
        <v>1</v>
      </c>
      <c r="C31" s="69">
        <f>TKO!C25</f>
        <v>0</v>
      </c>
      <c r="D31" s="69">
        <f>TKO!D25</f>
        <v>1</v>
      </c>
      <c r="E31" s="69">
        <f>TKO!E25</f>
        <v>0</v>
      </c>
      <c r="F31" s="69">
        <f>TKO!F25</f>
        <v>1</v>
      </c>
      <c r="G31" s="69">
        <f>TKO!G25</f>
        <v>1</v>
      </c>
      <c r="H31" s="69">
        <f>TKO!H25</f>
        <v>1</v>
      </c>
      <c r="I31" s="69">
        <f>TKO!I25</f>
        <v>1</v>
      </c>
      <c r="J31" s="69">
        <f>TKO!J25</f>
        <v>1</v>
      </c>
      <c r="K31" s="69">
        <f>TKO!K25</f>
        <v>1</v>
      </c>
      <c r="L31" s="69">
        <f t="shared" si="0"/>
        <v>5</v>
      </c>
      <c r="M31" s="69">
        <f t="shared" si="1"/>
        <v>5</v>
      </c>
      <c r="N31" s="69">
        <f t="shared" si="2"/>
        <v>4</v>
      </c>
      <c r="O31" s="69">
        <f t="shared" si="3"/>
        <v>4</v>
      </c>
      <c r="P31" s="69">
        <f t="shared" si="4"/>
        <v>4</v>
      </c>
      <c r="Q31" s="69">
        <f t="shared" si="5"/>
        <v>4</v>
      </c>
      <c r="R31" s="70">
        <f t="shared" si="6"/>
        <v>-1.3862943611198906</v>
      </c>
      <c r="S31" s="70">
        <f t="shared" si="7"/>
        <v>-1.3862943611198906</v>
      </c>
      <c r="T31" s="70">
        <f t="shared" si="8"/>
        <v>-1.5049215624940386</v>
      </c>
      <c r="U31" s="70">
        <f t="shared" si="9"/>
        <v>-1.5049215624940386</v>
      </c>
      <c r="V31" s="70">
        <f t="shared" si="10"/>
        <v>1.1180339887498949</v>
      </c>
      <c r="W31" s="70">
        <f t="shared" si="11"/>
        <v>1.1180339887498949</v>
      </c>
      <c r="X31" s="70">
        <f t="shared" si="12"/>
        <v>0</v>
      </c>
      <c r="Y31" s="70">
        <f t="shared" si="13"/>
        <v>1.5811388300841898</v>
      </c>
      <c r="Z31" s="70">
        <f t="shared" si="14"/>
        <v>0</v>
      </c>
      <c r="AA31" s="69" t="str">
        <f t="shared" si="15"/>
        <v>Negligible</v>
      </c>
      <c r="AB31" s="69" t="str">
        <f t="shared" si="16"/>
        <v>Tidak Ada Indikasi Bias</v>
      </c>
    </row>
    <row r="32" spans="1:28" ht="37.5" customHeight="1" x14ac:dyDescent="0.35">
      <c r="A32" s="71" t="str">
        <f>TKO!A26</f>
        <v>22. Pimpinan harus memastikan bahwa tanggung jawab dan wewenang untuk peran yang relevan ditentukan dan dikomunikasikan dalam organisasi bertujuan untuk</v>
      </c>
      <c r="B32" s="69">
        <f>TKO!B26</f>
        <v>0</v>
      </c>
      <c r="C32" s="69">
        <f>TKO!C26</f>
        <v>0</v>
      </c>
      <c r="D32" s="69">
        <f>TKO!D26</f>
        <v>0</v>
      </c>
      <c r="E32" s="69">
        <f>TKO!E26</f>
        <v>1</v>
      </c>
      <c r="F32" s="69">
        <f>TKO!F26</f>
        <v>0</v>
      </c>
      <c r="G32" s="69">
        <f>TKO!G26</f>
        <v>0</v>
      </c>
      <c r="H32" s="69">
        <f>TKO!H26</f>
        <v>1</v>
      </c>
      <c r="I32" s="69">
        <f>TKO!I26</f>
        <v>1</v>
      </c>
      <c r="J32" s="69">
        <f>TKO!J26</f>
        <v>0</v>
      </c>
      <c r="K32" s="69">
        <f>TKO!K26</f>
        <v>1</v>
      </c>
      <c r="L32" s="69">
        <f t="shared" si="0"/>
        <v>5</v>
      </c>
      <c r="M32" s="69">
        <f t="shared" si="1"/>
        <v>5</v>
      </c>
      <c r="N32" s="69">
        <f t="shared" si="2"/>
        <v>2</v>
      </c>
      <c r="O32" s="69">
        <f t="shared" si="3"/>
        <v>2</v>
      </c>
      <c r="P32" s="69">
        <f t="shared" si="4"/>
        <v>2</v>
      </c>
      <c r="Q32" s="69">
        <f t="shared" si="5"/>
        <v>2</v>
      </c>
      <c r="R32" s="70">
        <f t="shared" si="6"/>
        <v>0.40546510810816438</v>
      </c>
      <c r="S32" s="70">
        <f t="shared" si="7"/>
        <v>0.40546510810816438</v>
      </c>
      <c r="T32" s="70">
        <f t="shared" si="8"/>
        <v>0.28683790673401638</v>
      </c>
      <c r="U32" s="70">
        <f t="shared" si="9"/>
        <v>0.28683790673401638</v>
      </c>
      <c r="V32" s="70">
        <f t="shared" si="10"/>
        <v>0.91287092917527679</v>
      </c>
      <c r="W32" s="70">
        <f t="shared" si="11"/>
        <v>0.91287092917527679</v>
      </c>
      <c r="X32" s="70">
        <f t="shared" si="12"/>
        <v>0</v>
      </c>
      <c r="Y32" s="70">
        <f t="shared" si="13"/>
        <v>1.2909944487358056</v>
      </c>
      <c r="Z32" s="70">
        <f t="shared" si="14"/>
        <v>0</v>
      </c>
      <c r="AA32" s="69" t="str">
        <f t="shared" si="15"/>
        <v>Negligible</v>
      </c>
      <c r="AB32" s="69" t="str">
        <f t="shared" si="16"/>
        <v>Tidak Ada Indikasi Bias</v>
      </c>
    </row>
    <row r="33" spans="1:28" ht="37.5" customHeight="1" x14ac:dyDescent="0.35">
      <c r="A33" s="71" t="str">
        <f>TKO!A27</f>
        <v>23. Apa yang bisa menjadi hasil dari tidak memperhatikan standar kompetensi yang diperlukan untuk mendukung tugas dan fungsi jabatan di perguruan tinggi</v>
      </c>
      <c r="B33" s="69">
        <f>TKO!B27</f>
        <v>1</v>
      </c>
      <c r="C33" s="69">
        <f>TKO!C27</f>
        <v>0</v>
      </c>
      <c r="D33" s="69">
        <f>TKO!D27</f>
        <v>1</v>
      </c>
      <c r="E33" s="69">
        <f>TKO!E27</f>
        <v>0</v>
      </c>
      <c r="F33" s="69">
        <f>TKO!F27</f>
        <v>0</v>
      </c>
      <c r="G33" s="69">
        <f>TKO!G27</f>
        <v>0</v>
      </c>
      <c r="H33" s="69">
        <f>TKO!H27</f>
        <v>0</v>
      </c>
      <c r="I33" s="69">
        <f>TKO!I27</f>
        <v>0</v>
      </c>
      <c r="J33" s="69">
        <f>TKO!J27</f>
        <v>0</v>
      </c>
      <c r="K33" s="69">
        <f>TKO!K27</f>
        <v>0</v>
      </c>
      <c r="L33" s="69">
        <f t="shared" si="0"/>
        <v>5</v>
      </c>
      <c r="M33" s="69">
        <f t="shared" si="1"/>
        <v>5</v>
      </c>
      <c r="N33" s="69">
        <f t="shared" si="2"/>
        <v>1</v>
      </c>
      <c r="O33" s="69">
        <f t="shared" si="3"/>
        <v>1</v>
      </c>
      <c r="P33" s="69">
        <f t="shared" si="4"/>
        <v>1</v>
      </c>
      <c r="Q33" s="69">
        <f t="shared" si="5"/>
        <v>1</v>
      </c>
      <c r="R33" s="70">
        <f t="shared" si="6"/>
        <v>1.3862943611198906</v>
      </c>
      <c r="S33" s="70">
        <f t="shared" si="7"/>
        <v>1.3862943611198906</v>
      </c>
      <c r="T33" s="70">
        <f t="shared" si="8"/>
        <v>1.2676671597457425</v>
      </c>
      <c r="U33" s="70">
        <f t="shared" si="9"/>
        <v>1.2676671597457425</v>
      </c>
      <c r="V33" s="70">
        <f t="shared" si="10"/>
        <v>1.1180339887498949</v>
      </c>
      <c r="W33" s="70">
        <f t="shared" si="11"/>
        <v>1.1180339887498949</v>
      </c>
      <c r="X33" s="70">
        <f t="shared" si="12"/>
        <v>0</v>
      </c>
      <c r="Y33" s="70">
        <f t="shared" si="13"/>
        <v>1.5811388300841898</v>
      </c>
      <c r="Z33" s="70">
        <f t="shared" si="14"/>
        <v>0</v>
      </c>
      <c r="AA33" s="69" t="str">
        <f t="shared" si="15"/>
        <v>Negligible</v>
      </c>
      <c r="AB33" s="69" t="str">
        <f t="shared" si="16"/>
        <v>Tidak Ada Indikasi Bias</v>
      </c>
    </row>
    <row r="34" spans="1:28" ht="62.5" x14ac:dyDescent="0.35">
      <c r="A34" s="71" t="str">
        <f>TKO!A28</f>
        <v>24. Metode apa yang dapat digunakan untuk penempatan sumber daya pelaksanaan kegiatan dalam konteks pencapaian target di sebuah organisasi pendidikan</v>
      </c>
      <c r="B34" s="69">
        <f>TKO!B28</f>
        <v>0</v>
      </c>
      <c r="C34" s="69">
        <f>TKO!C28</f>
        <v>0</v>
      </c>
      <c r="D34" s="69">
        <f>TKO!D28</f>
        <v>1</v>
      </c>
      <c r="E34" s="69">
        <f>TKO!E28</f>
        <v>0</v>
      </c>
      <c r="F34" s="69">
        <f>TKO!F28</f>
        <v>0</v>
      </c>
      <c r="G34" s="69">
        <f>TKO!G28</f>
        <v>1</v>
      </c>
      <c r="H34" s="69">
        <f>TKO!H28</f>
        <v>1</v>
      </c>
      <c r="I34" s="69">
        <f>TKO!I28</f>
        <v>0</v>
      </c>
      <c r="J34" s="69">
        <f>TKO!J28</f>
        <v>0</v>
      </c>
      <c r="K34" s="69">
        <f>TKO!K28</f>
        <v>1</v>
      </c>
      <c r="L34" s="69">
        <f t="shared" si="0"/>
        <v>5</v>
      </c>
      <c r="M34" s="69">
        <f t="shared" si="1"/>
        <v>5</v>
      </c>
      <c r="N34" s="69">
        <f t="shared" si="2"/>
        <v>2</v>
      </c>
      <c r="O34" s="69">
        <f t="shared" si="3"/>
        <v>2</v>
      </c>
      <c r="P34" s="69">
        <f t="shared" si="4"/>
        <v>2</v>
      </c>
      <c r="Q34" s="69">
        <f t="shared" si="5"/>
        <v>2</v>
      </c>
      <c r="R34" s="70">
        <f t="shared" si="6"/>
        <v>0.40546510810816438</v>
      </c>
      <c r="S34" s="70">
        <f t="shared" si="7"/>
        <v>0.40546510810816438</v>
      </c>
      <c r="T34" s="70">
        <f t="shared" si="8"/>
        <v>0.28683790673401638</v>
      </c>
      <c r="U34" s="70">
        <f t="shared" si="9"/>
        <v>0.28683790673401638</v>
      </c>
      <c r="V34" s="70">
        <f t="shared" si="10"/>
        <v>0.91287092917527679</v>
      </c>
      <c r="W34" s="70">
        <f t="shared" si="11"/>
        <v>0.91287092917527679</v>
      </c>
      <c r="X34" s="70">
        <f t="shared" si="12"/>
        <v>0</v>
      </c>
      <c r="Y34" s="70">
        <f t="shared" si="13"/>
        <v>1.2909944487358056</v>
      </c>
      <c r="Z34" s="70">
        <f t="shared" si="14"/>
        <v>0</v>
      </c>
      <c r="AA34" s="69" t="str">
        <f t="shared" si="15"/>
        <v>Negligible</v>
      </c>
      <c r="AB34" s="69" t="str">
        <f t="shared" si="16"/>
        <v>Tidak Ada Indikasi Bias</v>
      </c>
    </row>
    <row r="35" spans="1:28" ht="50" x14ac:dyDescent="0.35">
      <c r="A35" s="71" t="str">
        <f>TKO!A29</f>
        <v>25. Bagaimana penempatan sumber daya pelaksanaan kegiatan dapat berkontribusi terhadap pencapaian target dalam sebuah organisasi pendidikan di perguruan tinggi</v>
      </c>
      <c r="B35" s="69">
        <f>TKO!B29</f>
        <v>0</v>
      </c>
      <c r="C35" s="69">
        <f>TKO!C29</f>
        <v>1</v>
      </c>
      <c r="D35" s="69">
        <f>TKO!D29</f>
        <v>0</v>
      </c>
      <c r="E35" s="69">
        <f>TKO!E29</f>
        <v>1</v>
      </c>
      <c r="F35" s="69">
        <f>TKO!F29</f>
        <v>1</v>
      </c>
      <c r="G35" s="69">
        <f>TKO!G29</f>
        <v>1</v>
      </c>
      <c r="H35" s="69">
        <f>TKO!H29</f>
        <v>1</v>
      </c>
      <c r="I35" s="69">
        <f>TKO!I29</f>
        <v>1</v>
      </c>
      <c r="J35" s="69">
        <f>TKO!J29</f>
        <v>1</v>
      </c>
      <c r="K35" s="69">
        <f>TKO!K29</f>
        <v>1</v>
      </c>
      <c r="L35" s="69">
        <f t="shared" si="0"/>
        <v>5</v>
      </c>
      <c r="M35" s="69">
        <f t="shared" si="1"/>
        <v>5</v>
      </c>
      <c r="N35" s="69">
        <f t="shared" si="2"/>
        <v>4</v>
      </c>
      <c r="O35" s="69">
        <f t="shared" si="3"/>
        <v>4</v>
      </c>
      <c r="P35" s="69">
        <f t="shared" si="4"/>
        <v>4</v>
      </c>
      <c r="Q35" s="69">
        <f t="shared" si="5"/>
        <v>4</v>
      </c>
      <c r="R35" s="70">
        <f t="shared" si="6"/>
        <v>-1.3862943611198906</v>
      </c>
      <c r="S35" s="70">
        <f t="shared" si="7"/>
        <v>-1.3862943611198906</v>
      </c>
      <c r="T35" s="70">
        <f t="shared" si="8"/>
        <v>-1.5049215624940386</v>
      </c>
      <c r="U35" s="70">
        <f t="shared" si="9"/>
        <v>-1.5049215624940386</v>
      </c>
      <c r="V35" s="70">
        <f t="shared" si="10"/>
        <v>1.1180339887498949</v>
      </c>
      <c r="W35" s="70">
        <f t="shared" si="11"/>
        <v>1.1180339887498949</v>
      </c>
      <c r="X35" s="70">
        <f t="shared" si="12"/>
        <v>0</v>
      </c>
      <c r="Y35" s="70">
        <f t="shared" si="13"/>
        <v>1.5811388300841898</v>
      </c>
      <c r="Z35" s="70">
        <f t="shared" si="14"/>
        <v>0</v>
      </c>
      <c r="AA35" s="69" t="str">
        <f t="shared" si="15"/>
        <v>Negligible</v>
      </c>
      <c r="AB35" s="69" t="str">
        <f t="shared" si="16"/>
        <v>Tidak Ada Indikasi Bias</v>
      </c>
    </row>
    <row r="36" spans="1:28" ht="37.5" customHeight="1" x14ac:dyDescent="0.35">
      <c r="A36" s="71" t="str">
        <f>TKO!A30</f>
        <v>26. Apa yang dimaksud dengan ketercapaian target proses bisnis pada perguruan tinggi</v>
      </c>
      <c r="B36" s="69">
        <f>TKO!B30</f>
        <v>0</v>
      </c>
      <c r="C36" s="69">
        <f>TKO!C30</f>
        <v>1</v>
      </c>
      <c r="D36" s="69">
        <f>TKO!D30</f>
        <v>0</v>
      </c>
      <c r="E36" s="69">
        <f>TKO!E30</f>
        <v>1</v>
      </c>
      <c r="F36" s="69">
        <f>TKO!F30</f>
        <v>1</v>
      </c>
      <c r="G36" s="69">
        <f>TKO!G30</f>
        <v>1</v>
      </c>
      <c r="H36" s="69">
        <f>TKO!H30</f>
        <v>1</v>
      </c>
      <c r="I36" s="69">
        <f>TKO!I30</f>
        <v>1</v>
      </c>
      <c r="J36" s="69">
        <f>TKO!J30</f>
        <v>1</v>
      </c>
      <c r="K36" s="69">
        <f>TKO!K30</f>
        <v>1</v>
      </c>
      <c r="L36" s="69">
        <f t="shared" si="0"/>
        <v>5</v>
      </c>
      <c r="M36" s="69">
        <f t="shared" si="1"/>
        <v>5</v>
      </c>
      <c r="N36" s="69">
        <f t="shared" si="2"/>
        <v>4</v>
      </c>
      <c r="O36" s="69">
        <f t="shared" si="3"/>
        <v>4</v>
      </c>
      <c r="P36" s="69">
        <f t="shared" si="4"/>
        <v>4</v>
      </c>
      <c r="Q36" s="69">
        <f t="shared" si="5"/>
        <v>4</v>
      </c>
      <c r="R36" s="70">
        <f t="shared" si="6"/>
        <v>-1.3862943611198906</v>
      </c>
      <c r="S36" s="70">
        <f t="shared" si="7"/>
        <v>-1.3862943611198906</v>
      </c>
      <c r="T36" s="70">
        <f t="shared" si="8"/>
        <v>-1.5049215624940386</v>
      </c>
      <c r="U36" s="70">
        <f t="shared" si="9"/>
        <v>-1.5049215624940386</v>
      </c>
      <c r="V36" s="70">
        <f t="shared" si="10"/>
        <v>1.1180339887498949</v>
      </c>
      <c r="W36" s="70">
        <f t="shared" si="11"/>
        <v>1.1180339887498949</v>
      </c>
      <c r="X36" s="70">
        <f t="shared" si="12"/>
        <v>0</v>
      </c>
      <c r="Y36" s="70">
        <f t="shared" si="13"/>
        <v>1.5811388300841898</v>
      </c>
      <c r="Z36" s="70">
        <f t="shared" si="14"/>
        <v>0</v>
      </c>
      <c r="AA36" s="69" t="str">
        <f t="shared" si="15"/>
        <v>Negligible</v>
      </c>
      <c r="AB36" s="69" t="str">
        <f t="shared" si="16"/>
        <v>Tidak Ada Indikasi Bias</v>
      </c>
    </row>
    <row r="37" spans="1:28" ht="37.5" customHeight="1" x14ac:dyDescent="0.35">
      <c r="A37" s="71" t="str">
        <f>TKO!A31</f>
        <v>27. Bagaimana proses pengukuran ketercapaian target proses bisnis pada perguruan tinggi biasanya dilakukan</v>
      </c>
      <c r="B37" s="69">
        <f>TKO!B31</f>
        <v>1</v>
      </c>
      <c r="C37" s="69">
        <f>TKO!C31</f>
        <v>1</v>
      </c>
      <c r="D37" s="69">
        <f>TKO!D31</f>
        <v>1</v>
      </c>
      <c r="E37" s="69">
        <f>TKO!E31</f>
        <v>0</v>
      </c>
      <c r="F37" s="69">
        <f>TKO!F31</f>
        <v>0</v>
      </c>
      <c r="G37" s="69">
        <f>TKO!G31</f>
        <v>0</v>
      </c>
      <c r="H37" s="69">
        <f>TKO!H31</f>
        <v>0</v>
      </c>
      <c r="I37" s="69">
        <f>TKO!I31</f>
        <v>0</v>
      </c>
      <c r="J37" s="69">
        <f>TKO!J31</f>
        <v>1</v>
      </c>
      <c r="K37" s="69">
        <f>TKO!K31</f>
        <v>0</v>
      </c>
      <c r="L37" s="69">
        <f t="shared" si="0"/>
        <v>5</v>
      </c>
      <c r="M37" s="69">
        <f t="shared" si="1"/>
        <v>5</v>
      </c>
      <c r="N37" s="69">
        <f t="shared" si="2"/>
        <v>2</v>
      </c>
      <c r="O37" s="69">
        <f t="shared" si="3"/>
        <v>2</v>
      </c>
      <c r="P37" s="69">
        <f t="shared" si="4"/>
        <v>2</v>
      </c>
      <c r="Q37" s="69">
        <f t="shared" si="5"/>
        <v>2</v>
      </c>
      <c r="R37" s="70">
        <f t="shared" si="6"/>
        <v>0.40546510810816438</v>
      </c>
      <c r="S37" s="70">
        <f t="shared" si="7"/>
        <v>0.40546510810816438</v>
      </c>
      <c r="T37" s="70">
        <f t="shared" si="8"/>
        <v>0.28683790673401638</v>
      </c>
      <c r="U37" s="70">
        <f t="shared" si="9"/>
        <v>0.28683790673401638</v>
      </c>
      <c r="V37" s="70">
        <f t="shared" si="10"/>
        <v>0.91287092917527679</v>
      </c>
      <c r="W37" s="70">
        <f t="shared" si="11"/>
        <v>0.91287092917527679</v>
      </c>
      <c r="X37" s="70">
        <f t="shared" si="12"/>
        <v>0</v>
      </c>
      <c r="Y37" s="70">
        <f t="shared" si="13"/>
        <v>1.2909944487358056</v>
      </c>
      <c r="Z37" s="70">
        <f t="shared" si="14"/>
        <v>0</v>
      </c>
      <c r="AA37" s="69" t="str">
        <f t="shared" si="15"/>
        <v>Negligible</v>
      </c>
      <c r="AB37" s="69" t="str">
        <f t="shared" si="16"/>
        <v>Tidak Ada Indikasi Bias</v>
      </c>
    </row>
    <row r="38" spans="1:28" ht="50" x14ac:dyDescent="0.35">
      <c r="A38" s="71" t="str">
        <f>TKO!A32</f>
        <v>28. Apa yang biasanya menjadi hasil dari umpan balik yang diperoleh dari pihak terkait terhadap hasil pengukuran tindakan strategi bisnis perguruan tinggi</v>
      </c>
      <c r="B38" s="69">
        <f>TKO!B32</f>
        <v>0</v>
      </c>
      <c r="C38" s="69">
        <f>TKO!C32</f>
        <v>0</v>
      </c>
      <c r="D38" s="69">
        <f>TKO!D32</f>
        <v>0</v>
      </c>
      <c r="E38" s="69">
        <f>TKO!E32</f>
        <v>0</v>
      </c>
      <c r="F38" s="69">
        <f>TKO!F32</f>
        <v>0</v>
      </c>
      <c r="G38" s="69">
        <f>TKO!G32</f>
        <v>0</v>
      </c>
      <c r="H38" s="69">
        <f>TKO!H32</f>
        <v>0</v>
      </c>
      <c r="I38" s="69">
        <f>TKO!I32</f>
        <v>1</v>
      </c>
      <c r="J38" s="69">
        <f>TKO!J32</f>
        <v>0</v>
      </c>
      <c r="K38" s="69">
        <f>TKO!K32</f>
        <v>1</v>
      </c>
      <c r="L38" s="69">
        <f t="shared" si="0"/>
        <v>5</v>
      </c>
      <c r="M38" s="69">
        <f t="shared" si="1"/>
        <v>5</v>
      </c>
      <c r="N38" s="69">
        <f t="shared" si="2"/>
        <v>1</v>
      </c>
      <c r="O38" s="69">
        <f t="shared" si="3"/>
        <v>1</v>
      </c>
      <c r="P38" s="69">
        <f t="shared" si="4"/>
        <v>1</v>
      </c>
      <c r="Q38" s="69">
        <f t="shared" si="5"/>
        <v>1</v>
      </c>
      <c r="R38" s="70">
        <f t="shared" si="6"/>
        <v>1.3862943611198906</v>
      </c>
      <c r="S38" s="70">
        <f t="shared" si="7"/>
        <v>1.3862943611198906</v>
      </c>
      <c r="T38" s="70">
        <f t="shared" si="8"/>
        <v>1.2676671597457425</v>
      </c>
      <c r="U38" s="70">
        <f t="shared" si="9"/>
        <v>1.2676671597457425</v>
      </c>
      <c r="V38" s="70">
        <f t="shared" si="10"/>
        <v>1.1180339887498949</v>
      </c>
      <c r="W38" s="70">
        <f t="shared" si="11"/>
        <v>1.1180339887498949</v>
      </c>
      <c r="X38" s="70">
        <f t="shared" si="12"/>
        <v>0</v>
      </c>
      <c r="Y38" s="70">
        <f t="shared" si="13"/>
        <v>1.5811388300841898</v>
      </c>
      <c r="Z38" s="70">
        <f t="shared" si="14"/>
        <v>0</v>
      </c>
      <c r="AA38" s="69" t="str">
        <f t="shared" si="15"/>
        <v>Negligible</v>
      </c>
      <c r="AB38" s="69" t="str">
        <f t="shared" si="16"/>
        <v>Tidak Ada Indikasi Bias</v>
      </c>
    </row>
    <row r="39" spans="1:28" ht="62.5" x14ac:dyDescent="0.35">
      <c r="A39" s="71" t="str">
        <f>TKO!A33</f>
        <v>29. Apa yang bisa menjadi konsekuensi dari tidak mengambil kesimpulan akhir dari evaluasi rencana strategi berdasarkan rencana, tindakan, dan monitoring strategi secara terintegrasi</v>
      </c>
      <c r="B39" s="69">
        <f>TKO!B33</f>
        <v>0</v>
      </c>
      <c r="C39" s="69">
        <f>TKO!C33</f>
        <v>0</v>
      </c>
      <c r="D39" s="69">
        <f>TKO!D33</f>
        <v>0</v>
      </c>
      <c r="E39" s="69">
        <f>TKO!E33</f>
        <v>1</v>
      </c>
      <c r="F39" s="69">
        <f>TKO!F33</f>
        <v>0</v>
      </c>
      <c r="G39" s="69">
        <f>TKO!G33</f>
        <v>0</v>
      </c>
      <c r="H39" s="69">
        <f>TKO!H33</f>
        <v>1</v>
      </c>
      <c r="I39" s="69">
        <f>TKO!I33</f>
        <v>1</v>
      </c>
      <c r="J39" s="69">
        <f>TKO!J33</f>
        <v>1</v>
      </c>
      <c r="K39" s="69">
        <f>TKO!K33</f>
        <v>0</v>
      </c>
      <c r="L39" s="69">
        <f t="shared" si="0"/>
        <v>5</v>
      </c>
      <c r="M39" s="69">
        <f t="shared" si="1"/>
        <v>5</v>
      </c>
      <c r="N39" s="69">
        <f t="shared" si="2"/>
        <v>2</v>
      </c>
      <c r="O39" s="69">
        <f t="shared" si="3"/>
        <v>2</v>
      </c>
      <c r="P39" s="69">
        <f t="shared" si="4"/>
        <v>2</v>
      </c>
      <c r="Q39" s="69">
        <f t="shared" si="5"/>
        <v>2</v>
      </c>
      <c r="R39" s="70">
        <f t="shared" si="6"/>
        <v>0.40546510810816438</v>
      </c>
      <c r="S39" s="70">
        <f t="shared" si="7"/>
        <v>0.40546510810816438</v>
      </c>
      <c r="T39" s="70">
        <f t="shared" si="8"/>
        <v>0.28683790673401638</v>
      </c>
      <c r="U39" s="70">
        <f t="shared" si="9"/>
        <v>0.28683790673401638</v>
      </c>
      <c r="V39" s="70">
        <f t="shared" si="10"/>
        <v>0.91287092917527679</v>
      </c>
      <c r="W39" s="70">
        <f t="shared" si="11"/>
        <v>0.91287092917527679</v>
      </c>
      <c r="X39" s="70">
        <f t="shared" si="12"/>
        <v>0</v>
      </c>
      <c r="Y39" s="70">
        <f t="shared" si="13"/>
        <v>1.2909944487358056</v>
      </c>
      <c r="Z39" s="70">
        <f t="shared" si="14"/>
        <v>0</v>
      </c>
      <c r="AA39" s="69" t="str">
        <f t="shared" si="15"/>
        <v>Negligible</v>
      </c>
      <c r="AB39" s="69" t="str">
        <f t="shared" si="16"/>
        <v>Tidak Ada Indikasi Bias</v>
      </c>
    </row>
    <row r="40" spans="1:28" ht="37.5" x14ac:dyDescent="0.35">
      <c r="A40" s="71" t="str">
        <f>TKO!A34</f>
        <v>30. Mengapa penting untuk menyusun rencana tindak lanjut berdasarkan evaluasi yang telah ditetapkan di perguruan tinggi</v>
      </c>
      <c r="B40" s="69">
        <f>TKO!B34</f>
        <v>1</v>
      </c>
      <c r="C40" s="69">
        <f>TKO!C34</f>
        <v>0</v>
      </c>
      <c r="D40" s="69">
        <f>TKO!D34</f>
        <v>0</v>
      </c>
      <c r="E40" s="69">
        <f>TKO!E34</f>
        <v>0</v>
      </c>
      <c r="F40" s="69">
        <f>TKO!F34</f>
        <v>0</v>
      </c>
      <c r="G40" s="69">
        <f>TKO!G34</f>
        <v>0</v>
      </c>
      <c r="H40" s="69">
        <f>TKO!H34</f>
        <v>1</v>
      </c>
      <c r="I40" s="69">
        <f>TKO!I34</f>
        <v>0</v>
      </c>
      <c r="J40" s="69">
        <f>TKO!J34</f>
        <v>1</v>
      </c>
      <c r="K40" s="69">
        <f>TKO!K34</f>
        <v>1</v>
      </c>
      <c r="L40" s="69">
        <f t="shared" si="0"/>
        <v>5</v>
      </c>
      <c r="M40" s="69">
        <f t="shared" si="1"/>
        <v>5</v>
      </c>
      <c r="N40" s="69">
        <f t="shared" si="2"/>
        <v>2</v>
      </c>
      <c r="O40" s="69">
        <f t="shared" si="3"/>
        <v>2</v>
      </c>
      <c r="P40" s="69">
        <f t="shared" si="4"/>
        <v>2</v>
      </c>
      <c r="Q40" s="69">
        <f t="shared" si="5"/>
        <v>2</v>
      </c>
      <c r="R40" s="70">
        <f t="shared" si="6"/>
        <v>0.40546510810816438</v>
      </c>
      <c r="S40" s="70">
        <f t="shared" si="7"/>
        <v>0.40546510810816438</v>
      </c>
      <c r="T40" s="70">
        <f t="shared" si="8"/>
        <v>0.28683790673401638</v>
      </c>
      <c r="U40" s="70">
        <f t="shared" si="9"/>
        <v>0.28683790673401638</v>
      </c>
      <c r="V40" s="70">
        <f t="shared" si="10"/>
        <v>0.91287092917527679</v>
      </c>
      <c r="W40" s="70">
        <f t="shared" si="11"/>
        <v>0.91287092917527679</v>
      </c>
      <c r="X40" s="70">
        <f t="shared" si="12"/>
        <v>0</v>
      </c>
      <c r="Y40" s="70">
        <f t="shared" si="13"/>
        <v>1.2909944487358056</v>
      </c>
      <c r="Z40" s="70">
        <f t="shared" si="14"/>
        <v>0</v>
      </c>
      <c r="AA40" s="69" t="str">
        <f t="shared" si="15"/>
        <v>Negligible</v>
      </c>
      <c r="AB40" s="69" t="str">
        <f t="shared" si="16"/>
        <v>Tidak Ada Indikasi Bias</v>
      </c>
    </row>
    <row r="41" spans="1:28" ht="50" x14ac:dyDescent="0.35">
      <c r="A41" s="71" t="str">
        <f>TKO!A35</f>
        <v>31. Apa yang bisa menjadi konsekuensi dari tidak melakukan verifikasi dan validasi rencana tindak lanjut setelah penyusunannya</v>
      </c>
      <c r="B41" s="69">
        <f>TKO!B35</f>
        <v>1</v>
      </c>
      <c r="C41" s="69">
        <f>TKO!C35</f>
        <v>0</v>
      </c>
      <c r="D41" s="69">
        <f>TKO!D35</f>
        <v>0</v>
      </c>
      <c r="E41" s="69">
        <f>TKO!E35</f>
        <v>0</v>
      </c>
      <c r="F41" s="69">
        <f>TKO!F35</f>
        <v>1</v>
      </c>
      <c r="G41" s="69">
        <f>TKO!G35</f>
        <v>0</v>
      </c>
      <c r="H41" s="69">
        <f>TKO!H35</f>
        <v>0</v>
      </c>
      <c r="I41" s="69">
        <f>TKO!I35</f>
        <v>0</v>
      </c>
      <c r="J41" s="69">
        <f>TKO!J35</f>
        <v>0</v>
      </c>
      <c r="K41" s="69">
        <f>TKO!K35</f>
        <v>0</v>
      </c>
      <c r="L41" s="69">
        <f t="shared" si="0"/>
        <v>5</v>
      </c>
      <c r="M41" s="69">
        <f t="shared" si="1"/>
        <v>5</v>
      </c>
      <c r="N41" s="69">
        <f t="shared" si="2"/>
        <v>1</v>
      </c>
      <c r="O41" s="69">
        <f t="shared" si="3"/>
        <v>1</v>
      </c>
      <c r="P41" s="69">
        <f t="shared" si="4"/>
        <v>1</v>
      </c>
      <c r="Q41" s="69">
        <f t="shared" si="5"/>
        <v>1</v>
      </c>
      <c r="R41" s="70">
        <f t="shared" si="6"/>
        <v>1.3862943611198906</v>
      </c>
      <c r="S41" s="70">
        <f t="shared" si="7"/>
        <v>1.3862943611198906</v>
      </c>
      <c r="T41" s="70">
        <f t="shared" si="8"/>
        <v>1.2676671597457425</v>
      </c>
      <c r="U41" s="70">
        <f t="shared" si="9"/>
        <v>1.2676671597457425</v>
      </c>
      <c r="V41" s="70">
        <f t="shared" si="10"/>
        <v>1.1180339887498949</v>
      </c>
      <c r="W41" s="70">
        <f t="shared" si="11"/>
        <v>1.1180339887498949</v>
      </c>
      <c r="X41" s="70">
        <f t="shared" si="12"/>
        <v>0</v>
      </c>
      <c r="Y41" s="70">
        <f t="shared" si="13"/>
        <v>1.5811388300841898</v>
      </c>
      <c r="Z41" s="70">
        <f t="shared" si="14"/>
        <v>0</v>
      </c>
      <c r="AA41" s="69" t="str">
        <f t="shared" si="15"/>
        <v>Negligible</v>
      </c>
      <c r="AB41" s="69" t="str">
        <f t="shared" si="16"/>
        <v>Tidak Ada Indikasi Bias</v>
      </c>
    </row>
    <row r="42" spans="1:28" ht="50" x14ac:dyDescent="0.35">
      <c r="A42" s="71" t="str">
        <f>TKO!A36</f>
        <v>32. Tata pamong PT yang efektif terjadi jika PT dalam menyelenggarakan aktivitasnya menerapkan prinsip tata pamong, yaitu</v>
      </c>
      <c r="B42" s="69">
        <f>TKO!B36</f>
        <v>1</v>
      </c>
      <c r="C42" s="69">
        <f>TKO!C36</f>
        <v>1</v>
      </c>
      <c r="D42" s="69">
        <f>TKO!D36</f>
        <v>0</v>
      </c>
      <c r="E42" s="69">
        <f>TKO!E36</f>
        <v>1</v>
      </c>
      <c r="F42" s="69">
        <f>TKO!F36</f>
        <v>1</v>
      </c>
      <c r="G42" s="69">
        <f>TKO!G36</f>
        <v>0</v>
      </c>
      <c r="H42" s="69">
        <f>TKO!H36</f>
        <v>1</v>
      </c>
      <c r="I42" s="69">
        <f>TKO!I36</f>
        <v>0</v>
      </c>
      <c r="J42" s="69">
        <f>TKO!J36</f>
        <v>0</v>
      </c>
      <c r="K42" s="69">
        <f>TKO!K36</f>
        <v>1</v>
      </c>
      <c r="L42" s="69">
        <f t="shared" si="0"/>
        <v>5</v>
      </c>
      <c r="M42" s="69">
        <f t="shared" si="1"/>
        <v>5</v>
      </c>
      <c r="N42" s="69">
        <f t="shared" si="2"/>
        <v>3</v>
      </c>
      <c r="O42" s="69">
        <f t="shared" si="3"/>
        <v>3</v>
      </c>
      <c r="P42" s="69">
        <f t="shared" si="4"/>
        <v>3</v>
      </c>
      <c r="Q42" s="69">
        <f t="shared" si="5"/>
        <v>3</v>
      </c>
      <c r="R42" s="70">
        <f t="shared" si="6"/>
        <v>-0.40546510810816444</v>
      </c>
      <c r="S42" s="70">
        <f t="shared" si="7"/>
        <v>-0.40546510810816444</v>
      </c>
      <c r="T42" s="70">
        <f t="shared" si="8"/>
        <v>-0.52409230948231245</v>
      </c>
      <c r="U42" s="70">
        <f t="shared" si="9"/>
        <v>-0.52409230948231245</v>
      </c>
      <c r="V42" s="70">
        <f t="shared" si="10"/>
        <v>0.91287092917527679</v>
      </c>
      <c r="W42" s="70">
        <f t="shared" si="11"/>
        <v>0.91287092917527679</v>
      </c>
      <c r="X42" s="70">
        <f t="shared" si="12"/>
        <v>0</v>
      </c>
      <c r="Y42" s="70">
        <f t="shared" si="13"/>
        <v>1.2909944487358056</v>
      </c>
      <c r="Z42" s="70">
        <f t="shared" si="14"/>
        <v>0</v>
      </c>
      <c r="AA42" s="69" t="str">
        <f t="shared" si="15"/>
        <v>Negligible</v>
      </c>
      <c r="AB42" s="69" t="str">
        <f t="shared" si="16"/>
        <v>Tidak Ada Indikasi Bias</v>
      </c>
    </row>
    <row r="43" spans="1:28" ht="37.5" x14ac:dyDescent="0.35">
      <c r="A43" s="71" t="str">
        <f>TKO!A37</f>
        <v>33. Instrumen dan perangkat pendukung dalam melaksanakan pekerjaan pada organisasi Pendidikan tinggi adalah</v>
      </c>
      <c r="B43" s="69">
        <f>TKO!B37</f>
        <v>1</v>
      </c>
      <c r="C43" s="69">
        <f>TKO!C37</f>
        <v>1</v>
      </c>
      <c r="D43" s="69">
        <f>TKO!D37</f>
        <v>1</v>
      </c>
      <c r="E43" s="69">
        <f>TKO!E37</f>
        <v>1</v>
      </c>
      <c r="F43" s="69">
        <f>TKO!F37</f>
        <v>1</v>
      </c>
      <c r="G43" s="69">
        <f>TKO!G37</f>
        <v>0</v>
      </c>
      <c r="H43" s="69">
        <f>TKO!H37</f>
        <v>1</v>
      </c>
      <c r="I43" s="69">
        <f>TKO!I37</f>
        <v>1</v>
      </c>
      <c r="J43" s="69">
        <f>TKO!J37</f>
        <v>0</v>
      </c>
      <c r="K43" s="69">
        <f>TKO!K37</f>
        <v>1</v>
      </c>
      <c r="L43" s="69">
        <f t="shared" ref="L43:L74" si="17">COUNTIF($B$8:$K$8,"Laki-Laki")</f>
        <v>5</v>
      </c>
      <c r="M43" s="69">
        <f t="shared" ref="M43:M74" si="18">COUNTIF($B$8:$K$8,"Perempuan")</f>
        <v>5</v>
      </c>
      <c r="N43" s="69">
        <f t="shared" ref="N43:N74" si="19">SUMIF($B$8:$K$8,"Laki-Laki",B43:K43)</f>
        <v>4</v>
      </c>
      <c r="O43" s="69">
        <f t="shared" ref="O43:O74" si="20">SUMIF($B$8:$K$8,"Perempuan",B43:K43)</f>
        <v>4</v>
      </c>
      <c r="P43" s="69">
        <f t="shared" ref="P43:P74" si="21">IF(N43=0,0.3,IF(N43=L43,L43-0.3,N43))</f>
        <v>4</v>
      </c>
      <c r="Q43" s="69">
        <f t="shared" ref="Q43:Q74" si="22">IF(O43=0,0.3,IF(O43=M43,M43-0.3,O43))</f>
        <v>4</v>
      </c>
      <c r="R43" s="70">
        <f t="shared" ref="R43:R74" si="23">LN((L43-P43)/P43)</f>
        <v>-1.3862943611198906</v>
      </c>
      <c r="S43" s="70">
        <f t="shared" ref="S43:S74" si="24">LN((M43-Q43)/Q43)</f>
        <v>-1.3862943611198906</v>
      </c>
      <c r="T43" s="70">
        <f t="shared" ref="T43:T74" si="25">R43-AVERAGE($R$11:$R$110)</f>
        <v>-1.5049215624940386</v>
      </c>
      <c r="U43" s="70">
        <f t="shared" ref="U43:U74" si="26">S43-AVERAGE($S$11:$S$110)</f>
        <v>-1.5049215624940386</v>
      </c>
      <c r="V43" s="70">
        <f t="shared" ref="V43:V74" si="27">SQRT(1/P43+1/(L43-P43))</f>
        <v>1.1180339887498949</v>
      </c>
      <c r="W43" s="70">
        <f t="shared" ref="W43:W74" si="28">SQRT(1/Q43+1/(M43-Q43))</f>
        <v>1.1180339887498949</v>
      </c>
      <c r="X43" s="70">
        <f t="shared" ref="X43:X74" si="29">T43-U43</f>
        <v>0</v>
      </c>
      <c r="Y43" s="70">
        <f t="shared" ref="Y43:Y74" si="30">SQRT(V43^2+W43^2)</f>
        <v>1.5811388300841898</v>
      </c>
      <c r="Z43" s="70">
        <f t="shared" ref="Z43:Z74" si="31">X43/Y43</f>
        <v>0</v>
      </c>
      <c r="AA43" s="69" t="str">
        <f t="shared" ref="AA43:AA74" si="32">IF(AND(ABS(X43)&gt;=$B$4,ABS(Z43)&gt;=$B$5),"DIF Besar - review",IF(AND(ABS(X43)&gt;=$B$3,ABS(Z43)&gt;=$B$5),"DIF Moderat - cek","Negligible"))</f>
        <v>Negligible</v>
      </c>
      <c r="AB43" s="69" t="str">
        <f t="shared" ref="AB43:AB74" si="33">IF(ABS(X43)&gt;=$B$4,"Berpotensi Bias - Tinjau Konten",IF(ABS(X43)&gt;=$B$3,"Indikasi Ringan - Pantau","Tidak Ada Indikasi Bias"))</f>
        <v>Tidak Ada Indikasi Bias</v>
      </c>
    </row>
    <row r="44" spans="1:28" ht="37.5" x14ac:dyDescent="0.35">
      <c r="A44" s="71" t="str">
        <f>TKO!A38</f>
        <v>34. Efektivitas, efisiensi, dan produktivitas dalam konteks pengelolaan perguruan tinggi dapat dicapai dengan cara</v>
      </c>
      <c r="B44" s="69">
        <f>TKO!B38</f>
        <v>0</v>
      </c>
      <c r="C44" s="69">
        <f>TKO!C38</f>
        <v>0</v>
      </c>
      <c r="D44" s="69">
        <f>TKO!D38</f>
        <v>1</v>
      </c>
      <c r="E44" s="69">
        <f>TKO!E38</f>
        <v>0</v>
      </c>
      <c r="F44" s="69">
        <f>TKO!F38</f>
        <v>0</v>
      </c>
      <c r="G44" s="69">
        <f>TKO!G38</f>
        <v>0</v>
      </c>
      <c r="H44" s="69">
        <f>TKO!H38</f>
        <v>1</v>
      </c>
      <c r="I44" s="69">
        <f>TKO!I38</f>
        <v>1</v>
      </c>
      <c r="J44" s="69">
        <f>TKO!J38</f>
        <v>1</v>
      </c>
      <c r="K44" s="69">
        <f>TKO!K38</f>
        <v>0</v>
      </c>
      <c r="L44" s="69">
        <f t="shared" si="17"/>
        <v>5</v>
      </c>
      <c r="M44" s="69">
        <f t="shared" si="18"/>
        <v>5</v>
      </c>
      <c r="N44" s="69">
        <f t="shared" si="19"/>
        <v>2</v>
      </c>
      <c r="O44" s="69">
        <f t="shared" si="20"/>
        <v>2</v>
      </c>
      <c r="P44" s="69">
        <f t="shared" si="21"/>
        <v>2</v>
      </c>
      <c r="Q44" s="69">
        <f t="shared" si="22"/>
        <v>2</v>
      </c>
      <c r="R44" s="70">
        <f t="shared" si="23"/>
        <v>0.40546510810816438</v>
      </c>
      <c r="S44" s="70">
        <f t="shared" si="24"/>
        <v>0.40546510810816438</v>
      </c>
      <c r="T44" s="70">
        <f t="shared" si="25"/>
        <v>0.28683790673401638</v>
      </c>
      <c r="U44" s="70">
        <f t="shared" si="26"/>
        <v>0.28683790673401638</v>
      </c>
      <c r="V44" s="70">
        <f t="shared" si="27"/>
        <v>0.91287092917527679</v>
      </c>
      <c r="W44" s="70">
        <f t="shared" si="28"/>
        <v>0.91287092917527679</v>
      </c>
      <c r="X44" s="70">
        <f t="shared" si="29"/>
        <v>0</v>
      </c>
      <c r="Y44" s="70">
        <f t="shared" si="30"/>
        <v>1.2909944487358056</v>
      </c>
      <c r="Z44" s="70">
        <f t="shared" si="31"/>
        <v>0</v>
      </c>
      <c r="AA44" s="69" t="str">
        <f t="shared" si="32"/>
        <v>Negligible</v>
      </c>
      <c r="AB44" s="69" t="str">
        <f t="shared" si="33"/>
        <v>Tidak Ada Indikasi Bias</v>
      </c>
    </row>
    <row r="45" spans="1:28" ht="25" x14ac:dyDescent="0.35">
      <c r="A45" s="71" t="str">
        <f>TKO!A39</f>
        <v>35. Salah satu fungsi utama aturan etika dalam organisasi pendidikan adalah:</v>
      </c>
      <c r="B45" s="69">
        <f>TKO!B39</f>
        <v>1</v>
      </c>
      <c r="C45" s="69">
        <f>TKO!C39</f>
        <v>0</v>
      </c>
      <c r="D45" s="69">
        <f>TKO!D39</f>
        <v>0</v>
      </c>
      <c r="E45" s="69">
        <f>TKO!E39</f>
        <v>1</v>
      </c>
      <c r="F45" s="69">
        <f>TKO!F39</f>
        <v>1</v>
      </c>
      <c r="G45" s="69">
        <f>TKO!G39</f>
        <v>0</v>
      </c>
      <c r="H45" s="69">
        <f>TKO!H39</f>
        <v>1</v>
      </c>
      <c r="I45" s="69">
        <f>TKO!I39</f>
        <v>0</v>
      </c>
      <c r="J45" s="69">
        <f>TKO!J39</f>
        <v>0</v>
      </c>
      <c r="K45" s="69">
        <f>TKO!K39</f>
        <v>0</v>
      </c>
      <c r="L45" s="69">
        <f t="shared" si="17"/>
        <v>5</v>
      </c>
      <c r="M45" s="69">
        <f t="shared" si="18"/>
        <v>5</v>
      </c>
      <c r="N45" s="69">
        <f t="shared" si="19"/>
        <v>2</v>
      </c>
      <c r="O45" s="69">
        <f t="shared" si="20"/>
        <v>2</v>
      </c>
      <c r="P45" s="69">
        <f t="shared" si="21"/>
        <v>2</v>
      </c>
      <c r="Q45" s="69">
        <f t="shared" si="22"/>
        <v>2</v>
      </c>
      <c r="R45" s="70">
        <f t="shared" si="23"/>
        <v>0.40546510810816438</v>
      </c>
      <c r="S45" s="70">
        <f t="shared" si="24"/>
        <v>0.40546510810816438</v>
      </c>
      <c r="T45" s="70">
        <f t="shared" si="25"/>
        <v>0.28683790673401638</v>
      </c>
      <c r="U45" s="70">
        <f t="shared" si="26"/>
        <v>0.28683790673401638</v>
      </c>
      <c r="V45" s="70">
        <f t="shared" si="27"/>
        <v>0.91287092917527679</v>
      </c>
      <c r="W45" s="70">
        <f t="shared" si="28"/>
        <v>0.91287092917527679</v>
      </c>
      <c r="X45" s="70">
        <f t="shared" si="29"/>
        <v>0</v>
      </c>
      <c r="Y45" s="70">
        <f t="shared" si="30"/>
        <v>1.2909944487358056</v>
      </c>
      <c r="Z45" s="70">
        <f t="shared" si="31"/>
        <v>0</v>
      </c>
      <c r="AA45" s="69" t="str">
        <f t="shared" si="32"/>
        <v>Negligible</v>
      </c>
      <c r="AB45" s="69" t="str">
        <f t="shared" si="33"/>
        <v>Tidak Ada Indikasi Bias</v>
      </c>
    </row>
    <row r="46" spans="1:28" ht="25" x14ac:dyDescent="0.35">
      <c r="A46" s="71" t="str">
        <f>TKO!A40</f>
        <v>36. Salah satu tujuan standar kriteria pengangkatan pimpinan adalah</v>
      </c>
      <c r="B46" s="69">
        <f>TKO!B40</f>
        <v>1</v>
      </c>
      <c r="C46" s="69">
        <f>TKO!C40</f>
        <v>0</v>
      </c>
      <c r="D46" s="69">
        <f>TKO!D40</f>
        <v>0</v>
      </c>
      <c r="E46" s="69">
        <f>TKO!E40</f>
        <v>0</v>
      </c>
      <c r="F46" s="69">
        <f>TKO!F40</f>
        <v>0</v>
      </c>
      <c r="G46" s="69">
        <f>TKO!G40</f>
        <v>0</v>
      </c>
      <c r="H46" s="69">
        <f>TKO!H40</f>
        <v>1</v>
      </c>
      <c r="I46" s="69">
        <f>TKO!I40</f>
        <v>0</v>
      </c>
      <c r="J46" s="69">
        <f>TKO!J40</f>
        <v>1</v>
      </c>
      <c r="K46" s="69">
        <f>TKO!K40</f>
        <v>1</v>
      </c>
      <c r="L46" s="69">
        <f t="shared" si="17"/>
        <v>5</v>
      </c>
      <c r="M46" s="69">
        <f t="shared" si="18"/>
        <v>5</v>
      </c>
      <c r="N46" s="69">
        <f t="shared" si="19"/>
        <v>2</v>
      </c>
      <c r="O46" s="69">
        <f t="shared" si="20"/>
        <v>2</v>
      </c>
      <c r="P46" s="69">
        <f t="shared" si="21"/>
        <v>2</v>
      </c>
      <c r="Q46" s="69">
        <f t="shared" si="22"/>
        <v>2</v>
      </c>
      <c r="R46" s="70">
        <f t="shared" si="23"/>
        <v>0.40546510810816438</v>
      </c>
      <c r="S46" s="70">
        <f t="shared" si="24"/>
        <v>0.40546510810816438</v>
      </c>
      <c r="T46" s="70">
        <f t="shared" si="25"/>
        <v>0.28683790673401638</v>
      </c>
      <c r="U46" s="70">
        <f t="shared" si="26"/>
        <v>0.28683790673401638</v>
      </c>
      <c r="V46" s="70">
        <f t="shared" si="27"/>
        <v>0.91287092917527679</v>
      </c>
      <c r="W46" s="70">
        <f t="shared" si="28"/>
        <v>0.91287092917527679</v>
      </c>
      <c r="X46" s="70">
        <f t="shared" si="29"/>
        <v>0</v>
      </c>
      <c r="Y46" s="70">
        <f t="shared" si="30"/>
        <v>1.2909944487358056</v>
      </c>
      <c r="Z46" s="70">
        <f t="shared" si="31"/>
        <v>0</v>
      </c>
      <c r="AA46" s="69" t="str">
        <f t="shared" si="32"/>
        <v>Negligible</v>
      </c>
      <c r="AB46" s="69" t="str">
        <f t="shared" si="33"/>
        <v>Tidak Ada Indikasi Bias</v>
      </c>
    </row>
    <row r="47" spans="1:28" ht="37.5" x14ac:dyDescent="0.35">
      <c r="A47" s="71" t="str">
        <f>TKO!A41</f>
        <v>37. Prosedur layanan organisasi pendidikan yang efektif harus mencakup semua kecuali</v>
      </c>
      <c r="B47" s="69">
        <f>TKO!B41</f>
        <v>0</v>
      </c>
      <c r="C47" s="69">
        <f>TKO!C41</f>
        <v>0</v>
      </c>
      <c r="D47" s="69">
        <f>TKO!D41</f>
        <v>1</v>
      </c>
      <c r="E47" s="69">
        <f>TKO!E41</f>
        <v>0</v>
      </c>
      <c r="F47" s="69">
        <f>TKO!F41</f>
        <v>1</v>
      </c>
      <c r="G47" s="69">
        <f>TKO!G41</f>
        <v>1</v>
      </c>
      <c r="H47" s="69">
        <f>TKO!H41</f>
        <v>1</v>
      </c>
      <c r="I47" s="69">
        <f>TKO!I41</f>
        <v>1</v>
      </c>
      <c r="J47" s="69">
        <f>TKO!J41</f>
        <v>1</v>
      </c>
      <c r="K47" s="69">
        <f>TKO!K41</f>
        <v>0</v>
      </c>
      <c r="L47" s="69">
        <f t="shared" si="17"/>
        <v>5</v>
      </c>
      <c r="M47" s="69">
        <f t="shared" si="18"/>
        <v>5</v>
      </c>
      <c r="N47" s="69">
        <f t="shared" si="19"/>
        <v>3</v>
      </c>
      <c r="O47" s="69">
        <f t="shared" si="20"/>
        <v>3</v>
      </c>
      <c r="P47" s="69">
        <f t="shared" si="21"/>
        <v>3</v>
      </c>
      <c r="Q47" s="69">
        <f t="shared" si="22"/>
        <v>3</v>
      </c>
      <c r="R47" s="70">
        <f t="shared" si="23"/>
        <v>-0.40546510810816444</v>
      </c>
      <c r="S47" s="70">
        <f t="shared" si="24"/>
        <v>-0.40546510810816444</v>
      </c>
      <c r="T47" s="70">
        <f t="shared" si="25"/>
        <v>-0.52409230948231245</v>
      </c>
      <c r="U47" s="70">
        <f t="shared" si="26"/>
        <v>-0.52409230948231245</v>
      </c>
      <c r="V47" s="70">
        <f t="shared" si="27"/>
        <v>0.91287092917527679</v>
      </c>
      <c r="W47" s="70">
        <f t="shared" si="28"/>
        <v>0.91287092917527679</v>
      </c>
      <c r="X47" s="70">
        <f t="shared" si="29"/>
        <v>0</v>
      </c>
      <c r="Y47" s="70">
        <f t="shared" si="30"/>
        <v>1.2909944487358056</v>
      </c>
      <c r="Z47" s="70">
        <f t="shared" si="31"/>
        <v>0</v>
      </c>
      <c r="AA47" s="69" t="str">
        <f t="shared" si="32"/>
        <v>Negligible</v>
      </c>
      <c r="AB47" s="69" t="str">
        <f t="shared" si="33"/>
        <v>Tidak Ada Indikasi Bias</v>
      </c>
    </row>
    <row r="48" spans="1:28" ht="50" x14ac:dyDescent="0.35">
      <c r="A48" s="71" t="str">
        <f>TKO!A42</f>
        <v>38. Mengapa penting bagi individu untuk terus meningkatkan kualifikasi dan kemampuan mereka sesuai dengan kebutuhan kompetensi jabatan</v>
      </c>
      <c r="B48" s="69">
        <f>TKO!B42</f>
        <v>1</v>
      </c>
      <c r="C48" s="69">
        <f>TKO!C42</f>
        <v>1</v>
      </c>
      <c r="D48" s="69">
        <f>TKO!D42</f>
        <v>1</v>
      </c>
      <c r="E48" s="69">
        <f>TKO!E42</f>
        <v>1</v>
      </c>
      <c r="F48" s="69">
        <f>TKO!F42</f>
        <v>1</v>
      </c>
      <c r="G48" s="69">
        <f>TKO!G42</f>
        <v>0</v>
      </c>
      <c r="H48" s="69">
        <f>TKO!H42</f>
        <v>1</v>
      </c>
      <c r="I48" s="69">
        <f>TKO!I42</f>
        <v>1</v>
      </c>
      <c r="J48" s="69">
        <f>TKO!J42</f>
        <v>1</v>
      </c>
      <c r="K48" s="69">
        <f>TKO!K42</f>
        <v>0</v>
      </c>
      <c r="L48" s="69">
        <f t="shared" si="17"/>
        <v>5</v>
      </c>
      <c r="M48" s="69">
        <f t="shared" si="18"/>
        <v>5</v>
      </c>
      <c r="N48" s="69">
        <f t="shared" si="19"/>
        <v>4</v>
      </c>
      <c r="O48" s="69">
        <f t="shared" si="20"/>
        <v>4</v>
      </c>
      <c r="P48" s="69">
        <f t="shared" si="21"/>
        <v>4</v>
      </c>
      <c r="Q48" s="69">
        <f t="shared" si="22"/>
        <v>4</v>
      </c>
      <c r="R48" s="70">
        <f t="shared" si="23"/>
        <v>-1.3862943611198906</v>
      </c>
      <c r="S48" s="70">
        <f t="shared" si="24"/>
        <v>-1.3862943611198906</v>
      </c>
      <c r="T48" s="70">
        <f t="shared" si="25"/>
        <v>-1.5049215624940386</v>
      </c>
      <c r="U48" s="70">
        <f t="shared" si="26"/>
        <v>-1.5049215624940386</v>
      </c>
      <c r="V48" s="70">
        <f t="shared" si="27"/>
        <v>1.1180339887498949</v>
      </c>
      <c r="W48" s="70">
        <f t="shared" si="28"/>
        <v>1.1180339887498949</v>
      </c>
      <c r="X48" s="70">
        <f t="shared" si="29"/>
        <v>0</v>
      </c>
      <c r="Y48" s="70">
        <f t="shared" si="30"/>
        <v>1.5811388300841898</v>
      </c>
      <c r="Z48" s="70">
        <f t="shared" si="31"/>
        <v>0</v>
      </c>
      <c r="AA48" s="69" t="str">
        <f t="shared" si="32"/>
        <v>Negligible</v>
      </c>
      <c r="AB48" s="69" t="str">
        <f t="shared" si="33"/>
        <v>Tidak Ada Indikasi Bias</v>
      </c>
    </row>
    <row r="49" spans="1:28" ht="37.5" x14ac:dyDescent="0.35">
      <c r="A49" s="71" t="str">
        <f>TKO!A43</f>
        <v>39. Mengapa penting untuk melibatkan pemangku kepentingan dalam penetapan program organisasi perguruan tinggi</v>
      </c>
      <c r="B49" s="69">
        <f>TKO!B43</f>
        <v>1</v>
      </c>
      <c r="C49" s="69">
        <f>TKO!C43</f>
        <v>1</v>
      </c>
      <c r="D49" s="69">
        <f>TKO!D43</f>
        <v>1</v>
      </c>
      <c r="E49" s="69">
        <f>TKO!E43</f>
        <v>1</v>
      </c>
      <c r="F49" s="69">
        <f>TKO!F43</f>
        <v>1</v>
      </c>
      <c r="G49" s="69">
        <f>TKO!G43</f>
        <v>1</v>
      </c>
      <c r="H49" s="69">
        <f>TKO!H43</f>
        <v>0</v>
      </c>
      <c r="I49" s="69">
        <f>TKO!I43</f>
        <v>0</v>
      </c>
      <c r="J49" s="69">
        <f>TKO!J43</f>
        <v>0</v>
      </c>
      <c r="K49" s="69">
        <f>TKO!K43</f>
        <v>0</v>
      </c>
      <c r="L49" s="69">
        <f t="shared" si="17"/>
        <v>5</v>
      </c>
      <c r="M49" s="69">
        <f t="shared" si="18"/>
        <v>5</v>
      </c>
      <c r="N49" s="69">
        <f t="shared" si="19"/>
        <v>3</v>
      </c>
      <c r="O49" s="69">
        <f t="shared" si="20"/>
        <v>3</v>
      </c>
      <c r="P49" s="69">
        <f t="shared" si="21"/>
        <v>3</v>
      </c>
      <c r="Q49" s="69">
        <f t="shared" si="22"/>
        <v>3</v>
      </c>
      <c r="R49" s="70">
        <f t="shared" si="23"/>
        <v>-0.40546510810816444</v>
      </c>
      <c r="S49" s="70">
        <f t="shared" si="24"/>
        <v>-0.40546510810816444</v>
      </c>
      <c r="T49" s="70">
        <f t="shared" si="25"/>
        <v>-0.52409230948231245</v>
      </c>
      <c r="U49" s="70">
        <f t="shared" si="26"/>
        <v>-0.52409230948231245</v>
      </c>
      <c r="V49" s="70">
        <f t="shared" si="27"/>
        <v>0.91287092917527679</v>
      </c>
      <c r="W49" s="70">
        <f t="shared" si="28"/>
        <v>0.91287092917527679</v>
      </c>
      <c r="X49" s="70">
        <f t="shared" si="29"/>
        <v>0</v>
      </c>
      <c r="Y49" s="70">
        <f t="shared" si="30"/>
        <v>1.2909944487358056</v>
      </c>
      <c r="Z49" s="70">
        <f t="shared" si="31"/>
        <v>0</v>
      </c>
      <c r="AA49" s="69" t="str">
        <f t="shared" si="32"/>
        <v>Negligible</v>
      </c>
      <c r="AB49" s="69" t="str">
        <f t="shared" si="33"/>
        <v>Tidak Ada Indikasi Bias</v>
      </c>
    </row>
    <row r="50" spans="1:28" ht="50" x14ac:dyDescent="0.35">
      <c r="A50" s="71" t="str">
        <f>TKO!A44</f>
        <v>40. Bentuk penerapan prinsip akuntabilitas dalam penyelenggaraan organisasi Pendidikan tinggi adalah kecuali</v>
      </c>
      <c r="B50" s="69">
        <f>TKO!B44</f>
        <v>1</v>
      </c>
      <c r="C50" s="69">
        <f>TKO!C44</f>
        <v>1</v>
      </c>
      <c r="D50" s="69">
        <f>TKO!D44</f>
        <v>1</v>
      </c>
      <c r="E50" s="69">
        <f>TKO!E44</f>
        <v>1</v>
      </c>
      <c r="F50" s="69">
        <f>TKO!F44</f>
        <v>0</v>
      </c>
      <c r="G50" s="69">
        <f>TKO!G44</f>
        <v>0</v>
      </c>
      <c r="H50" s="69">
        <f>TKO!H44</f>
        <v>0</v>
      </c>
      <c r="I50" s="69">
        <f>TKO!I44</f>
        <v>0</v>
      </c>
      <c r="J50" s="69">
        <f>TKO!J44</f>
        <v>0</v>
      </c>
      <c r="K50" s="69">
        <f>TKO!K44</f>
        <v>0</v>
      </c>
      <c r="L50" s="69">
        <f t="shared" si="17"/>
        <v>5</v>
      </c>
      <c r="M50" s="69">
        <f t="shared" si="18"/>
        <v>5</v>
      </c>
      <c r="N50" s="69">
        <f t="shared" si="19"/>
        <v>2</v>
      </c>
      <c r="O50" s="69">
        <f t="shared" si="20"/>
        <v>2</v>
      </c>
      <c r="P50" s="69">
        <f t="shared" si="21"/>
        <v>2</v>
      </c>
      <c r="Q50" s="69">
        <f t="shared" si="22"/>
        <v>2</v>
      </c>
      <c r="R50" s="70">
        <f t="shared" si="23"/>
        <v>0.40546510810816438</v>
      </c>
      <c r="S50" s="70">
        <f t="shared" si="24"/>
        <v>0.40546510810816438</v>
      </c>
      <c r="T50" s="70">
        <f t="shared" si="25"/>
        <v>0.28683790673401638</v>
      </c>
      <c r="U50" s="70">
        <f t="shared" si="26"/>
        <v>0.28683790673401638</v>
      </c>
      <c r="V50" s="70">
        <f t="shared" si="27"/>
        <v>0.91287092917527679</v>
      </c>
      <c r="W50" s="70">
        <f t="shared" si="28"/>
        <v>0.91287092917527679</v>
      </c>
      <c r="X50" s="70">
        <f t="shared" si="29"/>
        <v>0</v>
      </c>
      <c r="Y50" s="70">
        <f t="shared" si="30"/>
        <v>1.2909944487358056</v>
      </c>
      <c r="Z50" s="70">
        <f t="shared" si="31"/>
        <v>0</v>
      </c>
      <c r="AA50" s="69" t="str">
        <f t="shared" si="32"/>
        <v>Negligible</v>
      </c>
      <c r="AB50" s="69" t="str">
        <f t="shared" si="33"/>
        <v>Tidak Ada Indikasi Bias</v>
      </c>
    </row>
    <row r="51" spans="1:28" ht="37.5" x14ac:dyDescent="0.35">
      <c r="A51" s="71" t="str">
        <f>TKO!A45</f>
        <v>41. Mengapa mekanisme sistem pengendalian internal penting dalam organisasi pendidikan</v>
      </c>
      <c r="B51" s="69">
        <f>TKO!B45</f>
        <v>1</v>
      </c>
      <c r="C51" s="69">
        <f>TKO!C45</f>
        <v>1</v>
      </c>
      <c r="D51" s="69">
        <f>TKO!D45</f>
        <v>0</v>
      </c>
      <c r="E51" s="69">
        <f>TKO!E45</f>
        <v>0</v>
      </c>
      <c r="F51" s="69">
        <f>TKO!F45</f>
        <v>1</v>
      </c>
      <c r="G51" s="69">
        <f>TKO!G45</f>
        <v>0</v>
      </c>
      <c r="H51" s="69">
        <f>TKO!H45</f>
        <v>0</v>
      </c>
      <c r="I51" s="69">
        <f>TKO!I45</f>
        <v>0</v>
      </c>
      <c r="J51" s="69">
        <f>TKO!J45</f>
        <v>1</v>
      </c>
      <c r="K51" s="69">
        <f>TKO!K45</f>
        <v>0</v>
      </c>
      <c r="L51" s="69">
        <f t="shared" si="17"/>
        <v>5</v>
      </c>
      <c r="M51" s="69">
        <f t="shared" si="18"/>
        <v>5</v>
      </c>
      <c r="N51" s="69">
        <f t="shared" si="19"/>
        <v>2</v>
      </c>
      <c r="O51" s="69">
        <f t="shared" si="20"/>
        <v>2</v>
      </c>
      <c r="P51" s="69">
        <f t="shared" si="21"/>
        <v>2</v>
      </c>
      <c r="Q51" s="69">
        <f t="shared" si="22"/>
        <v>2</v>
      </c>
      <c r="R51" s="70">
        <f t="shared" si="23"/>
        <v>0.40546510810816438</v>
      </c>
      <c r="S51" s="70">
        <f t="shared" si="24"/>
        <v>0.40546510810816438</v>
      </c>
      <c r="T51" s="70">
        <f t="shared" si="25"/>
        <v>0.28683790673401638</v>
      </c>
      <c r="U51" s="70">
        <f t="shared" si="26"/>
        <v>0.28683790673401638</v>
      </c>
      <c r="V51" s="70">
        <f t="shared" si="27"/>
        <v>0.91287092917527679</v>
      </c>
      <c r="W51" s="70">
        <f t="shared" si="28"/>
        <v>0.91287092917527679</v>
      </c>
      <c r="X51" s="70">
        <f t="shared" si="29"/>
        <v>0</v>
      </c>
      <c r="Y51" s="70">
        <f t="shared" si="30"/>
        <v>1.2909944487358056</v>
      </c>
      <c r="Z51" s="70">
        <f t="shared" si="31"/>
        <v>0</v>
      </c>
      <c r="AA51" s="69" t="str">
        <f t="shared" si="32"/>
        <v>Negligible</v>
      </c>
      <c r="AB51" s="69" t="str">
        <f t="shared" si="33"/>
        <v>Tidak Ada Indikasi Bias</v>
      </c>
    </row>
    <row r="52" spans="1:28" ht="50" x14ac:dyDescent="0.35">
      <c r="A52" s="71" t="str">
        <f>TKO!A46</f>
        <v>42. Bagaimana sistem informasi manajemen dapat membantu dalam meningkatkan transparansi penyelenggaraan organisasi pendidikan</v>
      </c>
      <c r="B52" s="69">
        <f>TKO!B46</f>
        <v>0</v>
      </c>
      <c r="C52" s="69">
        <f>TKO!C46</f>
        <v>1</v>
      </c>
      <c r="D52" s="69">
        <f>TKO!D46</f>
        <v>1</v>
      </c>
      <c r="E52" s="69">
        <f>TKO!E46</f>
        <v>1</v>
      </c>
      <c r="F52" s="69">
        <f>TKO!F46</f>
        <v>0</v>
      </c>
      <c r="G52" s="69">
        <f>TKO!G46</f>
        <v>1</v>
      </c>
      <c r="H52" s="69">
        <f>TKO!H46</f>
        <v>1</v>
      </c>
      <c r="I52" s="69">
        <f>TKO!I46</f>
        <v>1</v>
      </c>
      <c r="J52" s="69">
        <f>TKO!J46</f>
        <v>1</v>
      </c>
      <c r="K52" s="69">
        <f>TKO!K46</f>
        <v>1</v>
      </c>
      <c r="L52" s="69">
        <f t="shared" si="17"/>
        <v>5</v>
      </c>
      <c r="M52" s="69">
        <f t="shared" si="18"/>
        <v>5</v>
      </c>
      <c r="N52" s="69">
        <f t="shared" si="19"/>
        <v>4</v>
      </c>
      <c r="O52" s="69">
        <f t="shared" si="20"/>
        <v>4</v>
      </c>
      <c r="P52" s="69">
        <f t="shared" si="21"/>
        <v>4</v>
      </c>
      <c r="Q52" s="69">
        <f t="shared" si="22"/>
        <v>4</v>
      </c>
      <c r="R52" s="70">
        <f t="shared" si="23"/>
        <v>-1.3862943611198906</v>
      </c>
      <c r="S52" s="70">
        <f t="shared" si="24"/>
        <v>-1.3862943611198906</v>
      </c>
      <c r="T52" s="70">
        <f t="shared" si="25"/>
        <v>-1.5049215624940386</v>
      </c>
      <c r="U52" s="70">
        <f t="shared" si="26"/>
        <v>-1.5049215624940386</v>
      </c>
      <c r="V52" s="70">
        <f t="shared" si="27"/>
        <v>1.1180339887498949</v>
      </c>
      <c r="W52" s="70">
        <f t="shared" si="28"/>
        <v>1.1180339887498949</v>
      </c>
      <c r="X52" s="70">
        <f t="shared" si="29"/>
        <v>0</v>
      </c>
      <c r="Y52" s="70">
        <f t="shared" si="30"/>
        <v>1.5811388300841898</v>
      </c>
      <c r="Z52" s="70">
        <f t="shared" si="31"/>
        <v>0</v>
      </c>
      <c r="AA52" s="69" t="str">
        <f t="shared" si="32"/>
        <v>Negligible</v>
      </c>
      <c r="AB52" s="69" t="str">
        <f t="shared" si="33"/>
        <v>Tidak Ada Indikasi Bias</v>
      </c>
    </row>
    <row r="53" spans="1:28" ht="62.5" customHeight="1" x14ac:dyDescent="0.35">
      <c r="A53" s="71" t="str">
        <f>TKO!A47</f>
        <v>43. Mengapa penting bagi organisasi pendidikan untuk memastikan bahwa kegiatan dan layanan terbuka untuk semua pihak yang terlibat</v>
      </c>
      <c r="B53" s="69">
        <f>TKO!B47</f>
        <v>1</v>
      </c>
      <c r="C53" s="69">
        <f>TKO!C47</f>
        <v>1</v>
      </c>
      <c r="D53" s="69">
        <f>TKO!D47</f>
        <v>1</v>
      </c>
      <c r="E53" s="69">
        <f>TKO!E47</f>
        <v>1</v>
      </c>
      <c r="F53" s="69">
        <f>TKO!F47</f>
        <v>0</v>
      </c>
      <c r="G53" s="69">
        <f>TKO!G47</f>
        <v>0</v>
      </c>
      <c r="H53" s="69">
        <f>TKO!H47</f>
        <v>0</v>
      </c>
      <c r="I53" s="69">
        <f>TKO!I47</f>
        <v>0</v>
      </c>
      <c r="J53" s="69">
        <f>TKO!J47</f>
        <v>0</v>
      </c>
      <c r="K53" s="69">
        <f>TKO!K47</f>
        <v>0</v>
      </c>
      <c r="L53" s="69">
        <f t="shared" si="17"/>
        <v>5</v>
      </c>
      <c r="M53" s="69">
        <f t="shared" si="18"/>
        <v>5</v>
      </c>
      <c r="N53" s="69">
        <f t="shared" si="19"/>
        <v>2</v>
      </c>
      <c r="O53" s="69">
        <f t="shared" si="20"/>
        <v>2</v>
      </c>
      <c r="P53" s="69">
        <f t="shared" si="21"/>
        <v>2</v>
      </c>
      <c r="Q53" s="69">
        <f t="shared" si="22"/>
        <v>2</v>
      </c>
      <c r="R53" s="70">
        <f t="shared" si="23"/>
        <v>0.40546510810816438</v>
      </c>
      <c r="S53" s="70">
        <f t="shared" si="24"/>
        <v>0.40546510810816438</v>
      </c>
      <c r="T53" s="70">
        <f t="shared" si="25"/>
        <v>0.28683790673401638</v>
      </c>
      <c r="U53" s="70">
        <f t="shared" si="26"/>
        <v>0.28683790673401638</v>
      </c>
      <c r="V53" s="70">
        <f t="shared" si="27"/>
        <v>0.91287092917527679</v>
      </c>
      <c r="W53" s="70">
        <f t="shared" si="28"/>
        <v>0.91287092917527679</v>
      </c>
      <c r="X53" s="70">
        <f t="shared" si="29"/>
        <v>0</v>
      </c>
      <c r="Y53" s="70">
        <f t="shared" si="30"/>
        <v>1.2909944487358056</v>
      </c>
      <c r="Z53" s="70">
        <f t="shared" si="31"/>
        <v>0</v>
      </c>
      <c r="AA53" s="69" t="str">
        <f t="shared" si="32"/>
        <v>Negligible</v>
      </c>
      <c r="AB53" s="69" t="str">
        <f t="shared" si="33"/>
        <v>Tidak Ada Indikasi Bias</v>
      </c>
    </row>
    <row r="54" spans="1:28" ht="50" x14ac:dyDescent="0.35">
      <c r="A54" s="71" t="str">
        <f>TKO!A48</f>
        <v>44. Apa keuntungan dari melaksanakan proses rekrutmen dan seleksi personel secara terbuka dalam organisasi pendidikan</v>
      </c>
      <c r="B54" s="69">
        <f>TKO!B48</f>
        <v>1</v>
      </c>
      <c r="C54" s="69">
        <f>TKO!C48</f>
        <v>1</v>
      </c>
      <c r="D54" s="69">
        <f>TKO!D48</f>
        <v>0</v>
      </c>
      <c r="E54" s="69">
        <f>TKO!E48</f>
        <v>0</v>
      </c>
      <c r="F54" s="69">
        <f>TKO!F48</f>
        <v>1</v>
      </c>
      <c r="G54" s="69">
        <f>TKO!G48</f>
        <v>0</v>
      </c>
      <c r="H54" s="69">
        <f>TKO!H48</f>
        <v>0</v>
      </c>
      <c r="I54" s="69">
        <f>TKO!I48</f>
        <v>0</v>
      </c>
      <c r="J54" s="69">
        <f>TKO!J48</f>
        <v>1</v>
      </c>
      <c r="K54" s="69">
        <f>TKO!K48</f>
        <v>0</v>
      </c>
      <c r="L54" s="69">
        <f t="shared" si="17"/>
        <v>5</v>
      </c>
      <c r="M54" s="69">
        <f t="shared" si="18"/>
        <v>5</v>
      </c>
      <c r="N54" s="69">
        <f t="shared" si="19"/>
        <v>2</v>
      </c>
      <c r="O54" s="69">
        <f t="shared" si="20"/>
        <v>2</v>
      </c>
      <c r="P54" s="69">
        <f t="shared" si="21"/>
        <v>2</v>
      </c>
      <c r="Q54" s="69">
        <f t="shared" si="22"/>
        <v>2</v>
      </c>
      <c r="R54" s="70">
        <f t="shared" si="23"/>
        <v>0.40546510810816438</v>
      </c>
      <c r="S54" s="70">
        <f t="shared" si="24"/>
        <v>0.40546510810816438</v>
      </c>
      <c r="T54" s="70">
        <f t="shared" si="25"/>
        <v>0.28683790673401638</v>
      </c>
      <c r="U54" s="70">
        <f t="shared" si="26"/>
        <v>0.28683790673401638</v>
      </c>
      <c r="V54" s="70">
        <f t="shared" si="27"/>
        <v>0.91287092917527679</v>
      </c>
      <c r="W54" s="70">
        <f t="shared" si="28"/>
        <v>0.91287092917527679</v>
      </c>
      <c r="X54" s="70">
        <f t="shared" si="29"/>
        <v>0</v>
      </c>
      <c r="Y54" s="70">
        <f t="shared" si="30"/>
        <v>1.2909944487358056</v>
      </c>
      <c r="Z54" s="70">
        <f t="shared" si="31"/>
        <v>0</v>
      </c>
      <c r="AA54" s="69" t="str">
        <f t="shared" si="32"/>
        <v>Negligible</v>
      </c>
      <c r="AB54" s="69" t="str">
        <f t="shared" si="33"/>
        <v>Tidak Ada Indikasi Bias</v>
      </c>
    </row>
    <row r="55" spans="1:28" ht="37.5" customHeight="1" x14ac:dyDescent="0.35">
      <c r="A55" s="71" t="str">
        <f>TKO!A49</f>
        <v>45. Bagaimana proses identifikasi dan pembagian beban kerja organisasi pendidikan dapat dilakukan dengan adil</v>
      </c>
      <c r="B55" s="69">
        <f>TKO!B49</f>
        <v>0</v>
      </c>
      <c r="C55" s="69">
        <f>TKO!C49</f>
        <v>0</v>
      </c>
      <c r="D55" s="69">
        <f>TKO!D49</f>
        <v>0</v>
      </c>
      <c r="E55" s="69">
        <f>TKO!E49</f>
        <v>0</v>
      </c>
      <c r="F55" s="69">
        <f>TKO!F49</f>
        <v>0</v>
      </c>
      <c r="G55" s="69">
        <f>TKO!G49</f>
        <v>0</v>
      </c>
      <c r="H55" s="69">
        <f>TKO!H49</f>
        <v>0</v>
      </c>
      <c r="I55" s="69">
        <f>TKO!I49</f>
        <v>1</v>
      </c>
      <c r="J55" s="69">
        <f>TKO!J49</f>
        <v>1</v>
      </c>
      <c r="K55" s="69">
        <f>TKO!K49</f>
        <v>0</v>
      </c>
      <c r="L55" s="69">
        <f t="shared" si="17"/>
        <v>5</v>
      </c>
      <c r="M55" s="69">
        <f t="shared" si="18"/>
        <v>5</v>
      </c>
      <c r="N55" s="69">
        <f t="shared" si="19"/>
        <v>1</v>
      </c>
      <c r="O55" s="69">
        <f t="shared" si="20"/>
        <v>1</v>
      </c>
      <c r="P55" s="69">
        <f t="shared" si="21"/>
        <v>1</v>
      </c>
      <c r="Q55" s="69">
        <f t="shared" si="22"/>
        <v>1</v>
      </c>
      <c r="R55" s="70">
        <f t="shared" si="23"/>
        <v>1.3862943611198906</v>
      </c>
      <c r="S55" s="70">
        <f t="shared" si="24"/>
        <v>1.3862943611198906</v>
      </c>
      <c r="T55" s="70">
        <f t="shared" si="25"/>
        <v>1.2676671597457425</v>
      </c>
      <c r="U55" s="70">
        <f t="shared" si="26"/>
        <v>1.2676671597457425</v>
      </c>
      <c r="V55" s="70">
        <f t="shared" si="27"/>
        <v>1.1180339887498949</v>
      </c>
      <c r="W55" s="70">
        <f t="shared" si="28"/>
        <v>1.1180339887498949</v>
      </c>
      <c r="X55" s="70">
        <f t="shared" si="29"/>
        <v>0</v>
      </c>
      <c r="Y55" s="70">
        <f t="shared" si="30"/>
        <v>1.5811388300841898</v>
      </c>
      <c r="Z55" s="70">
        <f t="shared" si="31"/>
        <v>0</v>
      </c>
      <c r="AA55" s="69" t="str">
        <f t="shared" si="32"/>
        <v>Negligible</v>
      </c>
      <c r="AB55" s="69" t="str">
        <f t="shared" si="33"/>
        <v>Tidak Ada Indikasi Bias</v>
      </c>
    </row>
    <row r="56" spans="1:28" ht="50" x14ac:dyDescent="0.35">
      <c r="A56" s="71" t="str">
        <f>TKO!A50</f>
        <v>46. Apa yang dapat dilakukan organisasi pendidikan untuk memastikan bahwa standar kompetensi untuk jabatan struktural diterapkan secara efektif</v>
      </c>
      <c r="B56" s="69">
        <f>TKO!B50</f>
        <v>1</v>
      </c>
      <c r="C56" s="69">
        <f>TKO!C50</f>
        <v>1</v>
      </c>
      <c r="D56" s="69">
        <f>TKO!D50</f>
        <v>1</v>
      </c>
      <c r="E56" s="69">
        <f>TKO!E50</f>
        <v>1</v>
      </c>
      <c r="F56" s="69">
        <f>TKO!F50</f>
        <v>0</v>
      </c>
      <c r="G56" s="69">
        <f>TKO!G50</f>
        <v>0</v>
      </c>
      <c r="H56" s="69">
        <f>TKO!H50</f>
        <v>0</v>
      </c>
      <c r="I56" s="69">
        <f>TKO!I50</f>
        <v>0</v>
      </c>
      <c r="J56" s="69">
        <f>TKO!J50</f>
        <v>0</v>
      </c>
      <c r="K56" s="69">
        <f>TKO!K50</f>
        <v>0</v>
      </c>
      <c r="L56" s="69">
        <f t="shared" si="17"/>
        <v>5</v>
      </c>
      <c r="M56" s="69">
        <f t="shared" si="18"/>
        <v>5</v>
      </c>
      <c r="N56" s="69">
        <f t="shared" si="19"/>
        <v>2</v>
      </c>
      <c r="O56" s="69">
        <f t="shared" si="20"/>
        <v>2</v>
      </c>
      <c r="P56" s="69">
        <f t="shared" si="21"/>
        <v>2</v>
      </c>
      <c r="Q56" s="69">
        <f t="shared" si="22"/>
        <v>2</v>
      </c>
      <c r="R56" s="70">
        <f t="shared" si="23"/>
        <v>0.40546510810816438</v>
      </c>
      <c r="S56" s="70">
        <f t="shared" si="24"/>
        <v>0.40546510810816438</v>
      </c>
      <c r="T56" s="70">
        <f t="shared" si="25"/>
        <v>0.28683790673401638</v>
      </c>
      <c r="U56" s="70">
        <f t="shared" si="26"/>
        <v>0.28683790673401638</v>
      </c>
      <c r="V56" s="70">
        <f t="shared" si="27"/>
        <v>0.91287092917527679</v>
      </c>
      <c r="W56" s="70">
        <f t="shared" si="28"/>
        <v>0.91287092917527679</v>
      </c>
      <c r="X56" s="70">
        <f t="shared" si="29"/>
        <v>0</v>
      </c>
      <c r="Y56" s="70">
        <f t="shared" si="30"/>
        <v>1.2909944487358056</v>
      </c>
      <c r="Z56" s="70">
        <f t="shared" si="31"/>
        <v>0</v>
      </c>
      <c r="AA56" s="69" t="str">
        <f t="shared" si="32"/>
        <v>Negligible</v>
      </c>
      <c r="AB56" s="69" t="str">
        <f t="shared" si="33"/>
        <v>Tidak Ada Indikasi Bias</v>
      </c>
    </row>
    <row r="57" spans="1:28" ht="50" customHeight="1" x14ac:dyDescent="0.35">
      <c r="A57" s="71" t="str">
        <f>TKO!A51</f>
        <v>47. Mengapa penting untuk menentukan persyaratan dan kriteria yang jelas untuk reward dan punishment dalam organisasi pendidikan</v>
      </c>
      <c r="B57" s="69">
        <f>TKO!B51</f>
        <v>1</v>
      </c>
      <c r="C57" s="69">
        <f>TKO!C51</f>
        <v>1</v>
      </c>
      <c r="D57" s="69">
        <f>TKO!D51</f>
        <v>1</v>
      </c>
      <c r="E57" s="69">
        <f>TKO!E51</f>
        <v>0</v>
      </c>
      <c r="F57" s="69">
        <f>TKO!F51</f>
        <v>0</v>
      </c>
      <c r="G57" s="69">
        <f>TKO!G51</f>
        <v>0</v>
      </c>
      <c r="H57" s="69">
        <f>TKO!H51</f>
        <v>0</v>
      </c>
      <c r="I57" s="69">
        <f>TKO!I51</f>
        <v>0</v>
      </c>
      <c r="J57" s="69">
        <f>TKO!J51</f>
        <v>0</v>
      </c>
      <c r="K57" s="69">
        <f>TKO!K51</f>
        <v>1</v>
      </c>
      <c r="L57" s="69">
        <f t="shared" si="17"/>
        <v>5</v>
      </c>
      <c r="M57" s="69">
        <f t="shared" si="18"/>
        <v>5</v>
      </c>
      <c r="N57" s="69">
        <f t="shared" si="19"/>
        <v>2</v>
      </c>
      <c r="O57" s="69">
        <f t="shared" si="20"/>
        <v>2</v>
      </c>
      <c r="P57" s="69">
        <f t="shared" si="21"/>
        <v>2</v>
      </c>
      <c r="Q57" s="69">
        <f t="shared" si="22"/>
        <v>2</v>
      </c>
      <c r="R57" s="70">
        <f t="shared" si="23"/>
        <v>0.40546510810816438</v>
      </c>
      <c r="S57" s="70">
        <f t="shared" si="24"/>
        <v>0.40546510810816438</v>
      </c>
      <c r="T57" s="70">
        <f t="shared" si="25"/>
        <v>0.28683790673401638</v>
      </c>
      <c r="U57" s="70">
        <f t="shared" si="26"/>
        <v>0.28683790673401638</v>
      </c>
      <c r="V57" s="70">
        <f t="shared" si="27"/>
        <v>0.91287092917527679</v>
      </c>
      <c r="W57" s="70">
        <f t="shared" si="28"/>
        <v>0.91287092917527679</v>
      </c>
      <c r="X57" s="70">
        <f t="shared" si="29"/>
        <v>0</v>
      </c>
      <c r="Y57" s="70">
        <f t="shared" si="30"/>
        <v>1.2909944487358056</v>
      </c>
      <c r="Z57" s="70">
        <f t="shared" si="31"/>
        <v>0</v>
      </c>
      <c r="AA57" s="69" t="str">
        <f t="shared" si="32"/>
        <v>Negligible</v>
      </c>
      <c r="AB57" s="69" t="str">
        <f t="shared" si="33"/>
        <v>Tidak Ada Indikasi Bias</v>
      </c>
    </row>
    <row r="58" spans="1:28" ht="50" customHeight="1" x14ac:dyDescent="0.35">
      <c r="A58" s="71" t="str">
        <f>TKO!A52</f>
        <v>48. Bagaimana pemberian reward dan punishment dapat dilaksanakan sesuai dengan hasil evaluasi kinerja personel</v>
      </c>
      <c r="B58" s="69">
        <f>TKO!B52</f>
        <v>1</v>
      </c>
      <c r="C58" s="69">
        <f>TKO!C52</f>
        <v>0</v>
      </c>
      <c r="D58" s="69">
        <f>TKO!D52</f>
        <v>1</v>
      </c>
      <c r="E58" s="69">
        <f>TKO!E52</f>
        <v>0</v>
      </c>
      <c r="F58" s="69">
        <f>TKO!F52</f>
        <v>0</v>
      </c>
      <c r="G58" s="69">
        <f>TKO!G52</f>
        <v>0</v>
      </c>
      <c r="H58" s="69">
        <f>TKO!H52</f>
        <v>0</v>
      </c>
      <c r="I58" s="69">
        <f>TKO!I52</f>
        <v>0</v>
      </c>
      <c r="J58" s="69">
        <f>TKO!J52</f>
        <v>0</v>
      </c>
      <c r="K58" s="69">
        <f>TKO!K52</f>
        <v>0</v>
      </c>
      <c r="L58" s="69">
        <f t="shared" si="17"/>
        <v>5</v>
      </c>
      <c r="M58" s="69">
        <f t="shared" si="18"/>
        <v>5</v>
      </c>
      <c r="N58" s="69">
        <f t="shared" si="19"/>
        <v>1</v>
      </c>
      <c r="O58" s="69">
        <f t="shared" si="20"/>
        <v>1</v>
      </c>
      <c r="P58" s="69">
        <f t="shared" si="21"/>
        <v>1</v>
      </c>
      <c r="Q58" s="69">
        <f t="shared" si="22"/>
        <v>1</v>
      </c>
      <c r="R58" s="70">
        <f t="shared" si="23"/>
        <v>1.3862943611198906</v>
      </c>
      <c r="S58" s="70">
        <f t="shared" si="24"/>
        <v>1.3862943611198906</v>
      </c>
      <c r="T58" s="70">
        <f t="shared" si="25"/>
        <v>1.2676671597457425</v>
      </c>
      <c r="U58" s="70">
        <f t="shared" si="26"/>
        <v>1.2676671597457425</v>
      </c>
      <c r="V58" s="70">
        <f t="shared" si="27"/>
        <v>1.1180339887498949</v>
      </c>
      <c r="W58" s="70">
        <f t="shared" si="28"/>
        <v>1.1180339887498949</v>
      </c>
      <c r="X58" s="70">
        <f t="shared" si="29"/>
        <v>0</v>
      </c>
      <c r="Y58" s="70">
        <f t="shared" si="30"/>
        <v>1.5811388300841898</v>
      </c>
      <c r="Z58" s="70">
        <f t="shared" si="31"/>
        <v>0</v>
      </c>
      <c r="AA58" s="69" t="str">
        <f t="shared" si="32"/>
        <v>Negligible</v>
      </c>
      <c r="AB58" s="69" t="str">
        <f t="shared" si="33"/>
        <v>Tidak Ada Indikasi Bias</v>
      </c>
    </row>
    <row r="59" spans="1:28" ht="50" customHeight="1" x14ac:dyDescent="0.35">
      <c r="A59" s="71" t="str">
        <f>TKO!A53</f>
        <v>49. Apa yang dimaksud dengan aksesibilitas mahasiswa berkebutuhan khusus dalam konteks layanan pendidikan</v>
      </c>
      <c r="B59" s="69">
        <f>TKO!B53</f>
        <v>1</v>
      </c>
      <c r="C59" s="69">
        <f>TKO!C53</f>
        <v>1</v>
      </c>
      <c r="D59" s="69">
        <f>TKO!D53</f>
        <v>0</v>
      </c>
      <c r="E59" s="69">
        <f>TKO!E53</f>
        <v>1</v>
      </c>
      <c r="F59" s="69">
        <f>TKO!F53</f>
        <v>1</v>
      </c>
      <c r="G59" s="69">
        <f>TKO!G53</f>
        <v>0</v>
      </c>
      <c r="H59" s="69">
        <f>TKO!H53</f>
        <v>0</v>
      </c>
      <c r="I59" s="69">
        <f>TKO!I53</f>
        <v>0</v>
      </c>
      <c r="J59" s="69">
        <f>TKO!J53</f>
        <v>0</v>
      </c>
      <c r="K59" s="69">
        <f>TKO!K53</f>
        <v>0</v>
      </c>
      <c r="L59" s="69">
        <f t="shared" si="17"/>
        <v>5</v>
      </c>
      <c r="M59" s="69">
        <f t="shared" si="18"/>
        <v>5</v>
      </c>
      <c r="N59" s="69">
        <f t="shared" si="19"/>
        <v>2</v>
      </c>
      <c r="O59" s="69">
        <f t="shared" si="20"/>
        <v>2</v>
      </c>
      <c r="P59" s="69">
        <f t="shared" si="21"/>
        <v>2</v>
      </c>
      <c r="Q59" s="69">
        <f t="shared" si="22"/>
        <v>2</v>
      </c>
      <c r="R59" s="70">
        <f t="shared" si="23"/>
        <v>0.40546510810816438</v>
      </c>
      <c r="S59" s="70">
        <f t="shared" si="24"/>
        <v>0.40546510810816438</v>
      </c>
      <c r="T59" s="70">
        <f t="shared" si="25"/>
        <v>0.28683790673401638</v>
      </c>
      <c r="U59" s="70">
        <f t="shared" si="26"/>
        <v>0.28683790673401638</v>
      </c>
      <c r="V59" s="70">
        <f t="shared" si="27"/>
        <v>0.91287092917527679</v>
      </c>
      <c r="W59" s="70">
        <f t="shared" si="28"/>
        <v>0.91287092917527679</v>
      </c>
      <c r="X59" s="70">
        <f t="shared" si="29"/>
        <v>0</v>
      </c>
      <c r="Y59" s="70">
        <f t="shared" si="30"/>
        <v>1.2909944487358056</v>
      </c>
      <c r="Z59" s="70">
        <f t="shared" si="31"/>
        <v>0</v>
      </c>
      <c r="AA59" s="69" t="str">
        <f t="shared" si="32"/>
        <v>Negligible</v>
      </c>
      <c r="AB59" s="69" t="str">
        <f t="shared" si="33"/>
        <v>Tidak Ada Indikasi Bias</v>
      </c>
    </row>
    <row r="60" spans="1:28" ht="37.5" x14ac:dyDescent="0.35">
      <c r="A60" s="71" t="str">
        <f>TKO!A54</f>
        <v>50. Elemen apa yang paling penting dalam menyusun layanan pendidikan untuk mahasiswa berkebutuhan khusus</v>
      </c>
      <c r="B60" s="69">
        <f>TKO!B54</f>
        <v>1</v>
      </c>
      <c r="C60" s="69">
        <f>TKO!C54</f>
        <v>1</v>
      </c>
      <c r="D60" s="69">
        <f>TKO!D54</f>
        <v>0</v>
      </c>
      <c r="E60" s="69">
        <f>TKO!E54</f>
        <v>0</v>
      </c>
      <c r="F60" s="69">
        <f>TKO!F54</f>
        <v>1</v>
      </c>
      <c r="G60" s="69">
        <f>TKO!G54</f>
        <v>0</v>
      </c>
      <c r="H60" s="69">
        <f>TKO!H54</f>
        <v>0</v>
      </c>
      <c r="I60" s="69">
        <f>TKO!I54</f>
        <v>0</v>
      </c>
      <c r="J60" s="69">
        <f>TKO!J54</f>
        <v>1</v>
      </c>
      <c r="K60" s="69">
        <f>TKO!K54</f>
        <v>0</v>
      </c>
      <c r="L60" s="69">
        <f t="shared" si="17"/>
        <v>5</v>
      </c>
      <c r="M60" s="69">
        <f t="shared" si="18"/>
        <v>5</v>
      </c>
      <c r="N60" s="69">
        <f t="shared" si="19"/>
        <v>2</v>
      </c>
      <c r="O60" s="69">
        <f t="shared" si="20"/>
        <v>2</v>
      </c>
      <c r="P60" s="69">
        <f t="shared" si="21"/>
        <v>2</v>
      </c>
      <c r="Q60" s="69">
        <f t="shared" si="22"/>
        <v>2</v>
      </c>
      <c r="R60" s="70">
        <f t="shared" si="23"/>
        <v>0.40546510810816438</v>
      </c>
      <c r="S60" s="70">
        <f t="shared" si="24"/>
        <v>0.40546510810816438</v>
      </c>
      <c r="T60" s="70">
        <f t="shared" si="25"/>
        <v>0.28683790673401638</v>
      </c>
      <c r="U60" s="70">
        <f t="shared" si="26"/>
        <v>0.28683790673401638</v>
      </c>
      <c r="V60" s="70">
        <f t="shared" si="27"/>
        <v>0.91287092917527679</v>
      </c>
      <c r="W60" s="70">
        <f t="shared" si="28"/>
        <v>0.91287092917527679</v>
      </c>
      <c r="X60" s="70">
        <f t="shared" si="29"/>
        <v>0</v>
      </c>
      <c r="Y60" s="70">
        <f t="shared" si="30"/>
        <v>1.2909944487358056</v>
      </c>
      <c r="Z60" s="70">
        <f t="shared" si="31"/>
        <v>0</v>
      </c>
      <c r="AA60" s="69" t="str">
        <f t="shared" si="32"/>
        <v>Negligible</v>
      </c>
      <c r="AB60" s="69" t="str">
        <f t="shared" si="33"/>
        <v>Tidak Ada Indikasi Bias</v>
      </c>
    </row>
    <row r="61" spans="1:28" ht="50" x14ac:dyDescent="0.35">
      <c r="A61" s="71" t="str">
        <f>TKO!A55</f>
        <v>51. Mengapa penting untuk menyusun perangkat evaluasi perguruan tinggi berdasarkan metode evaluasi yang digunakan</v>
      </c>
      <c r="B61" s="69">
        <f>TKO!B55</f>
        <v>1</v>
      </c>
      <c r="C61" s="69">
        <f>TKO!C55</f>
        <v>1</v>
      </c>
      <c r="D61" s="69">
        <f>TKO!D55</f>
        <v>1</v>
      </c>
      <c r="E61" s="69">
        <f>TKO!E55</f>
        <v>1</v>
      </c>
      <c r="F61" s="69">
        <f>TKO!F55</f>
        <v>1</v>
      </c>
      <c r="G61" s="69">
        <f>TKO!G55</f>
        <v>1</v>
      </c>
      <c r="H61" s="69">
        <f>TKO!H55</f>
        <v>1</v>
      </c>
      <c r="I61" s="69">
        <f>TKO!I55</f>
        <v>0</v>
      </c>
      <c r="J61" s="69">
        <f>TKO!J55</f>
        <v>0</v>
      </c>
      <c r="K61" s="69">
        <f>TKO!K55</f>
        <v>1</v>
      </c>
      <c r="L61" s="69">
        <f t="shared" si="17"/>
        <v>5</v>
      </c>
      <c r="M61" s="69">
        <f t="shared" si="18"/>
        <v>5</v>
      </c>
      <c r="N61" s="69">
        <f t="shared" si="19"/>
        <v>4</v>
      </c>
      <c r="O61" s="69">
        <f t="shared" si="20"/>
        <v>4</v>
      </c>
      <c r="P61" s="69">
        <f t="shared" si="21"/>
        <v>4</v>
      </c>
      <c r="Q61" s="69">
        <f t="shared" si="22"/>
        <v>4</v>
      </c>
      <c r="R61" s="70">
        <f t="shared" si="23"/>
        <v>-1.3862943611198906</v>
      </c>
      <c r="S61" s="70">
        <f t="shared" si="24"/>
        <v>-1.3862943611198906</v>
      </c>
      <c r="T61" s="70">
        <f t="shared" si="25"/>
        <v>-1.5049215624940386</v>
      </c>
      <c r="U61" s="70">
        <f t="shared" si="26"/>
        <v>-1.5049215624940386</v>
      </c>
      <c r="V61" s="70">
        <f t="shared" si="27"/>
        <v>1.1180339887498949</v>
      </c>
      <c r="W61" s="70">
        <f t="shared" si="28"/>
        <v>1.1180339887498949</v>
      </c>
      <c r="X61" s="70">
        <f t="shared" si="29"/>
        <v>0</v>
      </c>
      <c r="Y61" s="70">
        <f t="shared" si="30"/>
        <v>1.5811388300841898</v>
      </c>
      <c r="Z61" s="70">
        <f t="shared" si="31"/>
        <v>0</v>
      </c>
      <c r="AA61" s="69" t="str">
        <f t="shared" si="32"/>
        <v>Negligible</v>
      </c>
      <c r="AB61" s="69" t="str">
        <f t="shared" si="33"/>
        <v>Tidak Ada Indikasi Bias</v>
      </c>
    </row>
    <row r="62" spans="1:28" ht="37.5" customHeight="1" x14ac:dyDescent="0.35">
      <c r="A62" s="71" t="str">
        <f>TKO!A56</f>
        <v>52. Mengapa penting bagi perguruan tinggi untuk mempertanggungjawabkan keputusan yang diambil dalam evaluasi kinerja mereka</v>
      </c>
      <c r="B62" s="69">
        <f>TKO!B56</f>
        <v>0</v>
      </c>
      <c r="C62" s="69">
        <f>TKO!C56</f>
        <v>1</v>
      </c>
      <c r="D62" s="69">
        <f>TKO!D56</f>
        <v>0</v>
      </c>
      <c r="E62" s="69">
        <f>TKO!E56</f>
        <v>1</v>
      </c>
      <c r="F62" s="69">
        <f>TKO!F56</f>
        <v>0</v>
      </c>
      <c r="G62" s="69">
        <f>TKO!G56</f>
        <v>0</v>
      </c>
      <c r="H62" s="69">
        <f>TKO!H56</f>
        <v>0</v>
      </c>
      <c r="I62" s="69">
        <f>TKO!I56</f>
        <v>0</v>
      </c>
      <c r="J62" s="69">
        <f>TKO!J56</f>
        <v>0</v>
      </c>
      <c r="K62" s="69">
        <f>TKO!K56</f>
        <v>0</v>
      </c>
      <c r="L62" s="69">
        <f t="shared" si="17"/>
        <v>5</v>
      </c>
      <c r="M62" s="69">
        <f t="shared" si="18"/>
        <v>5</v>
      </c>
      <c r="N62" s="69">
        <f t="shared" si="19"/>
        <v>1</v>
      </c>
      <c r="O62" s="69">
        <f t="shared" si="20"/>
        <v>1</v>
      </c>
      <c r="P62" s="69">
        <f t="shared" si="21"/>
        <v>1</v>
      </c>
      <c r="Q62" s="69">
        <f t="shared" si="22"/>
        <v>1</v>
      </c>
      <c r="R62" s="70">
        <f t="shared" si="23"/>
        <v>1.3862943611198906</v>
      </c>
      <c r="S62" s="70">
        <f t="shared" si="24"/>
        <v>1.3862943611198906</v>
      </c>
      <c r="T62" s="70">
        <f t="shared" si="25"/>
        <v>1.2676671597457425</v>
      </c>
      <c r="U62" s="70">
        <f t="shared" si="26"/>
        <v>1.2676671597457425</v>
      </c>
      <c r="V62" s="70">
        <f t="shared" si="27"/>
        <v>1.1180339887498949</v>
      </c>
      <c r="W62" s="70">
        <f t="shared" si="28"/>
        <v>1.1180339887498949</v>
      </c>
      <c r="X62" s="70">
        <f t="shared" si="29"/>
        <v>0</v>
      </c>
      <c r="Y62" s="70">
        <f t="shared" si="30"/>
        <v>1.5811388300841898</v>
      </c>
      <c r="Z62" s="70">
        <f t="shared" si="31"/>
        <v>0</v>
      </c>
      <c r="AA62" s="69" t="str">
        <f t="shared" si="32"/>
        <v>Negligible</v>
      </c>
      <c r="AB62" s="69" t="str">
        <f t="shared" si="33"/>
        <v>Tidak Ada Indikasi Bias</v>
      </c>
    </row>
    <row r="63" spans="1:28" ht="50" x14ac:dyDescent="0.35">
      <c r="A63" s="71" t="str">
        <f>TKO!A57</f>
        <v>53. Mengapa format laporan hasil evaluasi harus disusun sesuai informasi yang diperlukan oleh pihak yang berkepentingan</v>
      </c>
      <c r="B63" s="69">
        <f>TKO!B57</f>
        <v>0</v>
      </c>
      <c r="C63" s="69">
        <f>TKO!C57</f>
        <v>1</v>
      </c>
      <c r="D63" s="69">
        <f>TKO!D57</f>
        <v>1</v>
      </c>
      <c r="E63" s="69">
        <f>TKO!E57</f>
        <v>1</v>
      </c>
      <c r="F63" s="69">
        <f>TKO!F57</f>
        <v>1</v>
      </c>
      <c r="G63" s="69">
        <f>TKO!G57</f>
        <v>1</v>
      </c>
      <c r="H63" s="69">
        <f>TKO!H57</f>
        <v>0</v>
      </c>
      <c r="I63" s="69">
        <f>TKO!I57</f>
        <v>1</v>
      </c>
      <c r="J63" s="69">
        <f>TKO!J57</f>
        <v>0</v>
      </c>
      <c r="K63" s="69">
        <f>TKO!K57</f>
        <v>0</v>
      </c>
      <c r="L63" s="69">
        <f t="shared" si="17"/>
        <v>5</v>
      </c>
      <c r="M63" s="69">
        <f t="shared" si="18"/>
        <v>5</v>
      </c>
      <c r="N63" s="69">
        <f t="shared" si="19"/>
        <v>3</v>
      </c>
      <c r="O63" s="69">
        <f t="shared" si="20"/>
        <v>3</v>
      </c>
      <c r="P63" s="69">
        <f t="shared" si="21"/>
        <v>3</v>
      </c>
      <c r="Q63" s="69">
        <f t="shared" si="22"/>
        <v>3</v>
      </c>
      <c r="R63" s="70">
        <f t="shared" si="23"/>
        <v>-0.40546510810816444</v>
      </c>
      <c r="S63" s="70">
        <f t="shared" si="24"/>
        <v>-0.40546510810816444</v>
      </c>
      <c r="T63" s="70">
        <f t="shared" si="25"/>
        <v>-0.52409230948231245</v>
      </c>
      <c r="U63" s="70">
        <f t="shared" si="26"/>
        <v>-0.52409230948231245</v>
      </c>
      <c r="V63" s="70">
        <f t="shared" si="27"/>
        <v>0.91287092917527679</v>
      </c>
      <c r="W63" s="70">
        <f t="shared" si="28"/>
        <v>0.91287092917527679</v>
      </c>
      <c r="X63" s="70">
        <f t="shared" si="29"/>
        <v>0</v>
      </c>
      <c r="Y63" s="70">
        <f t="shared" si="30"/>
        <v>1.2909944487358056</v>
      </c>
      <c r="Z63" s="70">
        <f t="shared" si="31"/>
        <v>0</v>
      </c>
      <c r="AA63" s="69" t="str">
        <f t="shared" si="32"/>
        <v>Negligible</v>
      </c>
      <c r="AB63" s="69" t="str">
        <f t="shared" si="33"/>
        <v>Tidak Ada Indikasi Bias</v>
      </c>
    </row>
    <row r="64" spans="1:28" ht="37.5" customHeight="1" x14ac:dyDescent="0.35">
      <c r="A64" s="71" t="str">
        <f>TKO!A58</f>
        <v>54. Mengapa penting untuk mengidentifikasi karakteristik pemimpin organisasi perguruan tinggi</v>
      </c>
      <c r="B64" s="69">
        <f>TKO!B58</f>
        <v>1</v>
      </c>
      <c r="C64" s="69">
        <f>TKO!C58</f>
        <v>0</v>
      </c>
      <c r="D64" s="69">
        <f>TKO!D58</f>
        <v>0</v>
      </c>
      <c r="E64" s="69">
        <f>TKO!E58</f>
        <v>0</v>
      </c>
      <c r="F64" s="69">
        <f>TKO!F58</f>
        <v>0</v>
      </c>
      <c r="G64" s="69">
        <f>TKO!G58</f>
        <v>0</v>
      </c>
      <c r="H64" s="69">
        <f>TKO!H58</f>
        <v>0</v>
      </c>
      <c r="I64" s="69">
        <f>TKO!I58</f>
        <v>1</v>
      </c>
      <c r="J64" s="69">
        <f>TKO!J58</f>
        <v>1</v>
      </c>
      <c r="K64" s="69">
        <f>TKO!K58</f>
        <v>1</v>
      </c>
      <c r="L64" s="69">
        <f t="shared" si="17"/>
        <v>5</v>
      </c>
      <c r="M64" s="69">
        <f t="shared" si="18"/>
        <v>5</v>
      </c>
      <c r="N64" s="69">
        <f t="shared" si="19"/>
        <v>2</v>
      </c>
      <c r="O64" s="69">
        <f t="shared" si="20"/>
        <v>2</v>
      </c>
      <c r="P64" s="69">
        <f t="shared" si="21"/>
        <v>2</v>
      </c>
      <c r="Q64" s="69">
        <f t="shared" si="22"/>
        <v>2</v>
      </c>
      <c r="R64" s="70">
        <f t="shared" si="23"/>
        <v>0.40546510810816438</v>
      </c>
      <c r="S64" s="70">
        <f t="shared" si="24"/>
        <v>0.40546510810816438</v>
      </c>
      <c r="T64" s="70">
        <f t="shared" si="25"/>
        <v>0.28683790673401638</v>
      </c>
      <c r="U64" s="70">
        <f t="shared" si="26"/>
        <v>0.28683790673401638</v>
      </c>
      <c r="V64" s="70">
        <f t="shared" si="27"/>
        <v>0.91287092917527679</v>
      </c>
      <c r="W64" s="70">
        <f t="shared" si="28"/>
        <v>0.91287092917527679</v>
      </c>
      <c r="X64" s="70">
        <f t="shared" si="29"/>
        <v>0</v>
      </c>
      <c r="Y64" s="70">
        <f t="shared" si="30"/>
        <v>1.2909944487358056</v>
      </c>
      <c r="Z64" s="70">
        <f t="shared" si="31"/>
        <v>0</v>
      </c>
      <c r="AA64" s="69" t="str">
        <f t="shared" si="32"/>
        <v>Negligible</v>
      </c>
      <c r="AB64" s="69" t="str">
        <f t="shared" si="33"/>
        <v>Tidak Ada Indikasi Bias</v>
      </c>
    </row>
    <row r="65" spans="1:28" ht="37.5" customHeight="1" x14ac:dyDescent="0.35">
      <c r="A65" s="71" t="str">
        <f>TKO!A59</f>
        <v>55. Bagaimana pemimpin organisasi perguruan tinggi dapat menentukan jenis pola kepemimpinan yang efektif berdasarkan budaya organisasi</v>
      </c>
      <c r="B65" s="69">
        <f>TKO!B59</f>
        <v>1</v>
      </c>
      <c r="C65" s="69">
        <f>TKO!C59</f>
        <v>1</v>
      </c>
      <c r="D65" s="69">
        <f>TKO!D59</f>
        <v>1</v>
      </c>
      <c r="E65" s="69">
        <f>TKO!E59</f>
        <v>1</v>
      </c>
      <c r="F65" s="69">
        <f>TKO!F59</f>
        <v>1</v>
      </c>
      <c r="G65" s="69">
        <f>TKO!G59</f>
        <v>1</v>
      </c>
      <c r="H65" s="69">
        <f>TKO!H59</f>
        <v>1</v>
      </c>
      <c r="I65" s="69">
        <f>TKO!I59</f>
        <v>0</v>
      </c>
      <c r="J65" s="69">
        <f>TKO!J59</f>
        <v>0</v>
      </c>
      <c r="K65" s="69">
        <f>TKO!K59</f>
        <v>1</v>
      </c>
      <c r="L65" s="69">
        <f t="shared" si="17"/>
        <v>5</v>
      </c>
      <c r="M65" s="69">
        <f t="shared" si="18"/>
        <v>5</v>
      </c>
      <c r="N65" s="69">
        <f t="shared" si="19"/>
        <v>4</v>
      </c>
      <c r="O65" s="69">
        <f t="shared" si="20"/>
        <v>4</v>
      </c>
      <c r="P65" s="69">
        <f t="shared" si="21"/>
        <v>4</v>
      </c>
      <c r="Q65" s="69">
        <f t="shared" si="22"/>
        <v>4</v>
      </c>
      <c r="R65" s="70">
        <f t="shared" si="23"/>
        <v>-1.3862943611198906</v>
      </c>
      <c r="S65" s="70">
        <f t="shared" si="24"/>
        <v>-1.3862943611198906</v>
      </c>
      <c r="T65" s="70">
        <f t="shared" si="25"/>
        <v>-1.5049215624940386</v>
      </c>
      <c r="U65" s="70">
        <f t="shared" si="26"/>
        <v>-1.5049215624940386</v>
      </c>
      <c r="V65" s="70">
        <f t="shared" si="27"/>
        <v>1.1180339887498949</v>
      </c>
      <c r="W65" s="70">
        <f t="shared" si="28"/>
        <v>1.1180339887498949</v>
      </c>
      <c r="X65" s="70">
        <f t="shared" si="29"/>
        <v>0</v>
      </c>
      <c r="Y65" s="70">
        <f t="shared" si="30"/>
        <v>1.5811388300841898</v>
      </c>
      <c r="Z65" s="70">
        <f t="shared" si="31"/>
        <v>0</v>
      </c>
      <c r="AA65" s="69" t="str">
        <f t="shared" si="32"/>
        <v>Negligible</v>
      </c>
      <c r="AB65" s="69" t="str">
        <f t="shared" si="33"/>
        <v>Tidak Ada Indikasi Bias</v>
      </c>
    </row>
    <row r="66" spans="1:28" ht="37.5" customHeight="1" x14ac:dyDescent="0.35">
      <c r="A66" s="71" t="str">
        <f>TKO!A60</f>
        <v>56. Mengapa penting untuk mengidentifikasi dan menetapkan kompetensi dan kriteria jabatan dalam sebuah organisasi Pendidikan Tinggi</v>
      </c>
      <c r="B66" s="69">
        <f>TKO!B60</f>
        <v>0</v>
      </c>
      <c r="C66" s="69">
        <f>TKO!C60</f>
        <v>0</v>
      </c>
      <c r="D66" s="69">
        <f>TKO!D60</f>
        <v>0</v>
      </c>
      <c r="E66" s="69">
        <f>TKO!E60</f>
        <v>0</v>
      </c>
      <c r="F66" s="69">
        <f>TKO!F60</f>
        <v>1</v>
      </c>
      <c r="G66" s="69">
        <f>TKO!G60</f>
        <v>1</v>
      </c>
      <c r="H66" s="69">
        <f>TKO!H60</f>
        <v>1</v>
      </c>
      <c r="I66" s="69">
        <f>TKO!I60</f>
        <v>0</v>
      </c>
      <c r="J66" s="69">
        <f>TKO!J60</f>
        <v>1</v>
      </c>
      <c r="K66" s="69">
        <f>TKO!K60</f>
        <v>0</v>
      </c>
      <c r="L66" s="69">
        <f t="shared" si="17"/>
        <v>5</v>
      </c>
      <c r="M66" s="69">
        <f t="shared" si="18"/>
        <v>5</v>
      </c>
      <c r="N66" s="69">
        <f t="shared" si="19"/>
        <v>2</v>
      </c>
      <c r="O66" s="69">
        <f t="shared" si="20"/>
        <v>2</v>
      </c>
      <c r="P66" s="69">
        <f t="shared" si="21"/>
        <v>2</v>
      </c>
      <c r="Q66" s="69">
        <f t="shared" si="22"/>
        <v>2</v>
      </c>
      <c r="R66" s="70">
        <f t="shared" si="23"/>
        <v>0.40546510810816438</v>
      </c>
      <c r="S66" s="70">
        <f t="shared" si="24"/>
        <v>0.40546510810816438</v>
      </c>
      <c r="T66" s="70">
        <f t="shared" si="25"/>
        <v>0.28683790673401638</v>
      </c>
      <c r="U66" s="70">
        <f t="shared" si="26"/>
        <v>0.28683790673401638</v>
      </c>
      <c r="V66" s="70">
        <f t="shared" si="27"/>
        <v>0.91287092917527679</v>
      </c>
      <c r="W66" s="70">
        <f t="shared" si="28"/>
        <v>0.91287092917527679</v>
      </c>
      <c r="X66" s="70">
        <f t="shared" si="29"/>
        <v>0</v>
      </c>
      <c r="Y66" s="70">
        <f t="shared" si="30"/>
        <v>1.2909944487358056</v>
      </c>
      <c r="Z66" s="70">
        <f t="shared" si="31"/>
        <v>0</v>
      </c>
      <c r="AA66" s="69" t="str">
        <f t="shared" si="32"/>
        <v>Negligible</v>
      </c>
      <c r="AB66" s="69" t="str">
        <f t="shared" si="33"/>
        <v>Tidak Ada Indikasi Bias</v>
      </c>
    </row>
    <row r="67" spans="1:28" ht="37.5" customHeight="1" x14ac:dyDescent="0.35">
      <c r="A67" s="71" t="str">
        <f>TKO!A61</f>
        <v>57. Apa manfaat memiliki seorang pimpinan yang memenuhi kriteria unjuk kerja dalam bidangnya bagi organisasi Pendidikan Tinggi</v>
      </c>
      <c r="B67" s="69">
        <f>TKO!B61</f>
        <v>1</v>
      </c>
      <c r="C67" s="69">
        <f>TKO!C61</f>
        <v>1</v>
      </c>
      <c r="D67" s="69">
        <f>TKO!D61</f>
        <v>0</v>
      </c>
      <c r="E67" s="69">
        <f>TKO!E61</f>
        <v>1</v>
      </c>
      <c r="F67" s="69">
        <f>TKO!F61</f>
        <v>1</v>
      </c>
      <c r="G67" s="69">
        <f>TKO!G61</f>
        <v>1</v>
      </c>
      <c r="H67" s="69">
        <f>TKO!H61</f>
        <v>0</v>
      </c>
      <c r="I67" s="69">
        <f>TKO!I61</f>
        <v>0</v>
      </c>
      <c r="J67" s="69">
        <f>TKO!J61</f>
        <v>1</v>
      </c>
      <c r="K67" s="69">
        <f>TKO!K61</f>
        <v>0</v>
      </c>
      <c r="L67" s="69">
        <f t="shared" si="17"/>
        <v>5</v>
      </c>
      <c r="M67" s="69">
        <f t="shared" si="18"/>
        <v>5</v>
      </c>
      <c r="N67" s="69">
        <f t="shared" si="19"/>
        <v>3</v>
      </c>
      <c r="O67" s="69">
        <f t="shared" si="20"/>
        <v>3</v>
      </c>
      <c r="P67" s="69">
        <f t="shared" si="21"/>
        <v>3</v>
      </c>
      <c r="Q67" s="69">
        <f t="shared" si="22"/>
        <v>3</v>
      </c>
      <c r="R67" s="70">
        <f t="shared" si="23"/>
        <v>-0.40546510810816444</v>
      </c>
      <c r="S67" s="70">
        <f t="shared" si="24"/>
        <v>-0.40546510810816444</v>
      </c>
      <c r="T67" s="70">
        <f t="shared" si="25"/>
        <v>-0.52409230948231245</v>
      </c>
      <c r="U67" s="70">
        <f t="shared" si="26"/>
        <v>-0.52409230948231245</v>
      </c>
      <c r="V67" s="70">
        <f t="shared" si="27"/>
        <v>0.91287092917527679</v>
      </c>
      <c r="W67" s="70">
        <f t="shared" si="28"/>
        <v>0.91287092917527679</v>
      </c>
      <c r="X67" s="70">
        <f t="shared" si="29"/>
        <v>0</v>
      </c>
      <c r="Y67" s="70">
        <f t="shared" si="30"/>
        <v>1.2909944487358056</v>
      </c>
      <c r="Z67" s="70">
        <f t="shared" si="31"/>
        <v>0</v>
      </c>
      <c r="AA67" s="69" t="str">
        <f t="shared" si="32"/>
        <v>Negligible</v>
      </c>
      <c r="AB67" s="69" t="str">
        <f t="shared" si="33"/>
        <v>Tidak Ada Indikasi Bias</v>
      </c>
    </row>
    <row r="68" spans="1:28" ht="37.5" x14ac:dyDescent="0.35">
      <c r="A68" s="71" t="str">
        <f>TKO!A62</f>
        <v>58. Apa yang merupakan langkah pertama dalam mengembangkan pola kepemimpinan efektif di perguruan tinggi</v>
      </c>
      <c r="B68" s="69">
        <f>TKO!B62</f>
        <v>0</v>
      </c>
      <c r="C68" s="69">
        <f>TKO!C62</f>
        <v>1</v>
      </c>
      <c r="D68" s="69">
        <f>TKO!D62</f>
        <v>1</v>
      </c>
      <c r="E68" s="69">
        <f>TKO!E62</f>
        <v>0</v>
      </c>
      <c r="F68" s="69">
        <f>TKO!F62</f>
        <v>0</v>
      </c>
      <c r="G68" s="69">
        <f>TKO!G62</f>
        <v>1</v>
      </c>
      <c r="H68" s="69">
        <f>TKO!H62</f>
        <v>1</v>
      </c>
      <c r="I68" s="69">
        <f>TKO!I62</f>
        <v>0</v>
      </c>
      <c r="J68" s="69">
        <f>TKO!J62</f>
        <v>1</v>
      </c>
      <c r="K68" s="69">
        <f>TKO!K62</f>
        <v>1</v>
      </c>
      <c r="L68" s="69">
        <f t="shared" si="17"/>
        <v>5</v>
      </c>
      <c r="M68" s="69">
        <f t="shared" si="18"/>
        <v>5</v>
      </c>
      <c r="N68" s="69">
        <f t="shared" si="19"/>
        <v>3</v>
      </c>
      <c r="O68" s="69">
        <f t="shared" si="20"/>
        <v>3</v>
      </c>
      <c r="P68" s="69">
        <f t="shared" si="21"/>
        <v>3</v>
      </c>
      <c r="Q68" s="69">
        <f t="shared" si="22"/>
        <v>3</v>
      </c>
      <c r="R68" s="70">
        <f t="shared" si="23"/>
        <v>-0.40546510810816444</v>
      </c>
      <c r="S68" s="70">
        <f t="shared" si="24"/>
        <v>-0.40546510810816444</v>
      </c>
      <c r="T68" s="70">
        <f t="shared" si="25"/>
        <v>-0.52409230948231245</v>
      </c>
      <c r="U68" s="70">
        <f t="shared" si="26"/>
        <v>-0.52409230948231245</v>
      </c>
      <c r="V68" s="70">
        <f t="shared" si="27"/>
        <v>0.91287092917527679</v>
      </c>
      <c r="W68" s="70">
        <f t="shared" si="28"/>
        <v>0.91287092917527679</v>
      </c>
      <c r="X68" s="70">
        <f t="shared" si="29"/>
        <v>0</v>
      </c>
      <c r="Y68" s="70">
        <f t="shared" si="30"/>
        <v>1.2909944487358056</v>
      </c>
      <c r="Z68" s="70">
        <f t="shared" si="31"/>
        <v>0</v>
      </c>
      <c r="AA68" s="69" t="str">
        <f t="shared" si="32"/>
        <v>Negligible</v>
      </c>
      <c r="AB68" s="69" t="str">
        <f t="shared" si="33"/>
        <v>Tidak Ada Indikasi Bias</v>
      </c>
    </row>
    <row r="69" spans="1:28" ht="37.5" x14ac:dyDescent="0.35">
      <c r="A69" s="71" t="str">
        <f>TKO!A63</f>
        <v>59. Apa yang dimaksud dengan pola kepemimpinan operasional di perguruan tinggi</v>
      </c>
      <c r="B69" s="69">
        <f>TKO!B63</f>
        <v>0</v>
      </c>
      <c r="C69" s="69">
        <f>TKO!C63</f>
        <v>1</v>
      </c>
      <c r="D69" s="69">
        <f>TKO!D63</f>
        <v>1</v>
      </c>
      <c r="E69" s="69">
        <f>TKO!E63</f>
        <v>0</v>
      </c>
      <c r="F69" s="69">
        <f>TKO!F63</f>
        <v>0</v>
      </c>
      <c r="G69" s="69">
        <f>TKO!G63</f>
        <v>1</v>
      </c>
      <c r="H69" s="69">
        <f>TKO!H63</f>
        <v>0</v>
      </c>
      <c r="I69" s="69">
        <f>TKO!I63</f>
        <v>1</v>
      </c>
      <c r="J69" s="69">
        <f>TKO!J63</f>
        <v>1</v>
      </c>
      <c r="K69" s="69">
        <f>TKO!K63</f>
        <v>1</v>
      </c>
      <c r="L69" s="69">
        <f t="shared" si="17"/>
        <v>5</v>
      </c>
      <c r="M69" s="69">
        <f t="shared" si="18"/>
        <v>5</v>
      </c>
      <c r="N69" s="69">
        <f t="shared" si="19"/>
        <v>3</v>
      </c>
      <c r="O69" s="69">
        <f t="shared" si="20"/>
        <v>3</v>
      </c>
      <c r="P69" s="69">
        <f t="shared" si="21"/>
        <v>3</v>
      </c>
      <c r="Q69" s="69">
        <f t="shared" si="22"/>
        <v>3</v>
      </c>
      <c r="R69" s="70">
        <f t="shared" si="23"/>
        <v>-0.40546510810816444</v>
      </c>
      <c r="S69" s="70">
        <f t="shared" si="24"/>
        <v>-0.40546510810816444</v>
      </c>
      <c r="T69" s="70">
        <f t="shared" si="25"/>
        <v>-0.52409230948231245</v>
      </c>
      <c r="U69" s="70">
        <f t="shared" si="26"/>
        <v>-0.52409230948231245</v>
      </c>
      <c r="V69" s="70">
        <f t="shared" si="27"/>
        <v>0.91287092917527679</v>
      </c>
      <c r="W69" s="70">
        <f t="shared" si="28"/>
        <v>0.91287092917527679</v>
      </c>
      <c r="X69" s="70">
        <f t="shared" si="29"/>
        <v>0</v>
      </c>
      <c r="Y69" s="70">
        <f t="shared" si="30"/>
        <v>1.2909944487358056</v>
      </c>
      <c r="Z69" s="70">
        <f t="shared" si="31"/>
        <v>0</v>
      </c>
      <c r="AA69" s="69" t="str">
        <f t="shared" si="32"/>
        <v>Negligible</v>
      </c>
      <c r="AB69" s="69" t="str">
        <f t="shared" si="33"/>
        <v>Tidak Ada Indikasi Bias</v>
      </c>
    </row>
    <row r="70" spans="1:28" ht="37.5" x14ac:dyDescent="0.35">
      <c r="A70" s="71" t="str">
        <f>TKO!A64</f>
        <v>60. Apa yang dimaksud dengan standar dalam konteks penerapan pola kepemimpinan operasional</v>
      </c>
      <c r="B70" s="69">
        <f>TKO!B64</f>
        <v>1</v>
      </c>
      <c r="C70" s="69">
        <f>TKO!C64</f>
        <v>1</v>
      </c>
      <c r="D70" s="69">
        <f>TKO!D64</f>
        <v>1</v>
      </c>
      <c r="E70" s="69">
        <f>TKO!E64</f>
        <v>0</v>
      </c>
      <c r="F70" s="69">
        <f>TKO!F64</f>
        <v>1</v>
      </c>
      <c r="G70" s="69">
        <f>TKO!G64</f>
        <v>0</v>
      </c>
      <c r="H70" s="69">
        <f>TKO!H64</f>
        <v>0</v>
      </c>
      <c r="I70" s="69">
        <f>TKO!I64</f>
        <v>0</v>
      </c>
      <c r="J70" s="69">
        <f>TKO!J64</f>
        <v>0</v>
      </c>
      <c r="K70" s="69">
        <f>TKO!K64</f>
        <v>0</v>
      </c>
      <c r="L70" s="69">
        <f t="shared" si="17"/>
        <v>5</v>
      </c>
      <c r="M70" s="69">
        <f t="shared" si="18"/>
        <v>5</v>
      </c>
      <c r="N70" s="69">
        <f t="shared" si="19"/>
        <v>2</v>
      </c>
      <c r="O70" s="69">
        <f t="shared" si="20"/>
        <v>2</v>
      </c>
      <c r="P70" s="69">
        <f t="shared" si="21"/>
        <v>2</v>
      </c>
      <c r="Q70" s="69">
        <f t="shared" si="22"/>
        <v>2</v>
      </c>
      <c r="R70" s="70">
        <f t="shared" si="23"/>
        <v>0.40546510810816438</v>
      </c>
      <c r="S70" s="70">
        <f t="shared" si="24"/>
        <v>0.40546510810816438</v>
      </c>
      <c r="T70" s="70">
        <f t="shared" si="25"/>
        <v>0.28683790673401638</v>
      </c>
      <c r="U70" s="70">
        <f t="shared" si="26"/>
        <v>0.28683790673401638</v>
      </c>
      <c r="V70" s="70">
        <f t="shared" si="27"/>
        <v>0.91287092917527679</v>
      </c>
      <c r="W70" s="70">
        <f t="shared" si="28"/>
        <v>0.91287092917527679</v>
      </c>
      <c r="X70" s="70">
        <f t="shared" si="29"/>
        <v>0</v>
      </c>
      <c r="Y70" s="70">
        <f t="shared" si="30"/>
        <v>1.2909944487358056</v>
      </c>
      <c r="Z70" s="70">
        <f t="shared" si="31"/>
        <v>0</v>
      </c>
      <c r="AA70" s="69" t="str">
        <f t="shared" si="32"/>
        <v>Negligible</v>
      </c>
      <c r="AB70" s="69" t="str">
        <f t="shared" si="33"/>
        <v>Tidak Ada Indikasi Bias</v>
      </c>
    </row>
    <row r="71" spans="1:28" ht="37.5" x14ac:dyDescent="0.35">
      <c r="A71" s="71" t="str">
        <f>TKO!A65</f>
        <v>61. Salah satu aspek penting dalam penerapan pola kepemimpinan organisasional adalah</v>
      </c>
      <c r="B71" s="69">
        <f>TKO!B65</f>
        <v>1</v>
      </c>
      <c r="C71" s="69">
        <f>TKO!C65</f>
        <v>1</v>
      </c>
      <c r="D71" s="69">
        <f>TKO!D65</f>
        <v>1</v>
      </c>
      <c r="E71" s="69">
        <f>TKO!E65</f>
        <v>1</v>
      </c>
      <c r="F71" s="69">
        <f>TKO!F65</f>
        <v>1</v>
      </c>
      <c r="G71" s="69">
        <f>TKO!G65</f>
        <v>0</v>
      </c>
      <c r="H71" s="69">
        <f>TKO!H65</f>
        <v>1</v>
      </c>
      <c r="I71" s="69">
        <f>TKO!I65</f>
        <v>0</v>
      </c>
      <c r="J71" s="69">
        <f>TKO!J65</f>
        <v>0</v>
      </c>
      <c r="K71" s="69">
        <f>TKO!K65</f>
        <v>0</v>
      </c>
      <c r="L71" s="69">
        <f t="shared" si="17"/>
        <v>5</v>
      </c>
      <c r="M71" s="69">
        <f t="shared" si="18"/>
        <v>5</v>
      </c>
      <c r="N71" s="69">
        <f t="shared" si="19"/>
        <v>3</v>
      </c>
      <c r="O71" s="69">
        <f t="shared" si="20"/>
        <v>3</v>
      </c>
      <c r="P71" s="69">
        <f t="shared" si="21"/>
        <v>3</v>
      </c>
      <c r="Q71" s="69">
        <f t="shared" si="22"/>
        <v>3</v>
      </c>
      <c r="R71" s="70">
        <f t="shared" si="23"/>
        <v>-0.40546510810816444</v>
      </c>
      <c r="S71" s="70">
        <f t="shared" si="24"/>
        <v>-0.40546510810816444</v>
      </c>
      <c r="T71" s="70">
        <f t="shared" si="25"/>
        <v>-0.52409230948231245</v>
      </c>
      <c r="U71" s="70">
        <f t="shared" si="26"/>
        <v>-0.52409230948231245</v>
      </c>
      <c r="V71" s="70">
        <f t="shared" si="27"/>
        <v>0.91287092917527679</v>
      </c>
      <c r="W71" s="70">
        <f t="shared" si="28"/>
        <v>0.91287092917527679</v>
      </c>
      <c r="X71" s="70">
        <f t="shared" si="29"/>
        <v>0</v>
      </c>
      <c r="Y71" s="70">
        <f t="shared" si="30"/>
        <v>1.2909944487358056</v>
      </c>
      <c r="Z71" s="70">
        <f t="shared" si="31"/>
        <v>0</v>
      </c>
      <c r="AA71" s="69" t="str">
        <f t="shared" si="32"/>
        <v>Negligible</v>
      </c>
      <c r="AB71" s="69" t="str">
        <f t="shared" si="33"/>
        <v>Tidak Ada Indikasi Bias</v>
      </c>
    </row>
    <row r="72" spans="1:28" ht="100" x14ac:dyDescent="0.35">
      <c r="A72" s="71" t="str">
        <f>TKO!A66</f>
        <v>62. Kepemimpinan publik berkaitan dengan kemampuan menjalin kerjasama. Untuk itu, setiap pimpinan harus menjadi bagian dari sebuah komunitas sosial, asosiasi, ataupun organisasi massa non politik. Dampak yang diharapkan dari adanya kepemimpinan publik untuk organisasi Pendidikan tinggi adalah</v>
      </c>
      <c r="B72" s="69">
        <f>TKO!B66</f>
        <v>1</v>
      </c>
      <c r="C72" s="69">
        <f>TKO!C66</f>
        <v>0</v>
      </c>
      <c r="D72" s="69">
        <f>TKO!D66</f>
        <v>0</v>
      </c>
      <c r="E72" s="69">
        <f>TKO!E66</f>
        <v>1</v>
      </c>
      <c r="F72" s="69">
        <f>TKO!F66</f>
        <v>1</v>
      </c>
      <c r="G72" s="69">
        <f>TKO!G66</f>
        <v>1</v>
      </c>
      <c r="H72" s="69">
        <f>TKO!H66</f>
        <v>0</v>
      </c>
      <c r="I72" s="69">
        <f>TKO!I66</f>
        <v>0</v>
      </c>
      <c r="J72" s="69">
        <f>TKO!J66</f>
        <v>0</v>
      </c>
      <c r="K72" s="69">
        <f>TKO!K66</f>
        <v>0</v>
      </c>
      <c r="L72" s="69">
        <f t="shared" si="17"/>
        <v>5</v>
      </c>
      <c r="M72" s="69">
        <f t="shared" si="18"/>
        <v>5</v>
      </c>
      <c r="N72" s="69">
        <f t="shared" si="19"/>
        <v>2</v>
      </c>
      <c r="O72" s="69">
        <f t="shared" si="20"/>
        <v>2</v>
      </c>
      <c r="P72" s="69">
        <f t="shared" si="21"/>
        <v>2</v>
      </c>
      <c r="Q72" s="69">
        <f t="shared" si="22"/>
        <v>2</v>
      </c>
      <c r="R72" s="70">
        <f t="shared" si="23"/>
        <v>0.40546510810816438</v>
      </c>
      <c r="S72" s="70">
        <f t="shared" si="24"/>
        <v>0.40546510810816438</v>
      </c>
      <c r="T72" s="70">
        <f t="shared" si="25"/>
        <v>0.28683790673401638</v>
      </c>
      <c r="U72" s="70">
        <f t="shared" si="26"/>
        <v>0.28683790673401638</v>
      </c>
      <c r="V72" s="70">
        <f t="shared" si="27"/>
        <v>0.91287092917527679</v>
      </c>
      <c r="W72" s="70">
        <f t="shared" si="28"/>
        <v>0.91287092917527679</v>
      </c>
      <c r="X72" s="70">
        <f t="shared" si="29"/>
        <v>0</v>
      </c>
      <c r="Y72" s="70">
        <f t="shared" si="30"/>
        <v>1.2909944487358056</v>
      </c>
      <c r="Z72" s="70">
        <f t="shared" si="31"/>
        <v>0</v>
      </c>
      <c r="AA72" s="69" t="str">
        <f t="shared" si="32"/>
        <v>Negligible</v>
      </c>
      <c r="AB72" s="69" t="str">
        <f t="shared" si="33"/>
        <v>Tidak Ada Indikasi Bias</v>
      </c>
    </row>
    <row r="73" spans="1:28" ht="37.5" x14ac:dyDescent="0.35">
      <c r="A73" s="71" t="str">
        <f>TKO!A67</f>
        <v>63. Apa yang menjadi fokus utama dalam pengukuran dan evaluasi pola kepemimpinan perguruan tinggi</v>
      </c>
      <c r="B73" s="69">
        <f>TKO!B67</f>
        <v>0</v>
      </c>
      <c r="C73" s="69">
        <f>TKO!C67</f>
        <v>1</v>
      </c>
      <c r="D73" s="69">
        <f>TKO!D67</f>
        <v>0</v>
      </c>
      <c r="E73" s="69">
        <f>TKO!E67</f>
        <v>0</v>
      </c>
      <c r="F73" s="69">
        <f>TKO!F67</f>
        <v>1</v>
      </c>
      <c r="G73" s="69">
        <f>TKO!G67</f>
        <v>0</v>
      </c>
      <c r="H73" s="69">
        <f>TKO!H67</f>
        <v>1</v>
      </c>
      <c r="I73" s="69">
        <f>TKO!I67</f>
        <v>1</v>
      </c>
      <c r="J73" s="69">
        <f>TKO!J67</f>
        <v>1</v>
      </c>
      <c r="K73" s="69">
        <f>TKO!K67</f>
        <v>1</v>
      </c>
      <c r="L73" s="69">
        <f t="shared" si="17"/>
        <v>5</v>
      </c>
      <c r="M73" s="69">
        <f t="shared" si="18"/>
        <v>5</v>
      </c>
      <c r="N73" s="69">
        <f t="shared" si="19"/>
        <v>3</v>
      </c>
      <c r="O73" s="69">
        <f t="shared" si="20"/>
        <v>3</v>
      </c>
      <c r="P73" s="69">
        <f t="shared" si="21"/>
        <v>3</v>
      </c>
      <c r="Q73" s="69">
        <f t="shared" si="22"/>
        <v>3</v>
      </c>
      <c r="R73" s="70">
        <f t="shared" si="23"/>
        <v>-0.40546510810816444</v>
      </c>
      <c r="S73" s="70">
        <f t="shared" si="24"/>
        <v>-0.40546510810816444</v>
      </c>
      <c r="T73" s="70">
        <f t="shared" si="25"/>
        <v>-0.52409230948231245</v>
      </c>
      <c r="U73" s="70">
        <f t="shared" si="26"/>
        <v>-0.52409230948231245</v>
      </c>
      <c r="V73" s="70">
        <f t="shared" si="27"/>
        <v>0.91287092917527679</v>
      </c>
      <c r="W73" s="70">
        <f t="shared" si="28"/>
        <v>0.91287092917527679</v>
      </c>
      <c r="X73" s="70">
        <f t="shared" si="29"/>
        <v>0</v>
      </c>
      <c r="Y73" s="70">
        <f t="shared" si="30"/>
        <v>1.2909944487358056</v>
      </c>
      <c r="Z73" s="70">
        <f t="shared" si="31"/>
        <v>0</v>
      </c>
      <c r="AA73" s="69" t="str">
        <f t="shared" si="32"/>
        <v>Negligible</v>
      </c>
      <c r="AB73" s="69" t="str">
        <f t="shared" si="33"/>
        <v>Tidak Ada Indikasi Bias</v>
      </c>
    </row>
    <row r="74" spans="1:28" ht="37.5" x14ac:dyDescent="0.35">
      <c r="A74" s="71" t="str">
        <f>TKO!A68</f>
        <v>64. Apa manfaat dari menganalisis umpan balik dari hasil pengukuran kepuasan terkait dengan pola kepemimpinan</v>
      </c>
      <c r="B74" s="69">
        <f>TKO!B68</f>
        <v>1</v>
      </c>
      <c r="C74" s="69">
        <f>TKO!C68</f>
        <v>1</v>
      </c>
      <c r="D74" s="69">
        <f>TKO!D68</f>
        <v>0</v>
      </c>
      <c r="E74" s="69">
        <f>TKO!E68</f>
        <v>0</v>
      </c>
      <c r="F74" s="69">
        <f>TKO!F68</f>
        <v>1</v>
      </c>
      <c r="G74" s="69">
        <f>TKO!G68</f>
        <v>0</v>
      </c>
      <c r="H74" s="69">
        <f>TKO!H68</f>
        <v>0</v>
      </c>
      <c r="I74" s="69">
        <f>TKO!I68</f>
        <v>0</v>
      </c>
      <c r="J74" s="69">
        <f>TKO!J68</f>
        <v>0</v>
      </c>
      <c r="K74" s="69">
        <f>TKO!K68</f>
        <v>1</v>
      </c>
      <c r="L74" s="69">
        <f t="shared" si="17"/>
        <v>5</v>
      </c>
      <c r="M74" s="69">
        <f t="shared" si="18"/>
        <v>5</v>
      </c>
      <c r="N74" s="69">
        <f t="shared" si="19"/>
        <v>2</v>
      </c>
      <c r="O74" s="69">
        <f t="shared" si="20"/>
        <v>2</v>
      </c>
      <c r="P74" s="69">
        <f t="shared" si="21"/>
        <v>2</v>
      </c>
      <c r="Q74" s="69">
        <f t="shared" si="22"/>
        <v>2</v>
      </c>
      <c r="R74" s="70">
        <f t="shared" si="23"/>
        <v>0.40546510810816438</v>
      </c>
      <c r="S74" s="70">
        <f t="shared" si="24"/>
        <v>0.40546510810816438</v>
      </c>
      <c r="T74" s="70">
        <f t="shared" si="25"/>
        <v>0.28683790673401638</v>
      </c>
      <c r="U74" s="70">
        <f t="shared" si="26"/>
        <v>0.28683790673401638</v>
      </c>
      <c r="V74" s="70">
        <f t="shared" si="27"/>
        <v>0.91287092917527679</v>
      </c>
      <c r="W74" s="70">
        <f t="shared" si="28"/>
        <v>0.91287092917527679</v>
      </c>
      <c r="X74" s="70">
        <f t="shared" si="29"/>
        <v>0</v>
      </c>
      <c r="Y74" s="70">
        <f t="shared" si="30"/>
        <v>1.2909944487358056</v>
      </c>
      <c r="Z74" s="70">
        <f t="shared" si="31"/>
        <v>0</v>
      </c>
      <c r="AA74" s="69" t="str">
        <f t="shared" si="32"/>
        <v>Negligible</v>
      </c>
      <c r="AB74" s="69" t="str">
        <f t="shared" si="33"/>
        <v>Tidak Ada Indikasi Bias</v>
      </c>
    </row>
    <row r="75" spans="1:28" ht="37.5" x14ac:dyDescent="0.35">
      <c r="A75" s="71" t="str">
        <f>TKO!A69</f>
        <v>65. Apa yang harus menjadi fokus utama dalam rencana tindak lanjut pola kepemimpinan</v>
      </c>
      <c r="B75" s="69">
        <f>TKO!B69</f>
        <v>1</v>
      </c>
      <c r="C75" s="69">
        <f>TKO!C69</f>
        <v>1</v>
      </c>
      <c r="D75" s="69">
        <f>TKO!D69</f>
        <v>1</v>
      </c>
      <c r="E75" s="69">
        <f>TKO!E69</f>
        <v>1</v>
      </c>
      <c r="F75" s="69">
        <f>TKO!F69</f>
        <v>1</v>
      </c>
      <c r="G75" s="69">
        <f>TKO!G69</f>
        <v>0</v>
      </c>
      <c r="H75" s="69">
        <f>TKO!H69</f>
        <v>1</v>
      </c>
      <c r="I75" s="69">
        <f>TKO!I69</f>
        <v>0</v>
      </c>
      <c r="J75" s="69">
        <f>TKO!J69</f>
        <v>0</v>
      </c>
      <c r="K75" s="69">
        <f>TKO!K69</f>
        <v>0</v>
      </c>
      <c r="L75" s="69">
        <f t="shared" ref="L75:L110" si="34">COUNTIF($B$8:$K$8,"Laki-Laki")</f>
        <v>5</v>
      </c>
      <c r="M75" s="69">
        <f t="shared" ref="M75:M110" si="35">COUNTIF($B$8:$K$8,"Perempuan")</f>
        <v>5</v>
      </c>
      <c r="N75" s="69">
        <f t="shared" ref="N75:N110" si="36">SUMIF($B$8:$K$8,"Laki-Laki",B75:K75)</f>
        <v>3</v>
      </c>
      <c r="O75" s="69">
        <f t="shared" ref="O75:O110" si="37">SUMIF($B$8:$K$8,"Perempuan",B75:K75)</f>
        <v>3</v>
      </c>
      <c r="P75" s="69">
        <f t="shared" ref="P75:P110" si="38">IF(N75=0,0.3,IF(N75=L75,L75-0.3,N75))</f>
        <v>3</v>
      </c>
      <c r="Q75" s="69">
        <f t="shared" ref="Q75:Q110" si="39">IF(O75=0,0.3,IF(O75=M75,M75-0.3,O75))</f>
        <v>3</v>
      </c>
      <c r="R75" s="70">
        <f t="shared" ref="R75:R110" si="40">LN((L75-P75)/P75)</f>
        <v>-0.40546510810816444</v>
      </c>
      <c r="S75" s="70">
        <f t="shared" ref="S75:S110" si="41">LN((M75-Q75)/Q75)</f>
        <v>-0.40546510810816444</v>
      </c>
      <c r="T75" s="70">
        <f t="shared" ref="T75:T110" si="42">R75-AVERAGE($R$11:$R$110)</f>
        <v>-0.52409230948231245</v>
      </c>
      <c r="U75" s="70">
        <f t="shared" ref="U75:U110" si="43">S75-AVERAGE($S$11:$S$110)</f>
        <v>-0.52409230948231245</v>
      </c>
      <c r="V75" s="70">
        <f t="shared" ref="V75:V110" si="44">SQRT(1/P75+1/(L75-P75))</f>
        <v>0.91287092917527679</v>
      </c>
      <c r="W75" s="70">
        <f t="shared" ref="W75:W110" si="45">SQRT(1/Q75+1/(M75-Q75))</f>
        <v>0.91287092917527679</v>
      </c>
      <c r="X75" s="70">
        <f t="shared" ref="X75:X110" si="46">T75-U75</f>
        <v>0</v>
      </c>
      <c r="Y75" s="70">
        <f t="shared" ref="Y75:Y110" si="47">SQRT(V75^2+W75^2)</f>
        <v>1.2909944487358056</v>
      </c>
      <c r="Z75" s="70">
        <f t="shared" ref="Z75:Z106" si="48">X75/Y75</f>
        <v>0</v>
      </c>
      <c r="AA75" s="69" t="str">
        <f t="shared" ref="AA75:AA106" si="49">IF(AND(ABS(X75)&gt;=$B$4,ABS(Z75)&gt;=$B$5),"DIF Besar - review",IF(AND(ABS(X75)&gt;=$B$3,ABS(Z75)&gt;=$B$5),"DIF Moderat - cek","Negligible"))</f>
        <v>Negligible</v>
      </c>
      <c r="AB75" s="69" t="str">
        <f t="shared" ref="AB75:AB110" si="50">IF(ABS(X75)&gt;=$B$4,"Berpotensi Bias - Tinjau Konten",IF(ABS(X75)&gt;=$B$3,"Indikasi Ringan - Pantau","Tidak Ada Indikasi Bias"))</f>
        <v>Tidak Ada Indikasi Bias</v>
      </c>
    </row>
    <row r="76" spans="1:28" ht="37.5" x14ac:dyDescent="0.35">
      <c r="A76" s="71" t="str">
        <f>TKO!A70</f>
        <v>66. Apa yang dilakukan dalam proses validasi rencana tindak lanjut pola kepemimpinan perguruan tinggi</v>
      </c>
      <c r="B76" s="69">
        <f>TKO!B70</f>
        <v>1</v>
      </c>
      <c r="C76" s="69">
        <f>TKO!C70</f>
        <v>0</v>
      </c>
      <c r="D76" s="69">
        <f>TKO!D70</f>
        <v>0</v>
      </c>
      <c r="E76" s="69">
        <f>TKO!E70</f>
        <v>1</v>
      </c>
      <c r="F76" s="69">
        <f>TKO!F70</f>
        <v>1</v>
      </c>
      <c r="G76" s="69">
        <f>TKO!G70</f>
        <v>0</v>
      </c>
      <c r="H76" s="69">
        <f>TKO!H70</f>
        <v>1</v>
      </c>
      <c r="I76" s="69">
        <f>TKO!I70</f>
        <v>0</v>
      </c>
      <c r="J76" s="69">
        <f>TKO!J70</f>
        <v>0</v>
      </c>
      <c r="K76" s="69">
        <f>TKO!K70</f>
        <v>0</v>
      </c>
      <c r="L76" s="69">
        <f t="shared" si="34"/>
        <v>5</v>
      </c>
      <c r="M76" s="69">
        <f t="shared" si="35"/>
        <v>5</v>
      </c>
      <c r="N76" s="69">
        <f t="shared" si="36"/>
        <v>2</v>
      </c>
      <c r="O76" s="69">
        <f t="shared" si="37"/>
        <v>2</v>
      </c>
      <c r="P76" s="69">
        <f t="shared" si="38"/>
        <v>2</v>
      </c>
      <c r="Q76" s="69">
        <f t="shared" si="39"/>
        <v>2</v>
      </c>
      <c r="R76" s="70">
        <f t="shared" si="40"/>
        <v>0.40546510810816438</v>
      </c>
      <c r="S76" s="70">
        <f t="shared" si="41"/>
        <v>0.40546510810816438</v>
      </c>
      <c r="T76" s="70">
        <f t="shared" si="42"/>
        <v>0.28683790673401638</v>
      </c>
      <c r="U76" s="70">
        <f t="shared" si="43"/>
        <v>0.28683790673401638</v>
      </c>
      <c r="V76" s="70">
        <f t="shared" si="44"/>
        <v>0.91287092917527679</v>
      </c>
      <c r="W76" s="70">
        <f t="shared" si="45"/>
        <v>0.91287092917527679</v>
      </c>
      <c r="X76" s="70">
        <f t="shared" si="46"/>
        <v>0</v>
      </c>
      <c r="Y76" s="70">
        <f t="shared" si="47"/>
        <v>1.2909944487358056</v>
      </c>
      <c r="Z76" s="70">
        <f t="shared" si="48"/>
        <v>0</v>
      </c>
      <c r="AA76" s="69" t="str">
        <f t="shared" si="49"/>
        <v>Negligible</v>
      </c>
      <c r="AB76" s="69" t="str">
        <f t="shared" si="50"/>
        <v>Tidak Ada Indikasi Bias</v>
      </c>
    </row>
    <row r="77" spans="1:28" ht="50" x14ac:dyDescent="0.35">
      <c r="A77" s="71" t="str">
        <f>TKO!A71</f>
        <v>67. Apa yang harus dilakukan jika terdapat perbedaan pendapat antara anggota organisasi dalam menentukan rancangan program kegiatan</v>
      </c>
      <c r="B77" s="69">
        <f>TKO!B71</f>
        <v>0</v>
      </c>
      <c r="C77" s="69">
        <f>TKO!C71</f>
        <v>1</v>
      </c>
      <c r="D77" s="69">
        <f>TKO!D71</f>
        <v>0</v>
      </c>
      <c r="E77" s="69">
        <f>TKO!E71</f>
        <v>0</v>
      </c>
      <c r="F77" s="69">
        <f>TKO!F71</f>
        <v>1</v>
      </c>
      <c r="G77" s="69">
        <f>TKO!G71</f>
        <v>0</v>
      </c>
      <c r="H77" s="69">
        <f>TKO!H71</f>
        <v>0</v>
      </c>
      <c r="I77" s="69">
        <f>TKO!I71</f>
        <v>0</v>
      </c>
      <c r="J77" s="69">
        <f>TKO!J71</f>
        <v>0</v>
      </c>
      <c r="K77" s="69">
        <f>TKO!K71</f>
        <v>0</v>
      </c>
      <c r="L77" s="69">
        <f t="shared" si="34"/>
        <v>5</v>
      </c>
      <c r="M77" s="69">
        <f t="shared" si="35"/>
        <v>5</v>
      </c>
      <c r="N77" s="69">
        <f t="shared" si="36"/>
        <v>1</v>
      </c>
      <c r="O77" s="69">
        <f t="shared" si="37"/>
        <v>1</v>
      </c>
      <c r="P77" s="69">
        <f t="shared" si="38"/>
        <v>1</v>
      </c>
      <c r="Q77" s="69">
        <f t="shared" si="39"/>
        <v>1</v>
      </c>
      <c r="R77" s="70">
        <f t="shared" si="40"/>
        <v>1.3862943611198906</v>
      </c>
      <c r="S77" s="70">
        <f t="shared" si="41"/>
        <v>1.3862943611198906</v>
      </c>
      <c r="T77" s="70">
        <f t="shared" si="42"/>
        <v>1.2676671597457425</v>
      </c>
      <c r="U77" s="70">
        <f t="shared" si="43"/>
        <v>1.2676671597457425</v>
      </c>
      <c r="V77" s="70">
        <f t="shared" si="44"/>
        <v>1.1180339887498949</v>
      </c>
      <c r="W77" s="70">
        <f t="shared" si="45"/>
        <v>1.1180339887498949</v>
      </c>
      <c r="X77" s="70">
        <f t="shared" si="46"/>
        <v>0</v>
      </c>
      <c r="Y77" s="70">
        <f t="shared" si="47"/>
        <v>1.5811388300841898</v>
      </c>
      <c r="Z77" s="70">
        <f t="shared" si="48"/>
        <v>0</v>
      </c>
      <c r="AA77" s="69" t="str">
        <f t="shared" si="49"/>
        <v>Negligible</v>
      </c>
      <c r="AB77" s="69" t="str">
        <f t="shared" si="50"/>
        <v>Tidak Ada Indikasi Bias</v>
      </c>
    </row>
    <row r="78" spans="1:28" ht="37.5" x14ac:dyDescent="0.35">
      <c r="A78" s="71" t="str">
        <f>TKO!A72</f>
        <v>68. Mengapa penting untuk melakukan manajemen risiko dalam perencanaan program</v>
      </c>
      <c r="B78" s="69">
        <f>TKO!B72</f>
        <v>1</v>
      </c>
      <c r="C78" s="69">
        <f>TKO!C72</f>
        <v>0</v>
      </c>
      <c r="D78" s="69">
        <f>TKO!D72</f>
        <v>0</v>
      </c>
      <c r="E78" s="69">
        <f>TKO!E72</f>
        <v>1</v>
      </c>
      <c r="F78" s="69">
        <f>TKO!F72</f>
        <v>0</v>
      </c>
      <c r="G78" s="69">
        <f>TKO!G72</f>
        <v>1</v>
      </c>
      <c r="H78" s="69">
        <f>TKO!H72</f>
        <v>1</v>
      </c>
      <c r="I78" s="69">
        <f>TKO!I72</f>
        <v>0</v>
      </c>
      <c r="J78" s="69">
        <f>TKO!J72</f>
        <v>1</v>
      </c>
      <c r="K78" s="69">
        <f>TKO!K72</f>
        <v>1</v>
      </c>
      <c r="L78" s="69">
        <f t="shared" si="34"/>
        <v>5</v>
      </c>
      <c r="M78" s="69">
        <f t="shared" si="35"/>
        <v>5</v>
      </c>
      <c r="N78" s="69">
        <f t="shared" si="36"/>
        <v>3</v>
      </c>
      <c r="O78" s="69">
        <f t="shared" si="37"/>
        <v>3</v>
      </c>
      <c r="P78" s="69">
        <f t="shared" si="38"/>
        <v>3</v>
      </c>
      <c r="Q78" s="69">
        <f t="shared" si="39"/>
        <v>3</v>
      </c>
      <c r="R78" s="70">
        <f t="shared" si="40"/>
        <v>-0.40546510810816444</v>
      </c>
      <c r="S78" s="70">
        <f t="shared" si="41"/>
        <v>-0.40546510810816444</v>
      </c>
      <c r="T78" s="70">
        <f t="shared" si="42"/>
        <v>-0.52409230948231245</v>
      </c>
      <c r="U78" s="70">
        <f t="shared" si="43"/>
        <v>-0.52409230948231245</v>
      </c>
      <c r="V78" s="70">
        <f t="shared" si="44"/>
        <v>0.91287092917527679</v>
      </c>
      <c r="W78" s="70">
        <f t="shared" si="45"/>
        <v>0.91287092917527679</v>
      </c>
      <c r="X78" s="70">
        <f t="shared" si="46"/>
        <v>0</v>
      </c>
      <c r="Y78" s="70">
        <f t="shared" si="47"/>
        <v>1.2909944487358056</v>
      </c>
      <c r="Z78" s="70">
        <f t="shared" si="48"/>
        <v>0</v>
      </c>
      <c r="AA78" s="69" t="str">
        <f t="shared" si="49"/>
        <v>Negligible</v>
      </c>
      <c r="AB78" s="69" t="str">
        <f t="shared" si="50"/>
        <v>Tidak Ada Indikasi Bias</v>
      </c>
    </row>
    <row r="79" spans="1:28" ht="37.5" x14ac:dyDescent="0.35">
      <c r="A79" s="71" t="str">
        <f>TKO!A73</f>
        <v>69. Apa yang menjadi dasar penentuan jenis/bentuk program kegiatan dalam perencanaan</v>
      </c>
      <c r="B79" s="69">
        <f>TKO!B73</f>
        <v>0</v>
      </c>
      <c r="C79" s="69">
        <f>TKO!C73</f>
        <v>0</v>
      </c>
      <c r="D79" s="69">
        <f>TKO!D73</f>
        <v>1</v>
      </c>
      <c r="E79" s="69">
        <f>TKO!E73</f>
        <v>1</v>
      </c>
      <c r="F79" s="69">
        <f>TKO!F73</f>
        <v>0</v>
      </c>
      <c r="G79" s="69">
        <f>TKO!G73</f>
        <v>1</v>
      </c>
      <c r="H79" s="69">
        <f>TKO!H73</f>
        <v>1</v>
      </c>
      <c r="I79" s="69">
        <f>TKO!I73</f>
        <v>1</v>
      </c>
      <c r="J79" s="69">
        <f>TKO!J73</f>
        <v>0</v>
      </c>
      <c r="K79" s="69">
        <f>TKO!K73</f>
        <v>1</v>
      </c>
      <c r="L79" s="69">
        <f t="shared" si="34"/>
        <v>5</v>
      </c>
      <c r="M79" s="69">
        <f t="shared" si="35"/>
        <v>5</v>
      </c>
      <c r="N79" s="69">
        <f t="shared" si="36"/>
        <v>3</v>
      </c>
      <c r="O79" s="69">
        <f t="shared" si="37"/>
        <v>3</v>
      </c>
      <c r="P79" s="69">
        <f t="shared" si="38"/>
        <v>3</v>
      </c>
      <c r="Q79" s="69">
        <f t="shared" si="39"/>
        <v>3</v>
      </c>
      <c r="R79" s="70">
        <f t="shared" si="40"/>
        <v>-0.40546510810816444</v>
      </c>
      <c r="S79" s="70">
        <f t="shared" si="41"/>
        <v>-0.40546510810816444</v>
      </c>
      <c r="T79" s="70">
        <f t="shared" si="42"/>
        <v>-0.52409230948231245</v>
      </c>
      <c r="U79" s="70">
        <f t="shared" si="43"/>
        <v>-0.52409230948231245</v>
      </c>
      <c r="V79" s="70">
        <f t="shared" si="44"/>
        <v>0.91287092917527679</v>
      </c>
      <c r="W79" s="70">
        <f t="shared" si="45"/>
        <v>0.91287092917527679</v>
      </c>
      <c r="X79" s="70">
        <f t="shared" si="46"/>
        <v>0</v>
      </c>
      <c r="Y79" s="70">
        <f t="shared" si="47"/>
        <v>1.2909944487358056</v>
      </c>
      <c r="Z79" s="70">
        <f t="shared" si="48"/>
        <v>0</v>
      </c>
      <c r="AA79" s="69" t="str">
        <f t="shared" si="49"/>
        <v>Negligible</v>
      </c>
      <c r="AB79" s="69" t="str">
        <f t="shared" si="50"/>
        <v>Tidak Ada Indikasi Bias</v>
      </c>
    </row>
    <row r="80" spans="1:28" ht="37.5" x14ac:dyDescent="0.35">
      <c r="A80" s="71" t="str">
        <f>TKO!A74</f>
        <v>70. Faktor-faktor apa yang mungkin dipertimbangkan dalam menetapkan prioritas jenis kegiatan perguruan tinggi</v>
      </c>
      <c r="B80" s="69">
        <f>TKO!B74</f>
        <v>1</v>
      </c>
      <c r="C80" s="69">
        <f>TKO!C74</f>
        <v>1</v>
      </c>
      <c r="D80" s="69">
        <f>TKO!D74</f>
        <v>0</v>
      </c>
      <c r="E80" s="69">
        <f>TKO!E74</f>
        <v>1</v>
      </c>
      <c r="F80" s="69">
        <f>TKO!F74</f>
        <v>1</v>
      </c>
      <c r="G80" s="69">
        <f>TKO!G74</f>
        <v>0</v>
      </c>
      <c r="H80" s="69">
        <f>TKO!H74</f>
        <v>0</v>
      </c>
      <c r="I80" s="69">
        <f>TKO!I74</f>
        <v>0</v>
      </c>
      <c r="J80" s="69">
        <f>TKO!J74</f>
        <v>0</v>
      </c>
      <c r="K80" s="69">
        <f>TKO!K74</f>
        <v>0</v>
      </c>
      <c r="L80" s="69">
        <f t="shared" si="34"/>
        <v>5</v>
      </c>
      <c r="M80" s="69">
        <f t="shared" si="35"/>
        <v>5</v>
      </c>
      <c r="N80" s="69">
        <f t="shared" si="36"/>
        <v>2</v>
      </c>
      <c r="O80" s="69">
        <f t="shared" si="37"/>
        <v>2</v>
      </c>
      <c r="P80" s="69">
        <f t="shared" si="38"/>
        <v>2</v>
      </c>
      <c r="Q80" s="69">
        <f t="shared" si="39"/>
        <v>2</v>
      </c>
      <c r="R80" s="70">
        <f t="shared" si="40"/>
        <v>0.40546510810816438</v>
      </c>
      <c r="S80" s="70">
        <f t="shared" si="41"/>
        <v>0.40546510810816438</v>
      </c>
      <c r="T80" s="70">
        <f t="shared" si="42"/>
        <v>0.28683790673401638</v>
      </c>
      <c r="U80" s="70">
        <f t="shared" si="43"/>
        <v>0.28683790673401638</v>
      </c>
      <c r="V80" s="70">
        <f t="shared" si="44"/>
        <v>0.91287092917527679</v>
      </c>
      <c r="W80" s="70">
        <f t="shared" si="45"/>
        <v>0.91287092917527679</v>
      </c>
      <c r="X80" s="70">
        <f t="shared" si="46"/>
        <v>0</v>
      </c>
      <c r="Y80" s="70">
        <f t="shared" si="47"/>
        <v>1.2909944487358056</v>
      </c>
      <c r="Z80" s="70">
        <f t="shared" si="48"/>
        <v>0</v>
      </c>
      <c r="AA80" s="69" t="str">
        <f t="shared" si="49"/>
        <v>Negligible</v>
      </c>
      <c r="AB80" s="69" t="str">
        <f t="shared" si="50"/>
        <v>Tidak Ada Indikasi Bias</v>
      </c>
    </row>
    <row r="81" spans="1:28" ht="37.5" x14ac:dyDescent="0.35">
      <c r="A81" s="71" t="str">
        <f>TKO!A75</f>
        <v>71. Mengapa penting untuk memilih metode yang tepat dalam pelaksanaan kegiatan kerja</v>
      </c>
      <c r="B81" s="69">
        <f>TKO!B75</f>
        <v>0</v>
      </c>
      <c r="C81" s="69">
        <f>TKO!C75</f>
        <v>0</v>
      </c>
      <c r="D81" s="69">
        <f>TKO!D75</f>
        <v>0</v>
      </c>
      <c r="E81" s="69">
        <f>TKO!E75</f>
        <v>0</v>
      </c>
      <c r="F81" s="69">
        <f>TKO!F75</f>
        <v>0</v>
      </c>
      <c r="G81" s="69">
        <f>TKO!G75</f>
        <v>1</v>
      </c>
      <c r="H81" s="69">
        <f>TKO!H75</f>
        <v>0</v>
      </c>
      <c r="I81" s="69">
        <f>TKO!I75</f>
        <v>1</v>
      </c>
      <c r="J81" s="69">
        <f>TKO!J75</f>
        <v>1</v>
      </c>
      <c r="K81" s="69">
        <f>TKO!K75</f>
        <v>1</v>
      </c>
      <c r="L81" s="69">
        <f t="shared" si="34"/>
        <v>5</v>
      </c>
      <c r="M81" s="69">
        <f t="shared" si="35"/>
        <v>5</v>
      </c>
      <c r="N81" s="69">
        <f t="shared" si="36"/>
        <v>2</v>
      </c>
      <c r="O81" s="69">
        <f t="shared" si="37"/>
        <v>2</v>
      </c>
      <c r="P81" s="69">
        <f t="shared" si="38"/>
        <v>2</v>
      </c>
      <c r="Q81" s="69">
        <f t="shared" si="39"/>
        <v>2</v>
      </c>
      <c r="R81" s="70">
        <f t="shared" si="40"/>
        <v>0.40546510810816438</v>
      </c>
      <c r="S81" s="70">
        <f t="shared" si="41"/>
        <v>0.40546510810816438</v>
      </c>
      <c r="T81" s="70">
        <f t="shared" si="42"/>
        <v>0.28683790673401638</v>
      </c>
      <c r="U81" s="70">
        <f t="shared" si="43"/>
        <v>0.28683790673401638</v>
      </c>
      <c r="V81" s="70">
        <f t="shared" si="44"/>
        <v>0.91287092917527679</v>
      </c>
      <c r="W81" s="70">
        <f t="shared" si="45"/>
        <v>0.91287092917527679</v>
      </c>
      <c r="X81" s="70">
        <f t="shared" si="46"/>
        <v>0</v>
      </c>
      <c r="Y81" s="70">
        <f t="shared" si="47"/>
        <v>1.2909944487358056</v>
      </c>
      <c r="Z81" s="70">
        <f t="shared" si="48"/>
        <v>0</v>
      </c>
      <c r="AA81" s="69" t="str">
        <f t="shared" si="49"/>
        <v>Negligible</v>
      </c>
      <c r="AB81" s="69" t="str">
        <f t="shared" si="50"/>
        <v>Tidak Ada Indikasi Bias</v>
      </c>
    </row>
    <row r="82" spans="1:28" ht="37.5" x14ac:dyDescent="0.35">
      <c r="A82" s="71" t="str">
        <f>TKO!A76</f>
        <v>72. Mengapa penting untuk memiliki mekanisme/prosedur pencapaian tujuan kegiatan kerja</v>
      </c>
      <c r="B82" s="69">
        <f>TKO!B76</f>
        <v>0</v>
      </c>
      <c r="C82" s="69">
        <f>TKO!C76</f>
        <v>1</v>
      </c>
      <c r="D82" s="69">
        <f>TKO!D76</f>
        <v>0</v>
      </c>
      <c r="E82" s="69">
        <f>TKO!E76</f>
        <v>0</v>
      </c>
      <c r="F82" s="69">
        <f>TKO!F76</f>
        <v>0</v>
      </c>
      <c r="G82" s="69">
        <f>TKO!G76</f>
        <v>1</v>
      </c>
      <c r="H82" s="69">
        <f>TKO!H76</f>
        <v>0</v>
      </c>
      <c r="I82" s="69">
        <f>TKO!I76</f>
        <v>0</v>
      </c>
      <c r="J82" s="69">
        <f>TKO!J76</f>
        <v>1</v>
      </c>
      <c r="K82" s="69">
        <f>TKO!K76</f>
        <v>1</v>
      </c>
      <c r="L82" s="69">
        <f t="shared" si="34"/>
        <v>5</v>
      </c>
      <c r="M82" s="69">
        <f t="shared" si="35"/>
        <v>5</v>
      </c>
      <c r="N82" s="69">
        <f t="shared" si="36"/>
        <v>2</v>
      </c>
      <c r="O82" s="69">
        <f t="shared" si="37"/>
        <v>2</v>
      </c>
      <c r="P82" s="69">
        <f t="shared" si="38"/>
        <v>2</v>
      </c>
      <c r="Q82" s="69">
        <f t="shared" si="39"/>
        <v>2</v>
      </c>
      <c r="R82" s="70">
        <f t="shared" si="40"/>
        <v>0.40546510810816438</v>
      </c>
      <c r="S82" s="70">
        <f t="shared" si="41"/>
        <v>0.40546510810816438</v>
      </c>
      <c r="T82" s="70">
        <f t="shared" si="42"/>
        <v>0.28683790673401638</v>
      </c>
      <c r="U82" s="70">
        <f t="shared" si="43"/>
        <v>0.28683790673401638</v>
      </c>
      <c r="V82" s="70">
        <f t="shared" si="44"/>
        <v>0.91287092917527679</v>
      </c>
      <c r="W82" s="70">
        <f t="shared" si="45"/>
        <v>0.91287092917527679</v>
      </c>
      <c r="X82" s="70">
        <f t="shared" si="46"/>
        <v>0</v>
      </c>
      <c r="Y82" s="70">
        <f t="shared" si="47"/>
        <v>1.2909944487358056</v>
      </c>
      <c r="Z82" s="70">
        <f t="shared" si="48"/>
        <v>0</v>
      </c>
      <c r="AA82" s="69" t="str">
        <f t="shared" si="49"/>
        <v>Negligible</v>
      </c>
      <c r="AB82" s="69" t="str">
        <f t="shared" si="50"/>
        <v>Tidak Ada Indikasi Bias</v>
      </c>
    </row>
    <row r="83" spans="1:28" ht="25" x14ac:dyDescent="0.35">
      <c r="A83" s="71" t="str">
        <f>TKO!A77</f>
        <v>73. Mengapa penting untuk memiliki instrumen monitoring yang efektif</v>
      </c>
      <c r="B83" s="69">
        <f>TKO!B77</f>
        <v>0</v>
      </c>
      <c r="C83" s="69">
        <f>TKO!C77</f>
        <v>0</v>
      </c>
      <c r="D83" s="69">
        <f>TKO!D77</f>
        <v>0</v>
      </c>
      <c r="E83" s="69">
        <f>TKO!E77</f>
        <v>0</v>
      </c>
      <c r="F83" s="69">
        <f>TKO!F77</f>
        <v>0</v>
      </c>
      <c r="G83" s="69">
        <f>TKO!G77</f>
        <v>0</v>
      </c>
      <c r="H83" s="69">
        <f>TKO!H77</f>
        <v>1</v>
      </c>
      <c r="I83" s="69">
        <f>TKO!I77</f>
        <v>1</v>
      </c>
      <c r="J83" s="69">
        <f>TKO!J77</f>
        <v>1</v>
      </c>
      <c r="K83" s="69">
        <f>TKO!K77</f>
        <v>1</v>
      </c>
      <c r="L83" s="69">
        <f t="shared" si="34"/>
        <v>5</v>
      </c>
      <c r="M83" s="69">
        <f t="shared" si="35"/>
        <v>5</v>
      </c>
      <c r="N83" s="69">
        <f t="shared" si="36"/>
        <v>2</v>
      </c>
      <c r="O83" s="69">
        <f t="shared" si="37"/>
        <v>2</v>
      </c>
      <c r="P83" s="69">
        <f t="shared" si="38"/>
        <v>2</v>
      </c>
      <c r="Q83" s="69">
        <f t="shared" si="39"/>
        <v>2</v>
      </c>
      <c r="R83" s="70">
        <f t="shared" si="40"/>
        <v>0.40546510810816438</v>
      </c>
      <c r="S83" s="70">
        <f t="shared" si="41"/>
        <v>0.40546510810816438</v>
      </c>
      <c r="T83" s="70">
        <f t="shared" si="42"/>
        <v>0.28683790673401638</v>
      </c>
      <c r="U83" s="70">
        <f t="shared" si="43"/>
        <v>0.28683790673401638</v>
      </c>
      <c r="V83" s="70">
        <f t="shared" si="44"/>
        <v>0.91287092917527679</v>
      </c>
      <c r="W83" s="70">
        <f t="shared" si="45"/>
        <v>0.91287092917527679</v>
      </c>
      <c r="X83" s="70">
        <f t="shared" si="46"/>
        <v>0</v>
      </c>
      <c r="Y83" s="70">
        <f t="shared" si="47"/>
        <v>1.2909944487358056</v>
      </c>
      <c r="Z83" s="70">
        <f t="shared" si="48"/>
        <v>0</v>
      </c>
      <c r="AA83" s="69" t="str">
        <f t="shared" si="49"/>
        <v>Negligible</v>
      </c>
      <c r="AB83" s="69" t="str">
        <f t="shared" si="50"/>
        <v>Tidak Ada Indikasi Bias</v>
      </c>
    </row>
    <row r="84" spans="1:28" ht="25" x14ac:dyDescent="0.35">
      <c r="A84" s="71" t="str">
        <f>TKO!A78</f>
        <v>74. Bagaimana evaluasi keberhasilan kegiatan berbeda dari monitoring kegiatan</v>
      </c>
      <c r="B84" s="69">
        <f>TKO!B78</f>
        <v>0</v>
      </c>
      <c r="C84" s="69">
        <f>TKO!C78</f>
        <v>0</v>
      </c>
      <c r="D84" s="69">
        <f>TKO!D78</f>
        <v>0</v>
      </c>
      <c r="E84" s="69">
        <f>TKO!E78</f>
        <v>0</v>
      </c>
      <c r="F84" s="69">
        <f>TKO!F78</f>
        <v>0</v>
      </c>
      <c r="G84" s="69">
        <f>TKO!G78</f>
        <v>0</v>
      </c>
      <c r="H84" s="69">
        <f>TKO!H78</f>
        <v>0</v>
      </c>
      <c r="I84" s="69">
        <f>TKO!I78</f>
        <v>1</v>
      </c>
      <c r="J84" s="69">
        <f>TKO!J78</f>
        <v>1</v>
      </c>
      <c r="K84" s="69">
        <f>TKO!K78</f>
        <v>0</v>
      </c>
      <c r="L84" s="69">
        <f t="shared" si="34"/>
        <v>5</v>
      </c>
      <c r="M84" s="69">
        <f t="shared" si="35"/>
        <v>5</v>
      </c>
      <c r="N84" s="69">
        <f t="shared" si="36"/>
        <v>1</v>
      </c>
      <c r="O84" s="69">
        <f t="shared" si="37"/>
        <v>1</v>
      </c>
      <c r="P84" s="69">
        <f t="shared" si="38"/>
        <v>1</v>
      </c>
      <c r="Q84" s="69">
        <f t="shared" si="39"/>
        <v>1</v>
      </c>
      <c r="R84" s="70">
        <f t="shared" si="40"/>
        <v>1.3862943611198906</v>
      </c>
      <c r="S84" s="70">
        <f t="shared" si="41"/>
        <v>1.3862943611198906</v>
      </c>
      <c r="T84" s="70">
        <f t="shared" si="42"/>
        <v>1.2676671597457425</v>
      </c>
      <c r="U84" s="70">
        <f t="shared" si="43"/>
        <v>1.2676671597457425</v>
      </c>
      <c r="V84" s="70">
        <f t="shared" si="44"/>
        <v>1.1180339887498949</v>
      </c>
      <c r="W84" s="70">
        <f t="shared" si="45"/>
        <v>1.1180339887498949</v>
      </c>
      <c r="X84" s="70">
        <f t="shared" si="46"/>
        <v>0</v>
      </c>
      <c r="Y84" s="70">
        <f t="shared" si="47"/>
        <v>1.5811388300841898</v>
      </c>
      <c r="Z84" s="70">
        <f t="shared" si="48"/>
        <v>0</v>
      </c>
      <c r="AA84" s="69" t="str">
        <f t="shared" si="49"/>
        <v>Negligible</v>
      </c>
      <c r="AB84" s="69" t="str">
        <f t="shared" si="50"/>
        <v>Tidak Ada Indikasi Bias</v>
      </c>
    </row>
    <row r="85" spans="1:28" ht="37.5" x14ac:dyDescent="0.35">
      <c r="A85" s="71" t="str">
        <f>TKO!A79</f>
        <v>75. Apa yang menjadi langkah-langkah umum dalam melakukan evaluasi keberhasilan kegiatan</v>
      </c>
      <c r="B85" s="69">
        <f>TKO!B79</f>
        <v>1</v>
      </c>
      <c r="C85" s="69">
        <f>TKO!C79</f>
        <v>1</v>
      </c>
      <c r="D85" s="69">
        <f>TKO!D79</f>
        <v>1</v>
      </c>
      <c r="E85" s="69">
        <f>TKO!E79</f>
        <v>1</v>
      </c>
      <c r="F85" s="69">
        <f>TKO!F79</f>
        <v>1</v>
      </c>
      <c r="G85" s="69">
        <f>TKO!G79</f>
        <v>0</v>
      </c>
      <c r="H85" s="69">
        <f>TKO!H79</f>
        <v>1</v>
      </c>
      <c r="I85" s="69">
        <f>TKO!I79</f>
        <v>0</v>
      </c>
      <c r="J85" s="69">
        <f>TKO!J79</f>
        <v>0</v>
      </c>
      <c r="K85" s="69">
        <f>TKO!K79</f>
        <v>0</v>
      </c>
      <c r="L85" s="69">
        <f t="shared" si="34"/>
        <v>5</v>
      </c>
      <c r="M85" s="69">
        <f t="shared" si="35"/>
        <v>5</v>
      </c>
      <c r="N85" s="69">
        <f t="shared" si="36"/>
        <v>3</v>
      </c>
      <c r="O85" s="69">
        <f t="shared" si="37"/>
        <v>3</v>
      </c>
      <c r="P85" s="69">
        <f t="shared" si="38"/>
        <v>3</v>
      </c>
      <c r="Q85" s="69">
        <f t="shared" si="39"/>
        <v>3</v>
      </c>
      <c r="R85" s="70">
        <f t="shared" si="40"/>
        <v>-0.40546510810816444</v>
      </c>
      <c r="S85" s="70">
        <f t="shared" si="41"/>
        <v>-0.40546510810816444</v>
      </c>
      <c r="T85" s="70">
        <f t="shared" si="42"/>
        <v>-0.52409230948231245</v>
      </c>
      <c r="U85" s="70">
        <f t="shared" si="43"/>
        <v>-0.52409230948231245</v>
      </c>
      <c r="V85" s="70">
        <f t="shared" si="44"/>
        <v>0.91287092917527679</v>
      </c>
      <c r="W85" s="70">
        <f t="shared" si="45"/>
        <v>0.91287092917527679</v>
      </c>
      <c r="X85" s="70">
        <f t="shared" si="46"/>
        <v>0</v>
      </c>
      <c r="Y85" s="70">
        <f t="shared" si="47"/>
        <v>1.2909944487358056</v>
      </c>
      <c r="Z85" s="70">
        <f t="shared" si="48"/>
        <v>0</v>
      </c>
      <c r="AA85" s="69" t="str">
        <f t="shared" si="49"/>
        <v>Negligible</v>
      </c>
      <c r="AB85" s="69" t="str">
        <f t="shared" si="50"/>
        <v>Tidak Ada Indikasi Bias</v>
      </c>
    </row>
    <row r="86" spans="1:28" ht="37.5" x14ac:dyDescent="0.35">
      <c r="A86" s="71" t="str">
        <f>TKO!A80</f>
        <v>76. Mengapa penting untuk memiliki timeline dalam pelaporan pelaksanaan kegiatan</v>
      </c>
      <c r="B86" s="69">
        <f>TKO!B80</f>
        <v>1</v>
      </c>
      <c r="C86" s="69">
        <f>TKO!C80</f>
        <v>0</v>
      </c>
      <c r="D86" s="69">
        <f>TKO!D80</f>
        <v>1</v>
      </c>
      <c r="E86" s="69">
        <f>TKO!E80</f>
        <v>0</v>
      </c>
      <c r="F86" s="69">
        <f>TKO!F80</f>
        <v>1</v>
      </c>
      <c r="G86" s="69">
        <f>TKO!G80</f>
        <v>1</v>
      </c>
      <c r="H86" s="69">
        <f>TKO!H80</f>
        <v>1</v>
      </c>
      <c r="I86" s="69">
        <f>TKO!I80</f>
        <v>1</v>
      </c>
      <c r="J86" s="69">
        <f>TKO!J80</f>
        <v>1</v>
      </c>
      <c r="K86" s="69">
        <f>TKO!K80</f>
        <v>1</v>
      </c>
      <c r="L86" s="69">
        <f t="shared" si="34"/>
        <v>5</v>
      </c>
      <c r="M86" s="69">
        <f t="shared" si="35"/>
        <v>5</v>
      </c>
      <c r="N86" s="69">
        <f t="shared" si="36"/>
        <v>4</v>
      </c>
      <c r="O86" s="69">
        <f t="shared" si="37"/>
        <v>4</v>
      </c>
      <c r="P86" s="69">
        <f t="shared" si="38"/>
        <v>4</v>
      </c>
      <c r="Q86" s="69">
        <f t="shared" si="39"/>
        <v>4</v>
      </c>
      <c r="R86" s="70">
        <f t="shared" si="40"/>
        <v>-1.3862943611198906</v>
      </c>
      <c r="S86" s="70">
        <f t="shared" si="41"/>
        <v>-1.3862943611198906</v>
      </c>
      <c r="T86" s="70">
        <f t="shared" si="42"/>
        <v>-1.5049215624940386</v>
      </c>
      <c r="U86" s="70">
        <f t="shared" si="43"/>
        <v>-1.5049215624940386</v>
      </c>
      <c r="V86" s="70">
        <f t="shared" si="44"/>
        <v>1.1180339887498949</v>
      </c>
      <c r="W86" s="70">
        <f t="shared" si="45"/>
        <v>1.1180339887498949</v>
      </c>
      <c r="X86" s="70">
        <f t="shared" si="46"/>
        <v>0</v>
      </c>
      <c r="Y86" s="70">
        <f t="shared" si="47"/>
        <v>1.5811388300841898</v>
      </c>
      <c r="Z86" s="70">
        <f t="shared" si="48"/>
        <v>0</v>
      </c>
      <c r="AA86" s="69" t="str">
        <f t="shared" si="49"/>
        <v>Negligible</v>
      </c>
      <c r="AB86" s="69" t="str">
        <f t="shared" si="50"/>
        <v>Tidak Ada Indikasi Bias</v>
      </c>
    </row>
    <row r="87" spans="1:28" ht="50" x14ac:dyDescent="0.35">
      <c r="A87" s="71" t="str">
        <f>TKO!A81</f>
        <v>77. Bagaimana cara memastikan bahwa format laporan hasil kegiatan sesuai dengan informasi yang diperlukan oleh pihak yang berkepentingan</v>
      </c>
      <c r="B87" s="69">
        <f>TKO!B81</f>
        <v>0</v>
      </c>
      <c r="C87" s="69">
        <f>TKO!C81</f>
        <v>1</v>
      </c>
      <c r="D87" s="69">
        <f>TKO!D81</f>
        <v>0</v>
      </c>
      <c r="E87" s="69">
        <f>TKO!E81</f>
        <v>0</v>
      </c>
      <c r="F87" s="69">
        <f>TKO!F81</f>
        <v>0</v>
      </c>
      <c r="G87" s="69">
        <f>TKO!G81</f>
        <v>0</v>
      </c>
      <c r="H87" s="69">
        <f>TKO!H81</f>
        <v>1</v>
      </c>
      <c r="I87" s="69">
        <f>TKO!I81</f>
        <v>0</v>
      </c>
      <c r="J87" s="69">
        <f>TKO!J81</f>
        <v>1</v>
      </c>
      <c r="K87" s="69">
        <f>TKO!K81</f>
        <v>1</v>
      </c>
      <c r="L87" s="69">
        <f t="shared" si="34"/>
        <v>5</v>
      </c>
      <c r="M87" s="69">
        <f t="shared" si="35"/>
        <v>5</v>
      </c>
      <c r="N87" s="69">
        <f t="shared" si="36"/>
        <v>2</v>
      </c>
      <c r="O87" s="69">
        <f t="shared" si="37"/>
        <v>2</v>
      </c>
      <c r="P87" s="69">
        <f t="shared" si="38"/>
        <v>2</v>
      </c>
      <c r="Q87" s="69">
        <f t="shared" si="39"/>
        <v>2</v>
      </c>
      <c r="R87" s="70">
        <f t="shared" si="40"/>
        <v>0.40546510810816438</v>
      </c>
      <c r="S87" s="70">
        <f t="shared" si="41"/>
        <v>0.40546510810816438</v>
      </c>
      <c r="T87" s="70">
        <f t="shared" si="42"/>
        <v>0.28683790673401638</v>
      </c>
      <c r="U87" s="70">
        <f t="shared" si="43"/>
        <v>0.28683790673401638</v>
      </c>
      <c r="V87" s="70">
        <f t="shared" si="44"/>
        <v>0.91287092917527679</v>
      </c>
      <c r="W87" s="70">
        <f t="shared" si="45"/>
        <v>0.91287092917527679</v>
      </c>
      <c r="X87" s="70">
        <f t="shared" si="46"/>
        <v>0</v>
      </c>
      <c r="Y87" s="70">
        <f t="shared" si="47"/>
        <v>1.2909944487358056</v>
      </c>
      <c r="Z87" s="70">
        <f t="shared" si="48"/>
        <v>0</v>
      </c>
      <c r="AA87" s="69" t="str">
        <f t="shared" si="49"/>
        <v>Negligible</v>
      </c>
      <c r="AB87" s="69" t="str">
        <f t="shared" si="50"/>
        <v>Tidak Ada Indikasi Bias</v>
      </c>
    </row>
    <row r="88" spans="1:28" ht="37.5" x14ac:dyDescent="0.35">
      <c r="A88" s="71" t="str">
        <f>TKO!A82</f>
        <v>78. Mengapa penting untuk mematuhi etika dan integritas dalam sebuah organisasi pendidikan</v>
      </c>
      <c r="B88" s="69">
        <f>TKO!B82</f>
        <v>1</v>
      </c>
      <c r="C88" s="69">
        <f>TKO!C82</f>
        <v>0</v>
      </c>
      <c r="D88" s="69">
        <f>TKO!D82</f>
        <v>1</v>
      </c>
      <c r="E88" s="69">
        <f>TKO!E82</f>
        <v>0</v>
      </c>
      <c r="F88" s="69">
        <f>TKO!F82</f>
        <v>0</v>
      </c>
      <c r="G88" s="69">
        <f>TKO!G82</f>
        <v>0</v>
      </c>
      <c r="H88" s="69">
        <f>TKO!H82</f>
        <v>0</v>
      </c>
      <c r="I88" s="69">
        <f>TKO!I82</f>
        <v>0</v>
      </c>
      <c r="J88" s="69">
        <f>TKO!J82</f>
        <v>0</v>
      </c>
      <c r="K88" s="69">
        <f>TKO!K82</f>
        <v>0</v>
      </c>
      <c r="L88" s="69">
        <f t="shared" si="34"/>
        <v>5</v>
      </c>
      <c r="M88" s="69">
        <f t="shared" si="35"/>
        <v>5</v>
      </c>
      <c r="N88" s="69">
        <f t="shared" si="36"/>
        <v>1</v>
      </c>
      <c r="O88" s="69">
        <f t="shared" si="37"/>
        <v>1</v>
      </c>
      <c r="P88" s="69">
        <f t="shared" si="38"/>
        <v>1</v>
      </c>
      <c r="Q88" s="69">
        <f t="shared" si="39"/>
        <v>1</v>
      </c>
      <c r="R88" s="70">
        <f t="shared" si="40"/>
        <v>1.3862943611198906</v>
      </c>
      <c r="S88" s="70">
        <f t="shared" si="41"/>
        <v>1.3862943611198906</v>
      </c>
      <c r="T88" s="70">
        <f t="shared" si="42"/>
        <v>1.2676671597457425</v>
      </c>
      <c r="U88" s="70">
        <f t="shared" si="43"/>
        <v>1.2676671597457425</v>
      </c>
      <c r="V88" s="70">
        <f t="shared" si="44"/>
        <v>1.1180339887498949</v>
      </c>
      <c r="W88" s="70">
        <f t="shared" si="45"/>
        <v>1.1180339887498949</v>
      </c>
      <c r="X88" s="70">
        <f t="shared" si="46"/>
        <v>0</v>
      </c>
      <c r="Y88" s="70">
        <f t="shared" si="47"/>
        <v>1.5811388300841898</v>
      </c>
      <c r="Z88" s="70">
        <f t="shared" si="48"/>
        <v>0</v>
      </c>
      <c r="AA88" s="69" t="str">
        <f t="shared" si="49"/>
        <v>Negligible</v>
      </c>
      <c r="AB88" s="69" t="str">
        <f t="shared" si="50"/>
        <v>Tidak Ada Indikasi Bias</v>
      </c>
    </row>
    <row r="89" spans="1:28" ht="50" x14ac:dyDescent="0.35">
      <c r="A89" s="71" t="str">
        <f>TKO!A83</f>
        <v>79. Mengapa penting bagi sivitas akademik untuk memahami dan menginternalisasi nilai-nilai etika yang terkandung dalam kode etik institusi</v>
      </c>
      <c r="B89" s="69">
        <f>TKO!B83</f>
        <v>0</v>
      </c>
      <c r="C89" s="69">
        <f>TKO!C83</f>
        <v>1</v>
      </c>
      <c r="D89" s="69">
        <f>TKO!D83</f>
        <v>0</v>
      </c>
      <c r="E89" s="69">
        <f>TKO!E83</f>
        <v>1</v>
      </c>
      <c r="F89" s="69">
        <f>TKO!F83</f>
        <v>0</v>
      </c>
      <c r="G89" s="69">
        <f>TKO!G83</f>
        <v>1</v>
      </c>
      <c r="H89" s="69">
        <f>TKO!H83</f>
        <v>1</v>
      </c>
      <c r="I89" s="69">
        <f>TKO!I83</f>
        <v>0</v>
      </c>
      <c r="J89" s="69">
        <f>TKO!J83</f>
        <v>1</v>
      </c>
      <c r="K89" s="69">
        <f>TKO!K83</f>
        <v>1</v>
      </c>
      <c r="L89" s="69">
        <f t="shared" si="34"/>
        <v>5</v>
      </c>
      <c r="M89" s="69">
        <f t="shared" si="35"/>
        <v>5</v>
      </c>
      <c r="N89" s="69">
        <f t="shared" si="36"/>
        <v>3</v>
      </c>
      <c r="O89" s="69">
        <f t="shared" si="37"/>
        <v>3</v>
      </c>
      <c r="P89" s="69">
        <f t="shared" si="38"/>
        <v>3</v>
      </c>
      <c r="Q89" s="69">
        <f t="shared" si="39"/>
        <v>3</v>
      </c>
      <c r="R89" s="70">
        <f t="shared" si="40"/>
        <v>-0.40546510810816444</v>
      </c>
      <c r="S89" s="70">
        <f t="shared" si="41"/>
        <v>-0.40546510810816444</v>
      </c>
      <c r="T89" s="70">
        <f t="shared" si="42"/>
        <v>-0.52409230948231245</v>
      </c>
      <c r="U89" s="70">
        <f t="shared" si="43"/>
        <v>-0.52409230948231245</v>
      </c>
      <c r="V89" s="70">
        <f t="shared" si="44"/>
        <v>0.91287092917527679</v>
      </c>
      <c r="W89" s="70">
        <f t="shared" si="45"/>
        <v>0.91287092917527679</v>
      </c>
      <c r="X89" s="70">
        <f t="shared" si="46"/>
        <v>0</v>
      </c>
      <c r="Y89" s="70">
        <f t="shared" si="47"/>
        <v>1.2909944487358056</v>
      </c>
      <c r="Z89" s="70">
        <f t="shared" si="48"/>
        <v>0</v>
      </c>
      <c r="AA89" s="69" t="str">
        <f t="shared" si="49"/>
        <v>Negligible</v>
      </c>
      <c r="AB89" s="69" t="str">
        <f t="shared" si="50"/>
        <v>Tidak Ada Indikasi Bias</v>
      </c>
    </row>
    <row r="90" spans="1:28" ht="50" x14ac:dyDescent="0.35">
      <c r="A90" s="71" t="str">
        <f>TKO!A84</f>
        <v>80. Apa yang dimaksud dengan komitmen pribadi pemimpin dalam konteks memberikan contoh keteladanan terkait integritas akademik</v>
      </c>
      <c r="B90" s="69">
        <f>TKO!B84</f>
        <v>1</v>
      </c>
      <c r="C90" s="69">
        <f>TKO!C84</f>
        <v>1</v>
      </c>
      <c r="D90" s="69">
        <f>TKO!D84</f>
        <v>0</v>
      </c>
      <c r="E90" s="69">
        <f>TKO!E84</f>
        <v>1</v>
      </c>
      <c r="F90" s="69">
        <f>TKO!F84</f>
        <v>0</v>
      </c>
      <c r="G90" s="69">
        <f>TKO!G84</f>
        <v>0</v>
      </c>
      <c r="H90" s="69">
        <f>TKO!H84</f>
        <v>0</v>
      </c>
      <c r="I90" s="69">
        <f>TKO!I84</f>
        <v>0</v>
      </c>
      <c r="J90" s="69">
        <f>TKO!J84</f>
        <v>1</v>
      </c>
      <c r="K90" s="69">
        <f>TKO!K84</f>
        <v>0</v>
      </c>
      <c r="L90" s="69">
        <f t="shared" si="34"/>
        <v>5</v>
      </c>
      <c r="M90" s="69">
        <f t="shared" si="35"/>
        <v>5</v>
      </c>
      <c r="N90" s="69">
        <f t="shared" si="36"/>
        <v>2</v>
      </c>
      <c r="O90" s="69">
        <f t="shared" si="37"/>
        <v>2</v>
      </c>
      <c r="P90" s="69">
        <f t="shared" si="38"/>
        <v>2</v>
      </c>
      <c r="Q90" s="69">
        <f t="shared" si="39"/>
        <v>2</v>
      </c>
      <c r="R90" s="70">
        <f t="shared" si="40"/>
        <v>0.40546510810816438</v>
      </c>
      <c r="S90" s="70">
        <f t="shared" si="41"/>
        <v>0.40546510810816438</v>
      </c>
      <c r="T90" s="70">
        <f t="shared" si="42"/>
        <v>0.28683790673401638</v>
      </c>
      <c r="U90" s="70">
        <f t="shared" si="43"/>
        <v>0.28683790673401638</v>
      </c>
      <c r="V90" s="70">
        <f t="shared" si="44"/>
        <v>0.91287092917527679</v>
      </c>
      <c r="W90" s="70">
        <f t="shared" si="45"/>
        <v>0.91287092917527679</v>
      </c>
      <c r="X90" s="70">
        <f t="shared" si="46"/>
        <v>0</v>
      </c>
      <c r="Y90" s="70">
        <f t="shared" si="47"/>
        <v>1.2909944487358056</v>
      </c>
      <c r="Z90" s="70">
        <f t="shared" si="48"/>
        <v>0</v>
      </c>
      <c r="AA90" s="69" t="str">
        <f t="shared" si="49"/>
        <v>Negligible</v>
      </c>
      <c r="AB90" s="69" t="str">
        <f t="shared" si="50"/>
        <v>Tidak Ada Indikasi Bias</v>
      </c>
    </row>
    <row r="91" spans="1:28" ht="37.5" customHeight="1" x14ac:dyDescent="0.35">
      <c r="A91" s="71" t="str">
        <f>TKO!A85</f>
        <v>81. Mengapa integritas akademik penting dalam konteks perguruan tinggi</v>
      </c>
      <c r="B91" s="69">
        <f>TKO!B85</f>
        <v>0</v>
      </c>
      <c r="C91" s="69">
        <f>TKO!C85</f>
        <v>0</v>
      </c>
      <c r="D91" s="69">
        <f>TKO!D85</f>
        <v>0</v>
      </c>
      <c r="E91" s="69">
        <f>TKO!E85</f>
        <v>0</v>
      </c>
      <c r="F91" s="69">
        <f>TKO!F85</f>
        <v>1</v>
      </c>
      <c r="G91" s="69">
        <f>TKO!G85</f>
        <v>1</v>
      </c>
      <c r="H91" s="69">
        <f>TKO!H85</f>
        <v>1</v>
      </c>
      <c r="I91" s="69">
        <f>TKO!I85</f>
        <v>1</v>
      </c>
      <c r="J91" s="69">
        <f>TKO!J85</f>
        <v>1</v>
      </c>
      <c r="K91" s="69">
        <f>TKO!K85</f>
        <v>1</v>
      </c>
      <c r="L91" s="69">
        <f t="shared" si="34"/>
        <v>5</v>
      </c>
      <c r="M91" s="69">
        <f t="shared" si="35"/>
        <v>5</v>
      </c>
      <c r="N91" s="69">
        <f t="shared" si="36"/>
        <v>3</v>
      </c>
      <c r="O91" s="69">
        <f t="shared" si="37"/>
        <v>3</v>
      </c>
      <c r="P91" s="69">
        <f t="shared" si="38"/>
        <v>3</v>
      </c>
      <c r="Q91" s="69">
        <f t="shared" si="39"/>
        <v>3</v>
      </c>
      <c r="R91" s="70">
        <f t="shared" si="40"/>
        <v>-0.40546510810816444</v>
      </c>
      <c r="S91" s="70">
        <f t="shared" si="41"/>
        <v>-0.40546510810816444</v>
      </c>
      <c r="T91" s="70">
        <f t="shared" si="42"/>
        <v>-0.52409230948231245</v>
      </c>
      <c r="U91" s="70">
        <f t="shared" si="43"/>
        <v>-0.52409230948231245</v>
      </c>
      <c r="V91" s="70">
        <f t="shared" si="44"/>
        <v>0.91287092917527679</v>
      </c>
      <c r="W91" s="70">
        <f t="shared" si="45"/>
        <v>0.91287092917527679</v>
      </c>
      <c r="X91" s="70">
        <f t="shared" si="46"/>
        <v>0</v>
      </c>
      <c r="Y91" s="70">
        <f t="shared" si="47"/>
        <v>1.2909944487358056</v>
      </c>
      <c r="Z91" s="70">
        <f t="shared" si="48"/>
        <v>0</v>
      </c>
      <c r="AA91" s="69" t="str">
        <f t="shared" si="49"/>
        <v>Negligible</v>
      </c>
      <c r="AB91" s="69" t="str">
        <f t="shared" si="50"/>
        <v>Tidak Ada Indikasi Bias</v>
      </c>
    </row>
    <row r="92" spans="1:28" ht="37.5" x14ac:dyDescent="0.35">
      <c r="A92" s="71" t="str">
        <f>TKO!A86</f>
        <v>82. Mengapa kebebasan akademik dianggap penting dalam konteks perguruan tinggi</v>
      </c>
      <c r="B92" s="69">
        <f>TKO!B86</f>
        <v>0</v>
      </c>
      <c r="C92" s="69">
        <f>TKO!C86</f>
        <v>0</v>
      </c>
      <c r="D92" s="69">
        <f>TKO!D86</f>
        <v>0</v>
      </c>
      <c r="E92" s="69">
        <f>TKO!E86</f>
        <v>1</v>
      </c>
      <c r="F92" s="69">
        <f>TKO!F86</f>
        <v>1</v>
      </c>
      <c r="G92" s="69">
        <f>TKO!G86</f>
        <v>1</v>
      </c>
      <c r="H92" s="69">
        <f>TKO!H86</f>
        <v>1</v>
      </c>
      <c r="I92" s="69">
        <f>TKO!I86</f>
        <v>1</v>
      </c>
      <c r="J92" s="69">
        <f>TKO!J86</f>
        <v>1</v>
      </c>
      <c r="K92" s="69">
        <f>TKO!K86</f>
        <v>0</v>
      </c>
      <c r="L92" s="69">
        <f t="shared" si="34"/>
        <v>5</v>
      </c>
      <c r="M92" s="69">
        <f t="shared" si="35"/>
        <v>5</v>
      </c>
      <c r="N92" s="69">
        <f t="shared" si="36"/>
        <v>3</v>
      </c>
      <c r="O92" s="69">
        <f t="shared" si="37"/>
        <v>3</v>
      </c>
      <c r="P92" s="69">
        <f t="shared" si="38"/>
        <v>3</v>
      </c>
      <c r="Q92" s="69">
        <f t="shared" si="39"/>
        <v>3</v>
      </c>
      <c r="R92" s="70">
        <f t="shared" si="40"/>
        <v>-0.40546510810816444</v>
      </c>
      <c r="S92" s="70">
        <f t="shared" si="41"/>
        <v>-0.40546510810816444</v>
      </c>
      <c r="T92" s="70">
        <f t="shared" si="42"/>
        <v>-0.52409230948231245</v>
      </c>
      <c r="U92" s="70">
        <f t="shared" si="43"/>
        <v>-0.52409230948231245</v>
      </c>
      <c r="V92" s="70">
        <f t="shared" si="44"/>
        <v>0.91287092917527679</v>
      </c>
      <c r="W92" s="70">
        <f t="shared" si="45"/>
        <v>0.91287092917527679</v>
      </c>
      <c r="X92" s="70">
        <f t="shared" si="46"/>
        <v>0</v>
      </c>
      <c r="Y92" s="70">
        <f t="shared" si="47"/>
        <v>1.2909944487358056</v>
      </c>
      <c r="Z92" s="70">
        <f t="shared" si="48"/>
        <v>0</v>
      </c>
      <c r="AA92" s="69" t="str">
        <f t="shared" si="49"/>
        <v>Negligible</v>
      </c>
      <c r="AB92" s="69" t="str">
        <f t="shared" si="50"/>
        <v>Tidak Ada Indikasi Bias</v>
      </c>
    </row>
    <row r="93" spans="1:28" ht="25" x14ac:dyDescent="0.35">
      <c r="A93" s="71" t="str">
        <f>TKO!A87</f>
        <v>83. Apa yang dimaksud dengan otonomi keilmuan</v>
      </c>
      <c r="B93" s="69">
        <f>TKO!B87</f>
        <v>0</v>
      </c>
      <c r="C93" s="69">
        <f>TKO!C87</f>
        <v>1</v>
      </c>
      <c r="D93" s="69">
        <f>TKO!D87</f>
        <v>1</v>
      </c>
      <c r="E93" s="69">
        <f>TKO!E87</f>
        <v>0</v>
      </c>
      <c r="F93" s="69">
        <f>TKO!F87</f>
        <v>0</v>
      </c>
      <c r="G93" s="69">
        <f>TKO!G87</f>
        <v>0</v>
      </c>
      <c r="H93" s="69">
        <f>TKO!H87</f>
        <v>0</v>
      </c>
      <c r="I93" s="69">
        <f>TKO!I87</f>
        <v>0</v>
      </c>
      <c r="J93" s="69">
        <f>TKO!J87</f>
        <v>0</v>
      </c>
      <c r="K93" s="69">
        <f>TKO!K87</f>
        <v>0</v>
      </c>
      <c r="L93" s="69">
        <f t="shared" si="34"/>
        <v>5</v>
      </c>
      <c r="M93" s="69">
        <f t="shared" si="35"/>
        <v>5</v>
      </c>
      <c r="N93" s="69">
        <f t="shared" si="36"/>
        <v>1</v>
      </c>
      <c r="O93" s="69">
        <f t="shared" si="37"/>
        <v>1</v>
      </c>
      <c r="P93" s="69">
        <f t="shared" si="38"/>
        <v>1</v>
      </c>
      <c r="Q93" s="69">
        <f t="shared" si="39"/>
        <v>1</v>
      </c>
      <c r="R93" s="70">
        <f t="shared" si="40"/>
        <v>1.3862943611198906</v>
      </c>
      <c r="S93" s="70">
        <f t="shared" si="41"/>
        <v>1.3862943611198906</v>
      </c>
      <c r="T93" s="70">
        <f t="shared" si="42"/>
        <v>1.2676671597457425</v>
      </c>
      <c r="U93" s="70">
        <f t="shared" si="43"/>
        <v>1.2676671597457425</v>
      </c>
      <c r="V93" s="70">
        <f t="shared" si="44"/>
        <v>1.1180339887498949</v>
      </c>
      <c r="W93" s="70">
        <f t="shared" si="45"/>
        <v>1.1180339887498949</v>
      </c>
      <c r="X93" s="70">
        <f t="shared" si="46"/>
        <v>0</v>
      </c>
      <c r="Y93" s="70">
        <f t="shared" si="47"/>
        <v>1.5811388300841898</v>
      </c>
      <c r="Z93" s="70">
        <f t="shared" si="48"/>
        <v>0</v>
      </c>
      <c r="AA93" s="69" t="str">
        <f t="shared" si="49"/>
        <v>Negligible</v>
      </c>
      <c r="AB93" s="69" t="str">
        <f t="shared" si="50"/>
        <v>Tidak Ada Indikasi Bias</v>
      </c>
    </row>
    <row r="94" spans="1:28" ht="37.5" x14ac:dyDescent="0.35">
      <c r="A94" s="71" t="str">
        <f>TKO!A88</f>
        <v>84. Mengapa toleransi dan menghargai perbedaan pendapat sangat penting dalam pertemuan akademis</v>
      </c>
      <c r="B94" s="69">
        <f>TKO!B88</f>
        <v>0</v>
      </c>
      <c r="C94" s="69">
        <f>TKO!C88</f>
        <v>0</v>
      </c>
      <c r="D94" s="69">
        <f>TKO!D88</f>
        <v>0</v>
      </c>
      <c r="E94" s="69">
        <f>TKO!E88</f>
        <v>0</v>
      </c>
      <c r="F94" s="69">
        <f>TKO!F88</f>
        <v>0</v>
      </c>
      <c r="G94" s="69">
        <f>TKO!G88</f>
        <v>0</v>
      </c>
      <c r="H94" s="69">
        <f>TKO!H88</f>
        <v>1</v>
      </c>
      <c r="I94" s="69">
        <f>TKO!I88</f>
        <v>0</v>
      </c>
      <c r="J94" s="69">
        <f>TKO!J88</f>
        <v>1</v>
      </c>
      <c r="K94" s="69">
        <f>TKO!K88</f>
        <v>0</v>
      </c>
      <c r="L94" s="69">
        <f t="shared" si="34"/>
        <v>5</v>
      </c>
      <c r="M94" s="69">
        <f t="shared" si="35"/>
        <v>5</v>
      </c>
      <c r="N94" s="69">
        <f t="shared" si="36"/>
        <v>1</v>
      </c>
      <c r="O94" s="69">
        <f t="shared" si="37"/>
        <v>1</v>
      </c>
      <c r="P94" s="69">
        <f t="shared" si="38"/>
        <v>1</v>
      </c>
      <c r="Q94" s="69">
        <f t="shared" si="39"/>
        <v>1</v>
      </c>
      <c r="R94" s="70">
        <f t="shared" si="40"/>
        <v>1.3862943611198906</v>
      </c>
      <c r="S94" s="70">
        <f t="shared" si="41"/>
        <v>1.3862943611198906</v>
      </c>
      <c r="T94" s="70">
        <f t="shared" si="42"/>
        <v>1.2676671597457425</v>
      </c>
      <c r="U94" s="70">
        <f t="shared" si="43"/>
        <v>1.2676671597457425</v>
      </c>
      <c r="V94" s="70">
        <f t="shared" si="44"/>
        <v>1.1180339887498949</v>
      </c>
      <c r="W94" s="70">
        <f t="shared" si="45"/>
        <v>1.1180339887498949</v>
      </c>
      <c r="X94" s="70">
        <f t="shared" si="46"/>
        <v>0</v>
      </c>
      <c r="Y94" s="70">
        <f t="shared" si="47"/>
        <v>1.5811388300841898</v>
      </c>
      <c r="Z94" s="70">
        <f t="shared" si="48"/>
        <v>0</v>
      </c>
      <c r="AA94" s="69" t="str">
        <f t="shared" si="49"/>
        <v>Negligible</v>
      </c>
      <c r="AB94" s="69" t="str">
        <f t="shared" si="50"/>
        <v>Tidak Ada Indikasi Bias</v>
      </c>
    </row>
    <row r="95" spans="1:28" ht="62.5" x14ac:dyDescent="0.35">
      <c r="A95" s="71" t="str">
        <f>TKO!A89</f>
        <v>85. Apa yang harus dilakukan oleh personel untuk memastikan pelaksanaan tugas dan kewajiban sebagaimana yang telah ditentukan dalam surat pengangkatannya</v>
      </c>
      <c r="B95" s="69">
        <f>TKO!B89</f>
        <v>0</v>
      </c>
      <c r="C95" s="69">
        <f>TKO!C89</f>
        <v>0</v>
      </c>
      <c r="D95" s="69">
        <f>TKO!D89</f>
        <v>1</v>
      </c>
      <c r="E95" s="69">
        <f>TKO!E89</f>
        <v>0</v>
      </c>
      <c r="F95" s="69">
        <f>TKO!F89</f>
        <v>0</v>
      </c>
      <c r="G95" s="69">
        <f>TKO!G89</f>
        <v>1</v>
      </c>
      <c r="H95" s="69">
        <f>TKO!H89</f>
        <v>1</v>
      </c>
      <c r="I95" s="69">
        <f>TKO!I89</f>
        <v>0</v>
      </c>
      <c r="J95" s="69">
        <f>TKO!J89</f>
        <v>1</v>
      </c>
      <c r="K95" s="69">
        <f>TKO!K89</f>
        <v>0</v>
      </c>
      <c r="L95" s="69">
        <f t="shared" si="34"/>
        <v>5</v>
      </c>
      <c r="M95" s="69">
        <f t="shared" si="35"/>
        <v>5</v>
      </c>
      <c r="N95" s="69">
        <f t="shared" si="36"/>
        <v>2</v>
      </c>
      <c r="O95" s="69">
        <f t="shared" si="37"/>
        <v>2</v>
      </c>
      <c r="P95" s="69">
        <f t="shared" si="38"/>
        <v>2</v>
      </c>
      <c r="Q95" s="69">
        <f t="shared" si="39"/>
        <v>2</v>
      </c>
      <c r="R95" s="70">
        <f t="shared" si="40"/>
        <v>0.40546510810816438</v>
      </c>
      <c r="S95" s="70">
        <f t="shared" si="41"/>
        <v>0.40546510810816438</v>
      </c>
      <c r="T95" s="70">
        <f t="shared" si="42"/>
        <v>0.28683790673401638</v>
      </c>
      <c r="U95" s="70">
        <f t="shared" si="43"/>
        <v>0.28683790673401638</v>
      </c>
      <c r="V95" s="70">
        <f t="shared" si="44"/>
        <v>0.91287092917527679</v>
      </c>
      <c r="W95" s="70">
        <f t="shared" si="45"/>
        <v>0.91287092917527679</v>
      </c>
      <c r="X95" s="70">
        <f t="shared" si="46"/>
        <v>0</v>
      </c>
      <c r="Y95" s="70">
        <f t="shared" si="47"/>
        <v>1.2909944487358056</v>
      </c>
      <c r="Z95" s="70">
        <f t="shared" si="48"/>
        <v>0</v>
      </c>
      <c r="AA95" s="69" t="str">
        <f t="shared" si="49"/>
        <v>Negligible</v>
      </c>
      <c r="AB95" s="69" t="str">
        <f t="shared" si="50"/>
        <v>Tidak Ada Indikasi Bias</v>
      </c>
    </row>
    <row r="96" spans="1:28" ht="62.5" x14ac:dyDescent="0.35">
      <c r="A96" s="71" t="str">
        <f>TKO!A90</f>
        <v>86.Apa yang harus dilakukan jika seorang personel ingin melakukan kegiatan di luar organisasi yang menggunakan nama organisasi, tetapi tidak yakin apakah izin diperlukan</v>
      </c>
      <c r="B96" s="69">
        <f>TKO!B90</f>
        <v>1</v>
      </c>
      <c r="C96" s="69">
        <f>TKO!C90</f>
        <v>0</v>
      </c>
      <c r="D96" s="69">
        <f>TKO!D90</f>
        <v>1</v>
      </c>
      <c r="E96" s="69">
        <f>TKO!E90</f>
        <v>0</v>
      </c>
      <c r="F96" s="69">
        <f>TKO!F90</f>
        <v>0</v>
      </c>
      <c r="G96" s="69">
        <f>TKO!G90</f>
        <v>1</v>
      </c>
      <c r="H96" s="69">
        <f>TKO!H90</f>
        <v>1</v>
      </c>
      <c r="I96" s="69">
        <f>TKO!I90</f>
        <v>0</v>
      </c>
      <c r="J96" s="69">
        <f>TKO!J90</f>
        <v>1</v>
      </c>
      <c r="K96" s="69">
        <f>TKO!K90</f>
        <v>1</v>
      </c>
      <c r="L96" s="69">
        <f t="shared" si="34"/>
        <v>5</v>
      </c>
      <c r="M96" s="69">
        <f t="shared" si="35"/>
        <v>5</v>
      </c>
      <c r="N96" s="69">
        <f t="shared" si="36"/>
        <v>3</v>
      </c>
      <c r="O96" s="69">
        <f t="shared" si="37"/>
        <v>3</v>
      </c>
      <c r="P96" s="69">
        <f t="shared" si="38"/>
        <v>3</v>
      </c>
      <c r="Q96" s="69">
        <f t="shared" si="39"/>
        <v>3</v>
      </c>
      <c r="R96" s="70">
        <f t="shared" si="40"/>
        <v>-0.40546510810816444</v>
      </c>
      <c r="S96" s="70">
        <f t="shared" si="41"/>
        <v>-0.40546510810816444</v>
      </c>
      <c r="T96" s="70">
        <f t="shared" si="42"/>
        <v>-0.52409230948231245</v>
      </c>
      <c r="U96" s="70">
        <f t="shared" si="43"/>
        <v>-0.52409230948231245</v>
      </c>
      <c r="V96" s="70">
        <f t="shared" si="44"/>
        <v>0.91287092917527679</v>
      </c>
      <c r="W96" s="70">
        <f t="shared" si="45"/>
        <v>0.91287092917527679</v>
      </c>
      <c r="X96" s="70">
        <f t="shared" si="46"/>
        <v>0</v>
      </c>
      <c r="Y96" s="70">
        <f t="shared" si="47"/>
        <v>1.2909944487358056</v>
      </c>
      <c r="Z96" s="70">
        <f t="shared" si="48"/>
        <v>0</v>
      </c>
      <c r="AA96" s="69" t="str">
        <f t="shared" si="49"/>
        <v>Negligible</v>
      </c>
      <c r="AB96" s="69" t="str">
        <f t="shared" si="50"/>
        <v>Tidak Ada Indikasi Bias</v>
      </c>
    </row>
    <row r="97" spans="1:28" ht="37.5" customHeight="1" x14ac:dyDescent="0.35">
      <c r="A97" s="71" t="str">
        <f>TKO!A91</f>
        <v>87. Bagaimana cara terbaik untuk memastikan izin yang diperlukan telah diperoleh sebelum melaksanakan kegiatan di luar organisasi yang melibatkan penggunaan nama organisasi</v>
      </c>
      <c r="B97" s="69">
        <f>TKO!B91</f>
        <v>1</v>
      </c>
      <c r="C97" s="69">
        <f>TKO!C91</f>
        <v>1</v>
      </c>
      <c r="D97" s="69">
        <f>TKO!D91</f>
        <v>1</v>
      </c>
      <c r="E97" s="69">
        <f>TKO!E91</f>
        <v>1</v>
      </c>
      <c r="F97" s="69">
        <f>TKO!F91</f>
        <v>0</v>
      </c>
      <c r="G97" s="69">
        <f>TKO!G91</f>
        <v>0</v>
      </c>
      <c r="H97" s="69">
        <f>TKO!H91</f>
        <v>0</v>
      </c>
      <c r="I97" s="69">
        <f>TKO!I91</f>
        <v>0</v>
      </c>
      <c r="J97" s="69">
        <f>TKO!J91</f>
        <v>0</v>
      </c>
      <c r="K97" s="69">
        <f>TKO!K91</f>
        <v>0</v>
      </c>
      <c r="L97" s="69">
        <f t="shared" si="34"/>
        <v>5</v>
      </c>
      <c r="M97" s="69">
        <f t="shared" si="35"/>
        <v>5</v>
      </c>
      <c r="N97" s="69">
        <f t="shared" si="36"/>
        <v>2</v>
      </c>
      <c r="O97" s="69">
        <f t="shared" si="37"/>
        <v>2</v>
      </c>
      <c r="P97" s="69">
        <f t="shared" si="38"/>
        <v>2</v>
      </c>
      <c r="Q97" s="69">
        <f t="shared" si="39"/>
        <v>2</v>
      </c>
      <c r="R97" s="70">
        <f t="shared" si="40"/>
        <v>0.40546510810816438</v>
      </c>
      <c r="S97" s="70">
        <f t="shared" si="41"/>
        <v>0.40546510810816438</v>
      </c>
      <c r="T97" s="70">
        <f t="shared" si="42"/>
        <v>0.28683790673401638</v>
      </c>
      <c r="U97" s="70">
        <f t="shared" si="43"/>
        <v>0.28683790673401638</v>
      </c>
      <c r="V97" s="70">
        <f t="shared" si="44"/>
        <v>0.91287092917527679</v>
      </c>
      <c r="W97" s="70">
        <f t="shared" si="45"/>
        <v>0.91287092917527679</v>
      </c>
      <c r="X97" s="70">
        <f t="shared" si="46"/>
        <v>0</v>
      </c>
      <c r="Y97" s="70">
        <f t="shared" si="47"/>
        <v>1.2909944487358056</v>
      </c>
      <c r="Z97" s="70">
        <f t="shared" si="48"/>
        <v>0</v>
      </c>
      <c r="AA97" s="69" t="str">
        <f t="shared" si="49"/>
        <v>Negligible</v>
      </c>
      <c r="AB97" s="69" t="str">
        <f t="shared" si="50"/>
        <v>Tidak Ada Indikasi Bias</v>
      </c>
    </row>
    <row r="98" spans="1:28" ht="37.5" x14ac:dyDescent="0.35">
      <c r="A98" s="71" t="str">
        <f>TKO!A92</f>
        <v>88. Mengapa penting untuk memiliki budaya kerja yang menekankan integritas dan kejujuran</v>
      </c>
      <c r="B98" s="69">
        <f>TKO!B92</f>
        <v>1</v>
      </c>
      <c r="C98" s="69">
        <f>TKO!C92</f>
        <v>1</v>
      </c>
      <c r="D98" s="69">
        <f>TKO!D92</f>
        <v>1</v>
      </c>
      <c r="E98" s="69">
        <f>TKO!E92</f>
        <v>1</v>
      </c>
      <c r="F98" s="69">
        <f>TKO!F92</f>
        <v>1</v>
      </c>
      <c r="G98" s="69">
        <f>TKO!G92</f>
        <v>1</v>
      </c>
      <c r="H98" s="69">
        <f>TKO!H92</f>
        <v>0</v>
      </c>
      <c r="I98" s="69">
        <f>TKO!I92</f>
        <v>0</v>
      </c>
      <c r="J98" s="69">
        <f>TKO!J92</f>
        <v>0</v>
      </c>
      <c r="K98" s="69">
        <f>TKO!K92</f>
        <v>0</v>
      </c>
      <c r="L98" s="69">
        <f t="shared" si="34"/>
        <v>5</v>
      </c>
      <c r="M98" s="69">
        <f t="shared" si="35"/>
        <v>5</v>
      </c>
      <c r="N98" s="69">
        <f t="shared" si="36"/>
        <v>3</v>
      </c>
      <c r="O98" s="69">
        <f t="shared" si="37"/>
        <v>3</v>
      </c>
      <c r="P98" s="69">
        <f t="shared" si="38"/>
        <v>3</v>
      </c>
      <c r="Q98" s="69">
        <f t="shared" si="39"/>
        <v>3</v>
      </c>
      <c r="R98" s="70">
        <f t="shared" si="40"/>
        <v>-0.40546510810816444</v>
      </c>
      <c r="S98" s="70">
        <f t="shared" si="41"/>
        <v>-0.40546510810816444</v>
      </c>
      <c r="T98" s="70">
        <f t="shared" si="42"/>
        <v>-0.52409230948231245</v>
      </c>
      <c r="U98" s="70">
        <f t="shared" si="43"/>
        <v>-0.52409230948231245</v>
      </c>
      <c r="V98" s="70">
        <f t="shared" si="44"/>
        <v>0.91287092917527679</v>
      </c>
      <c r="W98" s="70">
        <f t="shared" si="45"/>
        <v>0.91287092917527679</v>
      </c>
      <c r="X98" s="70">
        <f t="shared" si="46"/>
        <v>0</v>
      </c>
      <c r="Y98" s="70">
        <f t="shared" si="47"/>
        <v>1.2909944487358056</v>
      </c>
      <c r="Z98" s="70">
        <f t="shared" si="48"/>
        <v>0</v>
      </c>
      <c r="AA98" s="69" t="str">
        <f t="shared" si="49"/>
        <v>Negligible</v>
      </c>
      <c r="AB98" s="69" t="str">
        <f t="shared" si="50"/>
        <v>Tidak Ada Indikasi Bias</v>
      </c>
    </row>
    <row r="99" spans="1:28" ht="37.5" x14ac:dyDescent="0.35">
      <c r="A99" s="71" t="str">
        <f>TKO!A93</f>
        <v>89. Apa yang dapat dilakukan oleh individu untuk mencegah diri dari terlibat dalam tindakan suap</v>
      </c>
      <c r="B99" s="69">
        <f>TKO!B93</f>
        <v>1</v>
      </c>
      <c r="C99" s="69">
        <f>TKO!C93</f>
        <v>0</v>
      </c>
      <c r="D99" s="69">
        <f>TKO!D93</f>
        <v>1</v>
      </c>
      <c r="E99" s="69">
        <f>TKO!E93</f>
        <v>1</v>
      </c>
      <c r="F99" s="69">
        <f>TKO!F93</f>
        <v>0</v>
      </c>
      <c r="G99" s="69">
        <f>TKO!G93</f>
        <v>1</v>
      </c>
      <c r="H99" s="69">
        <f>TKO!H93</f>
        <v>1</v>
      </c>
      <c r="I99" s="69">
        <f>TKO!I93</f>
        <v>1</v>
      </c>
      <c r="J99" s="69">
        <f>TKO!J93</f>
        <v>1</v>
      </c>
      <c r="K99" s="69">
        <f>TKO!K93</f>
        <v>1</v>
      </c>
      <c r="L99" s="69">
        <f t="shared" si="34"/>
        <v>5</v>
      </c>
      <c r="M99" s="69">
        <f t="shared" si="35"/>
        <v>5</v>
      </c>
      <c r="N99" s="69">
        <f t="shared" si="36"/>
        <v>4</v>
      </c>
      <c r="O99" s="69">
        <f t="shared" si="37"/>
        <v>4</v>
      </c>
      <c r="P99" s="69">
        <f t="shared" si="38"/>
        <v>4</v>
      </c>
      <c r="Q99" s="69">
        <f t="shared" si="39"/>
        <v>4</v>
      </c>
      <c r="R99" s="70">
        <f t="shared" si="40"/>
        <v>-1.3862943611198906</v>
      </c>
      <c r="S99" s="70">
        <f t="shared" si="41"/>
        <v>-1.3862943611198906</v>
      </c>
      <c r="T99" s="70">
        <f t="shared" si="42"/>
        <v>-1.5049215624940386</v>
      </c>
      <c r="U99" s="70">
        <f t="shared" si="43"/>
        <v>-1.5049215624940386</v>
      </c>
      <c r="V99" s="70">
        <f t="shared" si="44"/>
        <v>1.1180339887498949</v>
      </c>
      <c r="W99" s="70">
        <f t="shared" si="45"/>
        <v>1.1180339887498949</v>
      </c>
      <c r="X99" s="70">
        <f t="shared" si="46"/>
        <v>0</v>
      </c>
      <c r="Y99" s="70">
        <f t="shared" si="47"/>
        <v>1.5811388300841898</v>
      </c>
      <c r="Z99" s="70">
        <f t="shared" si="48"/>
        <v>0</v>
      </c>
      <c r="AA99" s="69" t="str">
        <f t="shared" si="49"/>
        <v>Negligible</v>
      </c>
      <c r="AB99" s="69" t="str">
        <f t="shared" si="50"/>
        <v>Tidak Ada Indikasi Bias</v>
      </c>
    </row>
    <row r="100" spans="1:28" ht="37.5" customHeight="1" x14ac:dyDescent="0.35">
      <c r="A100" s="71" t="str">
        <f>TKO!A94</f>
        <v>90. Mengapa penting bagi personel perguruan tinggi untuk tidak mengizinkan adanya pengaruh keuangan komersial atau tekanan untuk kompromi ketidakberpihakan</v>
      </c>
      <c r="B100" s="69">
        <f>TKO!B94</f>
        <v>0</v>
      </c>
      <c r="C100" s="69">
        <f>TKO!C94</f>
        <v>0</v>
      </c>
      <c r="D100" s="69">
        <f>TKO!D94</f>
        <v>0</v>
      </c>
      <c r="E100" s="69">
        <f>TKO!E94</f>
        <v>0</v>
      </c>
      <c r="F100" s="69">
        <f>TKO!F94</f>
        <v>0</v>
      </c>
      <c r="G100" s="69">
        <f>TKO!G94</f>
        <v>0</v>
      </c>
      <c r="H100" s="69">
        <f>TKO!H94</f>
        <v>1</v>
      </c>
      <c r="I100" s="69">
        <f>TKO!I94</f>
        <v>0</v>
      </c>
      <c r="J100" s="69">
        <f>TKO!J94</f>
        <v>1</v>
      </c>
      <c r="K100" s="69">
        <f>TKO!K94</f>
        <v>0</v>
      </c>
      <c r="L100" s="69">
        <f t="shared" si="34"/>
        <v>5</v>
      </c>
      <c r="M100" s="69">
        <f t="shared" si="35"/>
        <v>5</v>
      </c>
      <c r="N100" s="69">
        <f t="shared" si="36"/>
        <v>1</v>
      </c>
      <c r="O100" s="69">
        <f t="shared" si="37"/>
        <v>1</v>
      </c>
      <c r="P100" s="69">
        <f t="shared" si="38"/>
        <v>1</v>
      </c>
      <c r="Q100" s="69">
        <f t="shared" si="39"/>
        <v>1</v>
      </c>
      <c r="R100" s="70">
        <f t="shared" si="40"/>
        <v>1.3862943611198906</v>
      </c>
      <c r="S100" s="70">
        <f t="shared" si="41"/>
        <v>1.3862943611198906</v>
      </c>
      <c r="T100" s="70">
        <f t="shared" si="42"/>
        <v>1.2676671597457425</v>
      </c>
      <c r="U100" s="70">
        <f t="shared" si="43"/>
        <v>1.2676671597457425</v>
      </c>
      <c r="V100" s="70">
        <f t="shared" si="44"/>
        <v>1.1180339887498949</v>
      </c>
      <c r="W100" s="70">
        <f t="shared" si="45"/>
        <v>1.1180339887498949</v>
      </c>
      <c r="X100" s="70">
        <f t="shared" si="46"/>
        <v>0</v>
      </c>
      <c r="Y100" s="70">
        <f t="shared" si="47"/>
        <v>1.5811388300841898</v>
      </c>
      <c r="Z100" s="70">
        <f t="shared" si="48"/>
        <v>0</v>
      </c>
      <c r="AA100" s="69" t="str">
        <f t="shared" si="49"/>
        <v>Negligible</v>
      </c>
      <c r="AB100" s="69" t="str">
        <f t="shared" si="50"/>
        <v>Tidak Ada Indikasi Bias</v>
      </c>
    </row>
    <row r="101" spans="1:28" ht="50" x14ac:dyDescent="0.35">
      <c r="A101" s="71" t="str">
        <f>TKO!A95</f>
        <v>91. Bagaimana penyelesaian masalah terkait ketidakberpihakan dapat dilakukan dengan tetap menjaga integritas organisasi</v>
      </c>
      <c r="B101" s="69">
        <f>TKO!B95</f>
        <v>0</v>
      </c>
      <c r="C101" s="69">
        <f>TKO!C95</f>
        <v>0</v>
      </c>
      <c r="D101" s="69">
        <f>TKO!D95</f>
        <v>1</v>
      </c>
      <c r="E101" s="69">
        <f>TKO!E95</f>
        <v>0</v>
      </c>
      <c r="F101" s="69">
        <f>TKO!F95</f>
        <v>0</v>
      </c>
      <c r="G101" s="69">
        <f>TKO!G95</f>
        <v>0</v>
      </c>
      <c r="H101" s="69">
        <f>TKO!H95</f>
        <v>1</v>
      </c>
      <c r="I101" s="69">
        <f>TKO!I95</f>
        <v>1</v>
      </c>
      <c r="J101" s="69">
        <f>TKO!J95</f>
        <v>0</v>
      </c>
      <c r="K101" s="69">
        <f>TKO!K95</f>
        <v>1</v>
      </c>
      <c r="L101" s="69">
        <f t="shared" si="34"/>
        <v>5</v>
      </c>
      <c r="M101" s="69">
        <f t="shared" si="35"/>
        <v>5</v>
      </c>
      <c r="N101" s="69">
        <f t="shared" si="36"/>
        <v>2</v>
      </c>
      <c r="O101" s="69">
        <f t="shared" si="37"/>
        <v>2</v>
      </c>
      <c r="P101" s="69">
        <f t="shared" si="38"/>
        <v>2</v>
      </c>
      <c r="Q101" s="69">
        <f t="shared" si="39"/>
        <v>2</v>
      </c>
      <c r="R101" s="70">
        <f t="shared" si="40"/>
        <v>0.40546510810816438</v>
      </c>
      <c r="S101" s="70">
        <f t="shared" si="41"/>
        <v>0.40546510810816438</v>
      </c>
      <c r="T101" s="70">
        <f t="shared" si="42"/>
        <v>0.28683790673401638</v>
      </c>
      <c r="U101" s="70">
        <f t="shared" si="43"/>
        <v>0.28683790673401638</v>
      </c>
      <c r="V101" s="70">
        <f t="shared" si="44"/>
        <v>0.91287092917527679</v>
      </c>
      <c r="W101" s="70">
        <f t="shared" si="45"/>
        <v>0.91287092917527679</v>
      </c>
      <c r="X101" s="70">
        <f t="shared" si="46"/>
        <v>0</v>
      </c>
      <c r="Y101" s="70">
        <f t="shared" si="47"/>
        <v>1.2909944487358056</v>
      </c>
      <c r="Z101" s="70">
        <f t="shared" si="48"/>
        <v>0</v>
      </c>
      <c r="AA101" s="69" t="str">
        <f t="shared" si="49"/>
        <v>Negligible</v>
      </c>
      <c r="AB101" s="69" t="str">
        <f t="shared" si="50"/>
        <v>Tidak Ada Indikasi Bias</v>
      </c>
    </row>
    <row r="102" spans="1:28" ht="50" x14ac:dyDescent="0.35">
      <c r="A102" s="71" t="str">
        <f>TKO!A96</f>
        <v>92. Apa yang harus dilakukan jika seseorang mencoba untuk mengambil-alih atau merusak aset organisasi perguruan tinggi</v>
      </c>
      <c r="B102" s="69">
        <f>TKO!B96</f>
        <v>0</v>
      </c>
      <c r="C102" s="69">
        <f>TKO!C96</f>
        <v>0</v>
      </c>
      <c r="D102" s="69">
        <f>TKO!D96</f>
        <v>0</v>
      </c>
      <c r="E102" s="69">
        <f>TKO!E96</f>
        <v>1</v>
      </c>
      <c r="F102" s="69">
        <f>TKO!F96</f>
        <v>0</v>
      </c>
      <c r="G102" s="69">
        <f>TKO!G96</f>
        <v>1</v>
      </c>
      <c r="H102" s="69">
        <f>TKO!H96</f>
        <v>1</v>
      </c>
      <c r="I102" s="69">
        <f>TKO!I96</f>
        <v>1</v>
      </c>
      <c r="J102" s="69">
        <f>TKO!J96</f>
        <v>1</v>
      </c>
      <c r="K102" s="69">
        <f>TKO!K96</f>
        <v>1</v>
      </c>
      <c r="L102" s="69">
        <f t="shared" si="34"/>
        <v>5</v>
      </c>
      <c r="M102" s="69">
        <f t="shared" si="35"/>
        <v>5</v>
      </c>
      <c r="N102" s="69">
        <f t="shared" si="36"/>
        <v>3</v>
      </c>
      <c r="O102" s="69">
        <f t="shared" si="37"/>
        <v>3</v>
      </c>
      <c r="P102" s="69">
        <f t="shared" si="38"/>
        <v>3</v>
      </c>
      <c r="Q102" s="69">
        <f t="shared" si="39"/>
        <v>3</v>
      </c>
      <c r="R102" s="70">
        <f t="shared" si="40"/>
        <v>-0.40546510810816444</v>
      </c>
      <c r="S102" s="70">
        <f t="shared" si="41"/>
        <v>-0.40546510810816444</v>
      </c>
      <c r="T102" s="70">
        <f t="shared" si="42"/>
        <v>-0.52409230948231245</v>
      </c>
      <c r="U102" s="70">
        <f t="shared" si="43"/>
        <v>-0.52409230948231245</v>
      </c>
      <c r="V102" s="70">
        <f t="shared" si="44"/>
        <v>0.91287092917527679</v>
      </c>
      <c r="W102" s="70">
        <f t="shared" si="45"/>
        <v>0.91287092917527679</v>
      </c>
      <c r="X102" s="70">
        <f t="shared" si="46"/>
        <v>0</v>
      </c>
      <c r="Y102" s="70">
        <f t="shared" si="47"/>
        <v>1.2909944487358056</v>
      </c>
      <c r="Z102" s="70">
        <f t="shared" si="48"/>
        <v>0</v>
      </c>
      <c r="AA102" s="69" t="str">
        <f t="shared" si="49"/>
        <v>Negligible</v>
      </c>
      <c r="AB102" s="69" t="str">
        <f t="shared" si="50"/>
        <v>Tidak Ada Indikasi Bias</v>
      </c>
    </row>
    <row r="103" spans="1:28" ht="37.5" customHeight="1" x14ac:dyDescent="0.35">
      <c r="A103" s="71" t="str">
        <f>TKO!A97</f>
        <v>93. Mengapa penting untuk melaksanakan peminjaman aset/fasilitas organisasi dengan tanggung jawab dan memenuhi prinsip kewajaran</v>
      </c>
      <c r="B103" s="69">
        <f>TKO!B97</f>
        <v>1</v>
      </c>
      <c r="C103" s="69">
        <f>TKO!C97</f>
        <v>1</v>
      </c>
      <c r="D103" s="69">
        <f>TKO!D97</f>
        <v>1</v>
      </c>
      <c r="E103" s="69">
        <f>TKO!E97</f>
        <v>1</v>
      </c>
      <c r="F103" s="69">
        <f>TKO!F97</f>
        <v>1</v>
      </c>
      <c r="G103" s="69">
        <f>TKO!G97</f>
        <v>1</v>
      </c>
      <c r="H103" s="69">
        <f>TKO!H97</f>
        <v>0</v>
      </c>
      <c r="I103" s="69">
        <f>TKO!I97</f>
        <v>0</v>
      </c>
      <c r="J103" s="69">
        <f>TKO!J97</f>
        <v>0</v>
      </c>
      <c r="K103" s="69">
        <f>TKO!K97</f>
        <v>0</v>
      </c>
      <c r="L103" s="69">
        <f t="shared" si="34"/>
        <v>5</v>
      </c>
      <c r="M103" s="69">
        <f t="shared" si="35"/>
        <v>5</v>
      </c>
      <c r="N103" s="69">
        <f t="shared" si="36"/>
        <v>3</v>
      </c>
      <c r="O103" s="69">
        <f t="shared" si="37"/>
        <v>3</v>
      </c>
      <c r="P103" s="69">
        <f t="shared" si="38"/>
        <v>3</v>
      </c>
      <c r="Q103" s="69">
        <f t="shared" si="39"/>
        <v>3</v>
      </c>
      <c r="R103" s="70">
        <f t="shared" si="40"/>
        <v>-0.40546510810816444</v>
      </c>
      <c r="S103" s="70">
        <f t="shared" si="41"/>
        <v>-0.40546510810816444</v>
      </c>
      <c r="T103" s="70">
        <f t="shared" si="42"/>
        <v>-0.52409230948231245</v>
      </c>
      <c r="U103" s="70">
        <f t="shared" si="43"/>
        <v>-0.52409230948231245</v>
      </c>
      <c r="V103" s="70">
        <f t="shared" si="44"/>
        <v>0.91287092917527679</v>
      </c>
      <c r="W103" s="70">
        <f t="shared" si="45"/>
        <v>0.91287092917527679</v>
      </c>
      <c r="X103" s="70">
        <f t="shared" si="46"/>
        <v>0</v>
      </c>
      <c r="Y103" s="70">
        <f t="shared" si="47"/>
        <v>1.2909944487358056</v>
      </c>
      <c r="Z103" s="70">
        <f t="shared" si="48"/>
        <v>0</v>
      </c>
      <c r="AA103" s="69" t="str">
        <f t="shared" si="49"/>
        <v>Negligible</v>
      </c>
      <c r="AB103" s="69" t="str">
        <f t="shared" si="50"/>
        <v>Tidak Ada Indikasi Bias</v>
      </c>
    </row>
    <row r="104" spans="1:28" ht="50" customHeight="1" x14ac:dyDescent="0.35">
      <c r="A104" s="71" t="str">
        <f>TKO!A98</f>
        <v>94. Apa yang harus dilakukan sebelum memberikan atau memberitahukan informasi rahasia kepada pihak yang berkepentingan</v>
      </c>
      <c r="B104" s="69">
        <f>TKO!B98</f>
        <v>1</v>
      </c>
      <c r="C104" s="69">
        <f>TKO!C98</f>
        <v>0</v>
      </c>
      <c r="D104" s="69">
        <f>TKO!D98</f>
        <v>0</v>
      </c>
      <c r="E104" s="69">
        <f>TKO!E98</f>
        <v>0</v>
      </c>
      <c r="F104" s="69">
        <f>TKO!F98</f>
        <v>1</v>
      </c>
      <c r="G104" s="69">
        <f>TKO!G98</f>
        <v>1</v>
      </c>
      <c r="H104" s="69">
        <f>TKO!H98</f>
        <v>0</v>
      </c>
      <c r="I104" s="69">
        <f>TKO!I98</f>
        <v>1</v>
      </c>
      <c r="J104" s="69">
        <f>TKO!J98</f>
        <v>1</v>
      </c>
      <c r="K104" s="69">
        <f>TKO!K98</f>
        <v>1</v>
      </c>
      <c r="L104" s="69">
        <f t="shared" si="34"/>
        <v>5</v>
      </c>
      <c r="M104" s="69">
        <f t="shared" si="35"/>
        <v>5</v>
      </c>
      <c r="N104" s="69">
        <f t="shared" si="36"/>
        <v>3</v>
      </c>
      <c r="O104" s="69">
        <f t="shared" si="37"/>
        <v>3</v>
      </c>
      <c r="P104" s="69">
        <f t="shared" si="38"/>
        <v>3</v>
      </c>
      <c r="Q104" s="69">
        <f t="shared" si="39"/>
        <v>3</v>
      </c>
      <c r="R104" s="70">
        <f t="shared" si="40"/>
        <v>-0.40546510810816444</v>
      </c>
      <c r="S104" s="70">
        <f t="shared" si="41"/>
        <v>-0.40546510810816444</v>
      </c>
      <c r="T104" s="70">
        <f t="shared" si="42"/>
        <v>-0.52409230948231245</v>
      </c>
      <c r="U104" s="70">
        <f t="shared" si="43"/>
        <v>-0.52409230948231245</v>
      </c>
      <c r="V104" s="70">
        <f t="shared" si="44"/>
        <v>0.91287092917527679</v>
      </c>
      <c r="W104" s="70">
        <f t="shared" si="45"/>
        <v>0.91287092917527679</v>
      </c>
      <c r="X104" s="70">
        <f t="shared" si="46"/>
        <v>0</v>
      </c>
      <c r="Y104" s="70">
        <f t="shared" si="47"/>
        <v>1.2909944487358056</v>
      </c>
      <c r="Z104" s="70">
        <f t="shared" si="48"/>
        <v>0</v>
      </c>
      <c r="AA104" s="69" t="str">
        <f t="shared" si="49"/>
        <v>Negligible</v>
      </c>
      <c r="AB104" s="69" t="str">
        <f t="shared" si="50"/>
        <v>Tidak Ada Indikasi Bias</v>
      </c>
    </row>
    <row r="105" spans="1:28" ht="50" x14ac:dyDescent="0.35">
      <c r="A105" s="71" t="str">
        <f>TKO!A99</f>
        <v>95. Apa yang harus dilakukan setelah mengidentifikasi dan mengklasifikasikan jenis pelanggaran dalam organisasi perguruan tinggi</v>
      </c>
      <c r="B105" s="69">
        <f>TKO!B99</f>
        <v>0</v>
      </c>
      <c r="C105" s="69">
        <f>TKO!C99</f>
        <v>0</v>
      </c>
      <c r="D105" s="69">
        <f>TKO!D99</f>
        <v>0</v>
      </c>
      <c r="E105" s="69">
        <f>TKO!E99</f>
        <v>0</v>
      </c>
      <c r="F105" s="69">
        <f>TKO!F99</f>
        <v>0</v>
      </c>
      <c r="G105" s="69">
        <f>TKO!G99</f>
        <v>1</v>
      </c>
      <c r="H105" s="69">
        <f>TKO!H99</f>
        <v>1</v>
      </c>
      <c r="I105" s="69">
        <f>TKO!I99</f>
        <v>0</v>
      </c>
      <c r="J105" s="69">
        <f>TKO!J99</f>
        <v>1</v>
      </c>
      <c r="K105" s="69">
        <f>TKO!K99</f>
        <v>1</v>
      </c>
      <c r="L105" s="69">
        <f t="shared" si="34"/>
        <v>5</v>
      </c>
      <c r="M105" s="69">
        <f t="shared" si="35"/>
        <v>5</v>
      </c>
      <c r="N105" s="69">
        <f t="shared" si="36"/>
        <v>2</v>
      </c>
      <c r="O105" s="69">
        <f t="shared" si="37"/>
        <v>2</v>
      </c>
      <c r="P105" s="69">
        <f t="shared" si="38"/>
        <v>2</v>
      </c>
      <c r="Q105" s="69">
        <f t="shared" si="39"/>
        <v>2</v>
      </c>
      <c r="R105" s="70">
        <f t="shared" si="40"/>
        <v>0.40546510810816438</v>
      </c>
      <c r="S105" s="70">
        <f t="shared" si="41"/>
        <v>0.40546510810816438</v>
      </c>
      <c r="T105" s="70">
        <f t="shared" si="42"/>
        <v>0.28683790673401638</v>
      </c>
      <c r="U105" s="70">
        <f t="shared" si="43"/>
        <v>0.28683790673401638</v>
      </c>
      <c r="V105" s="70">
        <f t="shared" si="44"/>
        <v>0.91287092917527679</v>
      </c>
      <c r="W105" s="70">
        <f t="shared" si="45"/>
        <v>0.91287092917527679</v>
      </c>
      <c r="X105" s="70">
        <f t="shared" si="46"/>
        <v>0</v>
      </c>
      <c r="Y105" s="70">
        <f t="shared" si="47"/>
        <v>1.2909944487358056</v>
      </c>
      <c r="Z105" s="70">
        <f t="shared" si="48"/>
        <v>0</v>
      </c>
      <c r="AA105" s="69" t="str">
        <f t="shared" si="49"/>
        <v>Negligible</v>
      </c>
      <c r="AB105" s="69" t="str">
        <f t="shared" si="50"/>
        <v>Tidak Ada Indikasi Bias</v>
      </c>
    </row>
    <row r="106" spans="1:28" ht="37.5" x14ac:dyDescent="0.35">
      <c r="A106" s="71" t="str">
        <f>TKO!A100</f>
        <v>96. Mengapa penting untuk menegakkan sanksi sesuai dengan bobot pelanggaran yang ditetapkan</v>
      </c>
      <c r="B106" s="69">
        <f>TKO!B100</f>
        <v>1</v>
      </c>
      <c r="C106" s="69">
        <f>TKO!C100</f>
        <v>1</v>
      </c>
      <c r="D106" s="69">
        <f>TKO!D100</f>
        <v>0</v>
      </c>
      <c r="E106" s="69">
        <f>TKO!E100</f>
        <v>0</v>
      </c>
      <c r="F106" s="69">
        <f>TKO!F100</f>
        <v>1</v>
      </c>
      <c r="G106" s="69">
        <f>TKO!G100</f>
        <v>0</v>
      </c>
      <c r="H106" s="69">
        <f>TKO!H100</f>
        <v>0</v>
      </c>
      <c r="I106" s="69">
        <f>TKO!I100</f>
        <v>0</v>
      </c>
      <c r="J106" s="69">
        <f>TKO!J100</f>
        <v>0</v>
      </c>
      <c r="K106" s="69">
        <f>TKO!K100</f>
        <v>1</v>
      </c>
      <c r="L106" s="69">
        <f t="shared" si="34"/>
        <v>5</v>
      </c>
      <c r="M106" s="69">
        <f t="shared" si="35"/>
        <v>5</v>
      </c>
      <c r="N106" s="69">
        <f t="shared" si="36"/>
        <v>2</v>
      </c>
      <c r="O106" s="69">
        <f t="shared" si="37"/>
        <v>2</v>
      </c>
      <c r="P106" s="69">
        <f t="shared" si="38"/>
        <v>2</v>
      </c>
      <c r="Q106" s="69">
        <f t="shared" si="39"/>
        <v>2</v>
      </c>
      <c r="R106" s="70">
        <f t="shared" si="40"/>
        <v>0.40546510810816438</v>
      </c>
      <c r="S106" s="70">
        <f t="shared" si="41"/>
        <v>0.40546510810816438</v>
      </c>
      <c r="T106" s="70">
        <f t="shared" si="42"/>
        <v>0.28683790673401638</v>
      </c>
      <c r="U106" s="70">
        <f t="shared" si="43"/>
        <v>0.28683790673401638</v>
      </c>
      <c r="V106" s="70">
        <f t="shared" si="44"/>
        <v>0.91287092917527679</v>
      </c>
      <c r="W106" s="70">
        <f t="shared" si="45"/>
        <v>0.91287092917527679</v>
      </c>
      <c r="X106" s="70">
        <f t="shared" si="46"/>
        <v>0</v>
      </c>
      <c r="Y106" s="70">
        <f t="shared" si="47"/>
        <v>1.2909944487358056</v>
      </c>
      <c r="Z106" s="70">
        <f t="shared" si="48"/>
        <v>0</v>
      </c>
      <c r="AA106" s="69" t="str">
        <f t="shared" si="49"/>
        <v>Negligible</v>
      </c>
      <c r="AB106" s="69" t="str">
        <f t="shared" si="50"/>
        <v>Tidak Ada Indikasi Bias</v>
      </c>
    </row>
    <row r="107" spans="1:28" ht="62.5" x14ac:dyDescent="0.35">
      <c r="A107" s="71" t="str">
        <f>TKO!A101</f>
        <v>97. Mengapa penting untuk memberlakukan sanksi sesuai dengan peraturan perundang-undangan terhadap personel yang melakukan pelanggaran terhadap kode etik</v>
      </c>
      <c r="B107" s="69">
        <f>TKO!B101</f>
        <v>1</v>
      </c>
      <c r="C107" s="69">
        <f>TKO!C101</f>
        <v>1</v>
      </c>
      <c r="D107" s="69">
        <f>TKO!D101</f>
        <v>0</v>
      </c>
      <c r="E107" s="69">
        <f>TKO!E101</f>
        <v>0</v>
      </c>
      <c r="F107" s="69">
        <f>TKO!F101</f>
        <v>1</v>
      </c>
      <c r="G107" s="69">
        <f>TKO!G101</f>
        <v>0</v>
      </c>
      <c r="H107" s="69">
        <f>TKO!H101</f>
        <v>0</v>
      </c>
      <c r="I107" s="69">
        <f>TKO!I101</f>
        <v>0</v>
      </c>
      <c r="J107" s="69">
        <f>TKO!J101</f>
        <v>1</v>
      </c>
      <c r="K107" s="69">
        <f>TKO!K101</f>
        <v>0</v>
      </c>
      <c r="L107" s="69">
        <f t="shared" si="34"/>
        <v>5</v>
      </c>
      <c r="M107" s="69">
        <f t="shared" si="35"/>
        <v>5</v>
      </c>
      <c r="N107" s="69">
        <f t="shared" si="36"/>
        <v>2</v>
      </c>
      <c r="O107" s="69">
        <f t="shared" si="37"/>
        <v>2</v>
      </c>
      <c r="P107" s="69">
        <f t="shared" si="38"/>
        <v>2</v>
      </c>
      <c r="Q107" s="69">
        <f t="shared" si="39"/>
        <v>2</v>
      </c>
      <c r="R107" s="70">
        <f t="shared" si="40"/>
        <v>0.40546510810816438</v>
      </c>
      <c r="S107" s="70">
        <f t="shared" si="41"/>
        <v>0.40546510810816438</v>
      </c>
      <c r="T107" s="70">
        <f t="shared" si="42"/>
        <v>0.28683790673401638</v>
      </c>
      <c r="U107" s="70">
        <f t="shared" si="43"/>
        <v>0.28683790673401638</v>
      </c>
      <c r="V107" s="70">
        <f t="shared" si="44"/>
        <v>0.91287092917527679</v>
      </c>
      <c r="W107" s="70">
        <f t="shared" si="45"/>
        <v>0.91287092917527679</v>
      </c>
      <c r="X107" s="70">
        <f t="shared" si="46"/>
        <v>0</v>
      </c>
      <c r="Y107" s="70">
        <f t="shared" si="47"/>
        <v>1.2909944487358056</v>
      </c>
      <c r="Z107" s="70">
        <f t="shared" ref="Z107:Z110" si="51">X107/Y107</f>
        <v>0</v>
      </c>
      <c r="AA107" s="69" t="str">
        <f t="shared" ref="AA107:AA110" si="52">IF(AND(ABS(X107)&gt;=$B$4,ABS(Z107)&gt;=$B$5),"DIF Besar - review",IF(AND(ABS(X107)&gt;=$B$3,ABS(Z107)&gt;=$B$5),"DIF Moderat - cek","Negligible"))</f>
        <v>Negligible</v>
      </c>
      <c r="AB107" s="69" t="str">
        <f t="shared" si="50"/>
        <v>Tidak Ada Indikasi Bias</v>
      </c>
    </row>
    <row r="108" spans="1:28" ht="62.5" customHeight="1" x14ac:dyDescent="0.35">
      <c r="A108" s="71" t="str">
        <f>TKO!A102</f>
        <v>98. Apa yang harus menjadi dasar pertimbangan organisasi dalam memberlakukan sanksi terhadap pelanggaran kode etik</v>
      </c>
      <c r="B108" s="69">
        <f>TKO!B102</f>
        <v>0</v>
      </c>
      <c r="C108" s="69">
        <f>TKO!C102</f>
        <v>1</v>
      </c>
      <c r="D108" s="69">
        <f>TKO!D102</f>
        <v>0</v>
      </c>
      <c r="E108" s="69">
        <f>TKO!E102</f>
        <v>0</v>
      </c>
      <c r="F108" s="69">
        <f>TKO!F102</f>
        <v>0</v>
      </c>
      <c r="G108" s="69">
        <f>TKO!G102</f>
        <v>0</v>
      </c>
      <c r="H108" s="69">
        <f>TKO!H102</f>
        <v>0</v>
      </c>
      <c r="I108" s="69">
        <f>TKO!I102</f>
        <v>1</v>
      </c>
      <c r="J108" s="69">
        <f>TKO!J102</f>
        <v>1</v>
      </c>
      <c r="K108" s="69">
        <f>TKO!K102</f>
        <v>1</v>
      </c>
      <c r="L108" s="69">
        <f t="shared" si="34"/>
        <v>5</v>
      </c>
      <c r="M108" s="69">
        <f t="shared" si="35"/>
        <v>5</v>
      </c>
      <c r="N108" s="69">
        <f t="shared" si="36"/>
        <v>2</v>
      </c>
      <c r="O108" s="69">
        <f t="shared" si="37"/>
        <v>2</v>
      </c>
      <c r="P108" s="69">
        <f t="shared" si="38"/>
        <v>2</v>
      </c>
      <c r="Q108" s="69">
        <f t="shared" si="39"/>
        <v>2</v>
      </c>
      <c r="R108" s="70">
        <f t="shared" si="40"/>
        <v>0.40546510810816438</v>
      </c>
      <c r="S108" s="70">
        <f t="shared" si="41"/>
        <v>0.40546510810816438</v>
      </c>
      <c r="T108" s="70">
        <f t="shared" si="42"/>
        <v>0.28683790673401638</v>
      </c>
      <c r="U108" s="70">
        <f t="shared" si="43"/>
        <v>0.28683790673401638</v>
      </c>
      <c r="V108" s="70">
        <f t="shared" si="44"/>
        <v>0.91287092917527679</v>
      </c>
      <c r="W108" s="70">
        <f t="shared" si="45"/>
        <v>0.91287092917527679</v>
      </c>
      <c r="X108" s="70">
        <f t="shared" si="46"/>
        <v>0</v>
      </c>
      <c r="Y108" s="70">
        <f t="shared" si="47"/>
        <v>1.2909944487358056</v>
      </c>
      <c r="Z108" s="70">
        <f t="shared" si="51"/>
        <v>0</v>
      </c>
      <c r="AA108" s="69" t="str">
        <f t="shared" si="52"/>
        <v>Negligible</v>
      </c>
      <c r="AB108" s="69" t="str">
        <f t="shared" si="50"/>
        <v>Tidak Ada Indikasi Bias</v>
      </c>
    </row>
    <row r="109" spans="1:28" ht="50" x14ac:dyDescent="0.35">
      <c r="A109" s="71" t="str">
        <f>TKO!A103</f>
        <v>99. Apa yang dapat menjadi konsekuensi jika organisasi tidak konsisten dalam memberlakukan sanksi terhadap pelanggaran kode etik</v>
      </c>
      <c r="B109" s="69">
        <f>TKO!B103</f>
        <v>1</v>
      </c>
      <c r="C109" s="69">
        <f>TKO!C103</f>
        <v>1</v>
      </c>
      <c r="D109" s="69">
        <f>TKO!D103</f>
        <v>0</v>
      </c>
      <c r="E109" s="69">
        <f>TKO!E103</f>
        <v>0</v>
      </c>
      <c r="F109" s="69">
        <f>TKO!F103</f>
        <v>1</v>
      </c>
      <c r="G109" s="69">
        <f>TKO!G103</f>
        <v>0</v>
      </c>
      <c r="H109" s="69">
        <f>TKO!H103</f>
        <v>0</v>
      </c>
      <c r="I109" s="69">
        <f>TKO!I103</f>
        <v>0</v>
      </c>
      <c r="J109" s="69">
        <f>TKO!J103</f>
        <v>0</v>
      </c>
      <c r="K109" s="69">
        <f>TKO!K103</f>
        <v>1</v>
      </c>
      <c r="L109" s="69">
        <f t="shared" si="34"/>
        <v>5</v>
      </c>
      <c r="M109" s="69">
        <f t="shared" si="35"/>
        <v>5</v>
      </c>
      <c r="N109" s="69">
        <f t="shared" si="36"/>
        <v>2</v>
      </c>
      <c r="O109" s="69">
        <f t="shared" si="37"/>
        <v>2</v>
      </c>
      <c r="P109" s="69">
        <f t="shared" si="38"/>
        <v>2</v>
      </c>
      <c r="Q109" s="69">
        <f t="shared" si="39"/>
        <v>2</v>
      </c>
      <c r="R109" s="70">
        <f t="shared" si="40"/>
        <v>0.40546510810816438</v>
      </c>
      <c r="S109" s="70">
        <f t="shared" si="41"/>
        <v>0.40546510810816438</v>
      </c>
      <c r="T109" s="70">
        <f t="shared" si="42"/>
        <v>0.28683790673401638</v>
      </c>
      <c r="U109" s="70">
        <f t="shared" si="43"/>
        <v>0.28683790673401638</v>
      </c>
      <c r="V109" s="70">
        <f t="shared" si="44"/>
        <v>0.91287092917527679</v>
      </c>
      <c r="W109" s="70">
        <f t="shared" si="45"/>
        <v>0.91287092917527679</v>
      </c>
      <c r="X109" s="70">
        <f t="shared" si="46"/>
        <v>0</v>
      </c>
      <c r="Y109" s="70">
        <f t="shared" si="47"/>
        <v>1.2909944487358056</v>
      </c>
      <c r="Z109" s="70">
        <f t="shared" si="51"/>
        <v>0</v>
      </c>
      <c r="AA109" s="69" t="str">
        <f t="shared" si="52"/>
        <v>Negligible</v>
      </c>
      <c r="AB109" s="69" t="str">
        <f t="shared" si="50"/>
        <v>Tidak Ada Indikasi Bias</v>
      </c>
    </row>
    <row r="110" spans="1:28" ht="62.5" customHeight="1" x14ac:dyDescent="0.35">
      <c r="A110" s="71" t="str">
        <f>TKO!A104</f>
        <v>100. Apa yang dapat dilakukan untuk mencegah pelanggaran kode etik di organisasi perguruan tinggi</v>
      </c>
      <c r="B110" s="69">
        <f>TKO!B104</f>
        <v>1</v>
      </c>
      <c r="C110" s="69">
        <f>TKO!C104</f>
        <v>0</v>
      </c>
      <c r="D110" s="69">
        <f>TKO!D104</f>
        <v>0</v>
      </c>
      <c r="E110" s="69">
        <f>TKO!E104</f>
        <v>1</v>
      </c>
      <c r="F110" s="69">
        <f>TKO!F104</f>
        <v>0</v>
      </c>
      <c r="G110" s="69">
        <f>TKO!G104</f>
        <v>1</v>
      </c>
      <c r="H110" s="69">
        <f>TKO!H104</f>
        <v>1</v>
      </c>
      <c r="I110" s="69">
        <f>TKO!I104</f>
        <v>0</v>
      </c>
      <c r="J110" s="69">
        <f>TKO!J104</f>
        <v>1</v>
      </c>
      <c r="K110" s="69">
        <f>TKO!K104</f>
        <v>1</v>
      </c>
      <c r="L110" s="69">
        <f t="shared" si="34"/>
        <v>5</v>
      </c>
      <c r="M110" s="69">
        <f t="shared" si="35"/>
        <v>5</v>
      </c>
      <c r="N110" s="69">
        <f t="shared" si="36"/>
        <v>3</v>
      </c>
      <c r="O110" s="69">
        <f t="shared" si="37"/>
        <v>3</v>
      </c>
      <c r="P110" s="69">
        <f t="shared" si="38"/>
        <v>3</v>
      </c>
      <c r="Q110" s="69">
        <f t="shared" si="39"/>
        <v>3</v>
      </c>
      <c r="R110" s="70">
        <f t="shared" si="40"/>
        <v>-0.40546510810816444</v>
      </c>
      <c r="S110" s="70">
        <f t="shared" si="41"/>
        <v>-0.40546510810816444</v>
      </c>
      <c r="T110" s="70">
        <f t="shared" si="42"/>
        <v>-0.52409230948231245</v>
      </c>
      <c r="U110" s="70">
        <f t="shared" si="43"/>
        <v>-0.52409230948231245</v>
      </c>
      <c r="V110" s="70">
        <f t="shared" si="44"/>
        <v>0.91287092917527679</v>
      </c>
      <c r="W110" s="70">
        <f t="shared" si="45"/>
        <v>0.91287092917527679</v>
      </c>
      <c r="X110" s="70">
        <f t="shared" si="46"/>
        <v>0</v>
      </c>
      <c r="Y110" s="70">
        <f t="shared" si="47"/>
        <v>1.2909944487358056</v>
      </c>
      <c r="Z110" s="70">
        <f t="shared" si="51"/>
        <v>0</v>
      </c>
      <c r="AA110" s="69" t="str">
        <f t="shared" si="52"/>
        <v>Negligible</v>
      </c>
      <c r="AB110" s="69" t="str">
        <f t="shared" si="50"/>
        <v>Tidak Ada Indikasi Bias</v>
      </c>
    </row>
    <row r="111" spans="1:28" x14ac:dyDescent="0.35">
      <c r="A111" s="67"/>
      <c r="B111" s="68">
        <f t="shared" ref="B111:K111" si="53">SUM(B11:B110)</f>
        <v>58</v>
      </c>
      <c r="C111" s="68">
        <f t="shared" si="53"/>
        <v>55</v>
      </c>
      <c r="D111" s="68">
        <f t="shared" si="53"/>
        <v>44</v>
      </c>
      <c r="E111" s="68">
        <f t="shared" si="53"/>
        <v>48</v>
      </c>
      <c r="F111" s="68">
        <f t="shared" si="53"/>
        <v>45</v>
      </c>
      <c r="G111" s="68">
        <f t="shared" si="53"/>
        <v>39</v>
      </c>
      <c r="H111" s="68">
        <f t="shared" si="53"/>
        <v>50</v>
      </c>
      <c r="I111" s="68">
        <f t="shared" si="53"/>
        <v>34</v>
      </c>
      <c r="J111" s="68">
        <f t="shared" si="53"/>
        <v>52</v>
      </c>
      <c r="K111" s="68">
        <f t="shared" si="53"/>
        <v>47</v>
      </c>
      <c r="L111" s="67"/>
      <c r="M111" s="67"/>
      <c r="N111" s="67"/>
      <c r="O111" s="67"/>
      <c r="P111" s="67"/>
      <c r="Q111" s="67"/>
      <c r="R111" s="67"/>
      <c r="S111" s="67"/>
      <c r="T111" s="67"/>
      <c r="U111" s="67"/>
      <c r="V111" s="67"/>
      <c r="W111" s="67"/>
      <c r="X111" s="67"/>
      <c r="Y111" s="67"/>
      <c r="Z111" s="67"/>
      <c r="AA111" s="67"/>
      <c r="AB111" s="67"/>
    </row>
    <row r="112" spans="1:28" x14ac:dyDescent="0.35">
      <c r="A112" s="1"/>
      <c r="L112"/>
    </row>
  </sheetData>
  <mergeCells count="28">
    <mergeCell ref="AB9:AB10"/>
    <mergeCell ref="R9:R10"/>
    <mergeCell ref="S9:S10"/>
    <mergeCell ref="T9:T10"/>
    <mergeCell ref="U9:U10"/>
    <mergeCell ref="V9:V10"/>
    <mergeCell ref="X9:X10"/>
    <mergeCell ref="Y9:Y10"/>
    <mergeCell ref="Z9:Z10"/>
    <mergeCell ref="AA9:AA10"/>
    <mergeCell ref="W9:W10"/>
    <mergeCell ref="A1:AC1"/>
    <mergeCell ref="P3:S3"/>
    <mergeCell ref="K4:M4"/>
    <mergeCell ref="P4:R4"/>
    <mergeCell ref="K5:M5"/>
    <mergeCell ref="P5:S5"/>
    <mergeCell ref="K6:M6"/>
    <mergeCell ref="P6:S6"/>
    <mergeCell ref="A9:A10"/>
    <mergeCell ref="B9:K9"/>
    <mergeCell ref="L9:L10"/>
    <mergeCell ref="M9:M10"/>
    <mergeCell ref="N9:N10"/>
    <mergeCell ref="O9:O10"/>
    <mergeCell ref="J7:AA7"/>
    <mergeCell ref="P9:P10"/>
    <mergeCell ref="Q9:Q10"/>
  </mergeCells>
  <pageMargins left="0.26" right="0.16" top="0.6" bottom="0.36" header="0.3" footer="0.3"/>
  <pageSetup scale="59" orientation="landscape"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A3F96-A40D-4FE4-A0C6-3633AD126841}">
  <dimension ref="A1:AE116"/>
  <sheetViews>
    <sheetView view="pageBreakPreview" zoomScale="48" zoomScaleNormal="77" zoomScaleSheetLayoutView="48" workbookViewId="0">
      <selection activeCell="L21" sqref="L21"/>
    </sheetView>
  </sheetViews>
  <sheetFormatPr defaultColWidth="9.08984375" defaultRowHeight="14" x14ac:dyDescent="0.3"/>
  <cols>
    <col min="1" max="1" width="39.453125" style="4" customWidth="1"/>
    <col min="2" max="11" width="5.54296875" style="5" customWidth="1"/>
    <col min="12" max="12" width="11.6328125" style="6" customWidth="1"/>
    <col min="13" max="13" width="7.90625" style="6" customWidth="1"/>
    <col min="14" max="14" width="10.54296875" style="6" customWidth="1"/>
    <col min="15" max="15" width="17.54296875" style="6" customWidth="1"/>
    <col min="16" max="16" width="9.08984375" style="6"/>
    <col min="17" max="17" width="14" style="6" customWidth="1"/>
    <col min="18" max="27" width="7.90625" style="6" customWidth="1"/>
    <col min="28" max="28" width="8.6328125" style="6" customWidth="1"/>
    <col min="29" max="30" width="9.36328125" style="6" bestFit="1" customWidth="1"/>
    <col min="31" max="16384" width="9.08984375" style="6"/>
  </cols>
  <sheetData>
    <row r="1" spans="1:31" ht="15" x14ac:dyDescent="0.3">
      <c r="A1" s="111" t="s">
        <v>789</v>
      </c>
      <c r="B1" s="112"/>
      <c r="C1" s="112"/>
      <c r="D1" s="112"/>
      <c r="E1" s="112"/>
      <c r="F1" s="112"/>
      <c r="G1" s="112"/>
      <c r="H1" s="112"/>
      <c r="I1" s="112"/>
      <c r="J1" s="112"/>
      <c r="K1" s="112"/>
      <c r="L1" s="112"/>
      <c r="M1" s="112"/>
      <c r="N1" s="112"/>
      <c r="O1" s="112"/>
      <c r="P1" s="33"/>
      <c r="Q1" s="33"/>
      <c r="R1" s="33"/>
      <c r="S1" s="33"/>
      <c r="T1" s="33"/>
      <c r="U1" s="33"/>
      <c r="V1" s="33"/>
      <c r="W1" s="33"/>
      <c r="X1" s="33"/>
      <c r="Y1" s="33"/>
      <c r="Z1" s="33"/>
      <c r="AA1" s="33"/>
      <c r="AB1" s="33"/>
      <c r="AC1" s="33"/>
      <c r="AD1" s="33"/>
      <c r="AE1" s="33"/>
    </row>
    <row r="2" spans="1:31" ht="42" x14ac:dyDescent="0.3">
      <c r="A2" s="21" t="s">
        <v>756</v>
      </c>
      <c r="B2" s="102" t="s">
        <v>757</v>
      </c>
      <c r="C2" s="102" t="s">
        <v>757</v>
      </c>
      <c r="D2" s="102" t="s">
        <v>758</v>
      </c>
      <c r="E2" s="102" t="s">
        <v>758</v>
      </c>
      <c r="F2" s="102" t="s">
        <v>758</v>
      </c>
      <c r="G2" s="102" t="s">
        <v>757</v>
      </c>
      <c r="H2" s="102" t="s">
        <v>757</v>
      </c>
      <c r="I2" s="102" t="s">
        <v>757</v>
      </c>
      <c r="J2" s="102" t="s">
        <v>758</v>
      </c>
      <c r="K2" s="102" t="s">
        <v>758</v>
      </c>
      <c r="L2" s="33"/>
      <c r="M2" s="33"/>
      <c r="N2" s="33"/>
      <c r="O2" s="33"/>
      <c r="P2" s="33"/>
      <c r="Q2" s="33"/>
      <c r="R2" s="33"/>
      <c r="S2" s="33"/>
      <c r="T2" s="33"/>
      <c r="U2" s="33"/>
      <c r="V2" s="33"/>
      <c r="W2" s="33"/>
      <c r="X2" s="33"/>
      <c r="Y2" s="33"/>
      <c r="Z2" s="33"/>
      <c r="AA2" s="33"/>
      <c r="AB2" s="33"/>
      <c r="AC2" s="33"/>
      <c r="AD2" s="33"/>
      <c r="AE2" s="33"/>
    </row>
    <row r="3" spans="1:31" x14ac:dyDescent="0.3">
      <c r="A3" s="114" t="s">
        <v>0</v>
      </c>
      <c r="B3" s="114" t="s">
        <v>633</v>
      </c>
      <c r="C3" s="114"/>
      <c r="D3" s="114"/>
      <c r="E3" s="114"/>
      <c r="F3" s="114"/>
      <c r="G3" s="114"/>
      <c r="H3" s="114"/>
      <c r="I3" s="114"/>
      <c r="J3" s="114"/>
      <c r="K3" s="114"/>
      <c r="L3" s="114" t="s">
        <v>101</v>
      </c>
      <c r="M3" s="114" t="s">
        <v>102</v>
      </c>
      <c r="N3" s="114" t="s">
        <v>103</v>
      </c>
      <c r="O3" s="44"/>
      <c r="P3" s="33"/>
      <c r="Q3" s="22" t="s">
        <v>106</v>
      </c>
      <c r="R3" s="33"/>
      <c r="S3" s="33"/>
      <c r="T3" s="33"/>
      <c r="U3" s="33"/>
      <c r="V3" s="33"/>
      <c r="W3" s="33"/>
      <c r="X3" s="33"/>
      <c r="Y3" s="33"/>
      <c r="Z3" s="33"/>
      <c r="AA3" s="33"/>
      <c r="AB3" s="33"/>
      <c r="AC3" s="33"/>
      <c r="AD3" s="33"/>
      <c r="AE3" s="33"/>
    </row>
    <row r="4" spans="1:31" ht="15" customHeight="1" x14ac:dyDescent="0.3">
      <c r="A4" s="114"/>
      <c r="B4" s="23">
        <v>1</v>
      </c>
      <c r="C4" s="23">
        <v>2</v>
      </c>
      <c r="D4" s="23">
        <v>3</v>
      </c>
      <c r="E4" s="23">
        <v>4</v>
      </c>
      <c r="F4" s="23">
        <v>5</v>
      </c>
      <c r="G4" s="23">
        <v>6</v>
      </c>
      <c r="H4" s="23">
        <v>7</v>
      </c>
      <c r="I4" s="23">
        <v>8</v>
      </c>
      <c r="J4" s="23">
        <v>9</v>
      </c>
      <c r="K4" s="23">
        <v>10</v>
      </c>
      <c r="L4" s="114"/>
      <c r="M4" s="114"/>
      <c r="N4" s="114"/>
      <c r="O4" s="27" t="s">
        <v>102</v>
      </c>
      <c r="P4" s="33"/>
      <c r="Q4" s="109" t="s">
        <v>108</v>
      </c>
      <c r="R4" s="131" t="s">
        <v>633</v>
      </c>
      <c r="S4" s="131"/>
      <c r="T4" s="131"/>
      <c r="U4" s="131"/>
      <c r="V4" s="131"/>
      <c r="W4" s="131"/>
      <c r="X4" s="131"/>
      <c r="Y4" s="131"/>
      <c r="Z4" s="131"/>
      <c r="AA4" s="131"/>
      <c r="AB4" s="129" t="s">
        <v>107</v>
      </c>
      <c r="AC4" s="129" t="s">
        <v>109</v>
      </c>
      <c r="AD4" s="129" t="s">
        <v>110</v>
      </c>
      <c r="AE4" s="20"/>
    </row>
    <row r="5" spans="1:31" ht="42" x14ac:dyDescent="0.3">
      <c r="A5" s="28" t="s">
        <v>531</v>
      </c>
      <c r="B5" s="25">
        <v>0</v>
      </c>
      <c r="C5" s="25">
        <v>0</v>
      </c>
      <c r="D5" s="25">
        <v>0</v>
      </c>
      <c r="E5" s="25">
        <v>1</v>
      </c>
      <c r="F5" s="25">
        <v>0</v>
      </c>
      <c r="G5" s="25">
        <v>1</v>
      </c>
      <c r="H5" s="25">
        <v>1</v>
      </c>
      <c r="I5" s="25">
        <v>1</v>
      </c>
      <c r="J5" s="25">
        <v>1</v>
      </c>
      <c r="K5" s="25">
        <v>1</v>
      </c>
      <c r="L5" s="3">
        <f>SUM(B5:K5)/10</f>
        <v>0.6</v>
      </c>
      <c r="M5" s="26" t="str">
        <f>IF(L5&lt;0.31,"sukar",IF(L5&lt;0.71,"sedang","mudah"))</f>
        <v>sedang</v>
      </c>
      <c r="N5" s="3">
        <f>ABS((SUM(B5:F5)-SUM(G5:K5))*2/10)</f>
        <v>0.8</v>
      </c>
      <c r="O5" s="26" t="str">
        <f>IF(N5&lt;0.2,"soal dibuang",IF(N5&lt;0.3,"soal diperbaiki",IF(N5&lt;0.4,"soal diterima tapi perlu diperbaiki","soal diterima baik")))</f>
        <v>soal diterima baik</v>
      </c>
      <c r="P5" s="33"/>
      <c r="Q5" s="109"/>
      <c r="R5" s="27">
        <v>1</v>
      </c>
      <c r="S5" s="27">
        <v>2</v>
      </c>
      <c r="T5" s="27">
        <v>3</v>
      </c>
      <c r="U5" s="27">
        <v>4</v>
      </c>
      <c r="V5" s="27">
        <v>5</v>
      </c>
      <c r="W5" s="27">
        <v>6</v>
      </c>
      <c r="X5" s="27">
        <v>7</v>
      </c>
      <c r="Y5" s="27">
        <v>8</v>
      </c>
      <c r="Z5" s="27">
        <v>9</v>
      </c>
      <c r="AA5" s="27">
        <v>10</v>
      </c>
      <c r="AB5" s="130"/>
      <c r="AC5" s="130"/>
      <c r="AD5" s="130"/>
      <c r="AE5" s="20"/>
    </row>
    <row r="6" spans="1:31" x14ac:dyDescent="0.3">
      <c r="A6" s="28" t="s">
        <v>532</v>
      </c>
      <c r="B6" s="25">
        <v>1</v>
      </c>
      <c r="C6" s="25">
        <v>1</v>
      </c>
      <c r="D6" s="25">
        <v>1</v>
      </c>
      <c r="E6" s="25">
        <v>1</v>
      </c>
      <c r="F6" s="25">
        <v>1</v>
      </c>
      <c r="G6" s="25">
        <v>0</v>
      </c>
      <c r="H6" s="25">
        <v>1</v>
      </c>
      <c r="I6" s="25">
        <v>0</v>
      </c>
      <c r="J6" s="25">
        <v>0</v>
      </c>
      <c r="K6" s="25">
        <v>0</v>
      </c>
      <c r="L6" s="3">
        <f t="shared" ref="L6:L69" si="0">SUM(B6:K6)/10</f>
        <v>0.6</v>
      </c>
      <c r="M6" s="26" t="str">
        <f t="shared" ref="M6:M69" si="1">IF(L6&lt;0.31,"sukar",IF(L6&lt;0.71,"sedang","mudah"))</f>
        <v>sedang</v>
      </c>
      <c r="N6" s="3">
        <f t="shared" ref="N6:N69" si="2">ABS((SUM(B6:F6)-SUM(G6:K6))*2/10)</f>
        <v>0.8</v>
      </c>
      <c r="O6" s="26" t="str">
        <f t="shared" ref="O6:O69" si="3">IF(N6&lt;0.2,"soal dibuang",IF(N6&lt;0.3,"soal diperbaiki",IF(N6&lt;0.4,"soal diterima tapi perlu diperbaiki","soal diterima baik")))</f>
        <v>soal diterima baik</v>
      </c>
      <c r="P6" s="33"/>
      <c r="Q6" s="26">
        <v>1</v>
      </c>
      <c r="R6" s="25">
        <f>B5</f>
        <v>0</v>
      </c>
      <c r="S6" s="25">
        <f t="shared" ref="S6:AA21" si="4">C5</f>
        <v>0</v>
      </c>
      <c r="T6" s="25">
        <f t="shared" si="4"/>
        <v>0</v>
      </c>
      <c r="U6" s="25">
        <f t="shared" si="4"/>
        <v>1</v>
      </c>
      <c r="V6" s="25">
        <f t="shared" si="4"/>
        <v>0</v>
      </c>
      <c r="W6" s="25">
        <f t="shared" si="4"/>
        <v>1</v>
      </c>
      <c r="X6" s="25">
        <f t="shared" si="4"/>
        <v>1</v>
      </c>
      <c r="Y6" s="25">
        <f t="shared" si="4"/>
        <v>1</v>
      </c>
      <c r="Z6" s="25">
        <f t="shared" si="4"/>
        <v>1</v>
      </c>
      <c r="AA6" s="25">
        <f t="shared" si="4"/>
        <v>1</v>
      </c>
      <c r="AB6" s="3">
        <f>SUM(R6:AA6)/COUNT(R6:AA6)</f>
        <v>0.6</v>
      </c>
      <c r="AC6" s="3">
        <f>1-AB6</f>
        <v>0.4</v>
      </c>
      <c r="AD6" s="3">
        <f>AB6*AC6</f>
        <v>0.24</v>
      </c>
      <c r="AE6" s="20"/>
    </row>
    <row r="7" spans="1:31" x14ac:dyDescent="0.3">
      <c r="A7" s="28" t="s">
        <v>533</v>
      </c>
      <c r="B7" s="25">
        <v>1</v>
      </c>
      <c r="C7" s="25">
        <v>1</v>
      </c>
      <c r="D7" s="25">
        <v>1</v>
      </c>
      <c r="E7" s="25">
        <v>0</v>
      </c>
      <c r="F7" s="25">
        <v>0</v>
      </c>
      <c r="G7" s="25">
        <v>0</v>
      </c>
      <c r="H7" s="25">
        <v>0</v>
      </c>
      <c r="I7" s="25">
        <v>0</v>
      </c>
      <c r="J7" s="25">
        <v>1</v>
      </c>
      <c r="K7" s="25">
        <v>0</v>
      </c>
      <c r="L7" s="3">
        <f t="shared" si="0"/>
        <v>0.4</v>
      </c>
      <c r="M7" s="26" t="str">
        <f t="shared" si="1"/>
        <v>sedang</v>
      </c>
      <c r="N7" s="3">
        <f t="shared" si="2"/>
        <v>0.4</v>
      </c>
      <c r="O7" s="26" t="str">
        <f t="shared" si="3"/>
        <v>soal diterima baik</v>
      </c>
      <c r="P7" s="33"/>
      <c r="Q7" s="26">
        <v>2</v>
      </c>
      <c r="R7" s="25">
        <f t="shared" ref="R7:AA45" si="5">B6</f>
        <v>1</v>
      </c>
      <c r="S7" s="25">
        <f t="shared" si="4"/>
        <v>1</v>
      </c>
      <c r="T7" s="25">
        <f t="shared" si="4"/>
        <v>1</v>
      </c>
      <c r="U7" s="25">
        <f t="shared" si="4"/>
        <v>1</v>
      </c>
      <c r="V7" s="25">
        <f t="shared" si="4"/>
        <v>1</v>
      </c>
      <c r="W7" s="25">
        <f t="shared" si="4"/>
        <v>0</v>
      </c>
      <c r="X7" s="25">
        <f t="shared" si="4"/>
        <v>1</v>
      </c>
      <c r="Y7" s="25">
        <f t="shared" si="4"/>
        <v>0</v>
      </c>
      <c r="Z7" s="25">
        <f t="shared" si="4"/>
        <v>0</v>
      </c>
      <c r="AA7" s="25">
        <f t="shared" si="4"/>
        <v>0</v>
      </c>
      <c r="AB7" s="3">
        <f t="shared" ref="AB7:AB70" si="6">SUM(R7:AA7)/COUNT(R7:AA7)</f>
        <v>0.6</v>
      </c>
      <c r="AC7" s="3">
        <f t="shared" ref="AC7:AC70" si="7">1-AB7</f>
        <v>0.4</v>
      </c>
      <c r="AD7" s="3">
        <f t="shared" ref="AD7:AD70" si="8">AB7*AC7</f>
        <v>0.24</v>
      </c>
      <c r="AE7" s="20"/>
    </row>
    <row r="8" spans="1:31" ht="35.25" customHeight="1" x14ac:dyDescent="0.3">
      <c r="A8" s="28" t="s">
        <v>534</v>
      </c>
      <c r="B8" s="25">
        <v>1</v>
      </c>
      <c r="C8" s="25">
        <v>1</v>
      </c>
      <c r="D8" s="25">
        <v>1</v>
      </c>
      <c r="E8" s="25">
        <v>1</v>
      </c>
      <c r="F8" s="25">
        <v>1</v>
      </c>
      <c r="G8" s="25">
        <v>0</v>
      </c>
      <c r="H8" s="25">
        <v>1</v>
      </c>
      <c r="I8" s="25">
        <v>1</v>
      </c>
      <c r="J8" s="25">
        <v>1</v>
      </c>
      <c r="K8" s="25">
        <v>0</v>
      </c>
      <c r="L8" s="3">
        <f t="shared" si="0"/>
        <v>0.8</v>
      </c>
      <c r="M8" s="26" t="str">
        <f t="shared" si="1"/>
        <v>mudah</v>
      </c>
      <c r="N8" s="3">
        <f t="shared" si="2"/>
        <v>0.4</v>
      </c>
      <c r="O8" s="26" t="str">
        <f t="shared" si="3"/>
        <v>soal diterima baik</v>
      </c>
      <c r="P8" s="33"/>
      <c r="Q8" s="26">
        <v>3</v>
      </c>
      <c r="R8" s="25">
        <f t="shared" si="5"/>
        <v>1</v>
      </c>
      <c r="S8" s="25">
        <f t="shared" si="4"/>
        <v>1</v>
      </c>
      <c r="T8" s="25">
        <f t="shared" si="4"/>
        <v>1</v>
      </c>
      <c r="U8" s="25">
        <f t="shared" si="4"/>
        <v>0</v>
      </c>
      <c r="V8" s="25">
        <f t="shared" si="4"/>
        <v>0</v>
      </c>
      <c r="W8" s="25">
        <f t="shared" si="4"/>
        <v>0</v>
      </c>
      <c r="X8" s="25">
        <f t="shared" si="4"/>
        <v>0</v>
      </c>
      <c r="Y8" s="25">
        <f t="shared" si="4"/>
        <v>0</v>
      </c>
      <c r="Z8" s="25">
        <f t="shared" si="4"/>
        <v>1</v>
      </c>
      <c r="AA8" s="25">
        <f t="shared" si="4"/>
        <v>0</v>
      </c>
      <c r="AB8" s="3">
        <f t="shared" si="6"/>
        <v>0.4</v>
      </c>
      <c r="AC8" s="3">
        <f t="shared" si="7"/>
        <v>0.6</v>
      </c>
      <c r="AD8" s="3">
        <f t="shared" si="8"/>
        <v>0.24</v>
      </c>
      <c r="AE8" s="20"/>
    </row>
    <row r="9" spans="1:31" ht="67.5" customHeight="1" x14ac:dyDescent="0.3">
      <c r="A9" s="30" t="s">
        <v>535</v>
      </c>
      <c r="B9" s="25">
        <v>0</v>
      </c>
      <c r="C9" s="25">
        <v>1</v>
      </c>
      <c r="D9" s="25">
        <v>0</v>
      </c>
      <c r="E9" s="25">
        <v>0</v>
      </c>
      <c r="F9" s="25">
        <v>1</v>
      </c>
      <c r="G9" s="25">
        <v>1</v>
      </c>
      <c r="H9" s="25">
        <v>1</v>
      </c>
      <c r="I9" s="25">
        <v>0</v>
      </c>
      <c r="J9" s="25">
        <v>1</v>
      </c>
      <c r="K9" s="25">
        <v>1</v>
      </c>
      <c r="L9" s="3">
        <f t="shared" si="0"/>
        <v>0.6</v>
      </c>
      <c r="M9" s="26" t="str">
        <f t="shared" si="1"/>
        <v>sedang</v>
      </c>
      <c r="N9" s="3">
        <f t="shared" si="2"/>
        <v>0.4</v>
      </c>
      <c r="O9" s="26" t="str">
        <f t="shared" si="3"/>
        <v>soal diterima baik</v>
      </c>
      <c r="P9" s="33"/>
      <c r="Q9" s="26">
        <v>4</v>
      </c>
      <c r="R9" s="25">
        <f t="shared" si="5"/>
        <v>1</v>
      </c>
      <c r="S9" s="25">
        <f t="shared" si="4"/>
        <v>1</v>
      </c>
      <c r="T9" s="25">
        <f t="shared" si="4"/>
        <v>1</v>
      </c>
      <c r="U9" s="25">
        <f t="shared" si="4"/>
        <v>1</v>
      </c>
      <c r="V9" s="25">
        <f t="shared" si="4"/>
        <v>1</v>
      </c>
      <c r="W9" s="25">
        <f t="shared" si="4"/>
        <v>0</v>
      </c>
      <c r="X9" s="25">
        <f t="shared" si="4"/>
        <v>1</v>
      </c>
      <c r="Y9" s="25">
        <f t="shared" si="4"/>
        <v>1</v>
      </c>
      <c r="Z9" s="25">
        <f t="shared" si="4"/>
        <v>1</v>
      </c>
      <c r="AA9" s="25">
        <f t="shared" si="4"/>
        <v>0</v>
      </c>
      <c r="AB9" s="3">
        <f t="shared" si="6"/>
        <v>0.8</v>
      </c>
      <c r="AC9" s="3">
        <f t="shared" si="7"/>
        <v>0.19999999999999996</v>
      </c>
      <c r="AD9" s="3">
        <f t="shared" si="8"/>
        <v>0.15999999999999998</v>
      </c>
      <c r="AE9" s="20"/>
    </row>
    <row r="10" spans="1:31" ht="28" x14ac:dyDescent="0.3">
      <c r="A10" s="24" t="s">
        <v>536</v>
      </c>
      <c r="B10" s="25">
        <v>1</v>
      </c>
      <c r="C10" s="25">
        <v>1</v>
      </c>
      <c r="D10" s="25">
        <v>0</v>
      </c>
      <c r="E10" s="25">
        <v>1</v>
      </c>
      <c r="F10" s="25">
        <v>1</v>
      </c>
      <c r="G10" s="25">
        <v>0</v>
      </c>
      <c r="H10" s="25">
        <v>1</v>
      </c>
      <c r="I10" s="25">
        <v>0</v>
      </c>
      <c r="J10" s="25">
        <v>0</v>
      </c>
      <c r="K10" s="25">
        <v>1</v>
      </c>
      <c r="L10" s="3">
        <f t="shared" si="0"/>
        <v>0.6</v>
      </c>
      <c r="M10" s="26" t="str">
        <f t="shared" si="1"/>
        <v>sedang</v>
      </c>
      <c r="N10" s="3">
        <f t="shared" si="2"/>
        <v>0.4</v>
      </c>
      <c r="O10" s="26" t="str">
        <f t="shared" si="3"/>
        <v>soal diterima baik</v>
      </c>
      <c r="P10" s="33"/>
      <c r="Q10" s="26">
        <v>5</v>
      </c>
      <c r="R10" s="25">
        <f t="shared" si="5"/>
        <v>0</v>
      </c>
      <c r="S10" s="25">
        <f t="shared" si="4"/>
        <v>1</v>
      </c>
      <c r="T10" s="25">
        <f t="shared" si="4"/>
        <v>0</v>
      </c>
      <c r="U10" s="25">
        <f t="shared" si="4"/>
        <v>0</v>
      </c>
      <c r="V10" s="25">
        <f t="shared" si="4"/>
        <v>1</v>
      </c>
      <c r="W10" s="25">
        <f t="shared" si="4"/>
        <v>1</v>
      </c>
      <c r="X10" s="25">
        <f t="shared" si="4"/>
        <v>1</v>
      </c>
      <c r="Y10" s="25">
        <f t="shared" si="4"/>
        <v>0</v>
      </c>
      <c r="Z10" s="25">
        <f t="shared" si="4"/>
        <v>1</v>
      </c>
      <c r="AA10" s="25">
        <f t="shared" si="4"/>
        <v>1</v>
      </c>
      <c r="AB10" s="3">
        <f t="shared" si="6"/>
        <v>0.6</v>
      </c>
      <c r="AC10" s="3">
        <f t="shared" si="7"/>
        <v>0.4</v>
      </c>
      <c r="AD10" s="3">
        <f t="shared" si="8"/>
        <v>0.24</v>
      </c>
      <c r="AE10" s="20"/>
    </row>
    <row r="11" spans="1:31" ht="42" x14ac:dyDescent="0.3">
      <c r="A11" s="24" t="s">
        <v>537</v>
      </c>
      <c r="B11" s="25">
        <v>1</v>
      </c>
      <c r="C11" s="25">
        <v>1</v>
      </c>
      <c r="D11" s="25">
        <v>0</v>
      </c>
      <c r="E11" s="25">
        <v>0</v>
      </c>
      <c r="F11" s="25">
        <v>1</v>
      </c>
      <c r="G11" s="25">
        <v>0</v>
      </c>
      <c r="H11" s="25">
        <v>0</v>
      </c>
      <c r="I11" s="25">
        <v>0</v>
      </c>
      <c r="J11" s="25">
        <v>1</v>
      </c>
      <c r="K11" s="25">
        <v>0</v>
      </c>
      <c r="L11" s="3">
        <f t="shared" si="0"/>
        <v>0.4</v>
      </c>
      <c r="M11" s="26" t="str">
        <f t="shared" si="1"/>
        <v>sedang</v>
      </c>
      <c r="N11" s="3">
        <f t="shared" si="2"/>
        <v>0.4</v>
      </c>
      <c r="O11" s="26" t="str">
        <f t="shared" si="3"/>
        <v>soal diterima baik</v>
      </c>
      <c r="P11" s="33"/>
      <c r="Q11" s="26">
        <v>6</v>
      </c>
      <c r="R11" s="25">
        <f t="shared" si="5"/>
        <v>1</v>
      </c>
      <c r="S11" s="25">
        <f t="shared" si="4"/>
        <v>1</v>
      </c>
      <c r="T11" s="25">
        <f t="shared" si="4"/>
        <v>0</v>
      </c>
      <c r="U11" s="25">
        <f t="shared" si="4"/>
        <v>1</v>
      </c>
      <c r="V11" s="25">
        <f t="shared" si="4"/>
        <v>1</v>
      </c>
      <c r="W11" s="25">
        <f t="shared" si="4"/>
        <v>0</v>
      </c>
      <c r="X11" s="25">
        <f t="shared" si="4"/>
        <v>1</v>
      </c>
      <c r="Y11" s="25">
        <f t="shared" si="4"/>
        <v>0</v>
      </c>
      <c r="Z11" s="25">
        <f t="shared" si="4"/>
        <v>0</v>
      </c>
      <c r="AA11" s="25">
        <f t="shared" si="4"/>
        <v>1</v>
      </c>
      <c r="AB11" s="3">
        <f t="shared" si="6"/>
        <v>0.6</v>
      </c>
      <c r="AC11" s="3">
        <f t="shared" si="7"/>
        <v>0.4</v>
      </c>
      <c r="AD11" s="3">
        <f t="shared" si="8"/>
        <v>0.24</v>
      </c>
      <c r="AE11" s="20"/>
    </row>
    <row r="12" spans="1:31" ht="56" x14ac:dyDescent="0.3">
      <c r="A12" s="24" t="s">
        <v>538</v>
      </c>
      <c r="B12" s="25">
        <v>0</v>
      </c>
      <c r="C12" s="25">
        <v>0</v>
      </c>
      <c r="D12" s="25">
        <v>0</v>
      </c>
      <c r="E12" s="25">
        <v>0</v>
      </c>
      <c r="F12" s="25">
        <v>0</v>
      </c>
      <c r="G12" s="25">
        <v>1</v>
      </c>
      <c r="H12" s="25">
        <v>0</v>
      </c>
      <c r="I12" s="25">
        <v>0</v>
      </c>
      <c r="J12" s="25">
        <v>0</v>
      </c>
      <c r="K12" s="25">
        <v>1</v>
      </c>
      <c r="L12" s="3">
        <f t="shared" si="0"/>
        <v>0.2</v>
      </c>
      <c r="M12" s="26" t="str">
        <f t="shared" si="1"/>
        <v>sukar</v>
      </c>
      <c r="N12" s="3">
        <f t="shared" si="2"/>
        <v>0.4</v>
      </c>
      <c r="O12" s="26" t="str">
        <f t="shared" si="3"/>
        <v>soal diterima baik</v>
      </c>
      <c r="P12" s="33"/>
      <c r="Q12" s="26">
        <v>7</v>
      </c>
      <c r="R12" s="25">
        <f t="shared" si="5"/>
        <v>1</v>
      </c>
      <c r="S12" s="25">
        <f t="shared" si="4"/>
        <v>1</v>
      </c>
      <c r="T12" s="25">
        <f t="shared" si="4"/>
        <v>0</v>
      </c>
      <c r="U12" s="25">
        <f t="shared" si="4"/>
        <v>0</v>
      </c>
      <c r="V12" s="25">
        <f t="shared" si="4"/>
        <v>1</v>
      </c>
      <c r="W12" s="25">
        <f t="shared" si="4"/>
        <v>0</v>
      </c>
      <c r="X12" s="25">
        <f t="shared" si="4"/>
        <v>0</v>
      </c>
      <c r="Y12" s="25">
        <f t="shared" si="4"/>
        <v>0</v>
      </c>
      <c r="Z12" s="25">
        <f t="shared" si="4"/>
        <v>1</v>
      </c>
      <c r="AA12" s="25">
        <f t="shared" si="4"/>
        <v>0</v>
      </c>
      <c r="AB12" s="3">
        <f t="shared" si="6"/>
        <v>0.4</v>
      </c>
      <c r="AC12" s="3">
        <f t="shared" si="7"/>
        <v>0.6</v>
      </c>
      <c r="AD12" s="3">
        <f t="shared" si="8"/>
        <v>0.24</v>
      </c>
      <c r="AE12" s="20"/>
    </row>
    <row r="13" spans="1:31" ht="33.75" customHeight="1" x14ac:dyDescent="0.3">
      <c r="A13" s="28" t="s">
        <v>539</v>
      </c>
      <c r="B13" s="25">
        <v>1</v>
      </c>
      <c r="C13" s="25">
        <v>1</v>
      </c>
      <c r="D13" s="25">
        <v>0</v>
      </c>
      <c r="E13" s="25">
        <v>0</v>
      </c>
      <c r="F13" s="25">
        <v>1</v>
      </c>
      <c r="G13" s="25">
        <v>0</v>
      </c>
      <c r="H13" s="25">
        <v>0</v>
      </c>
      <c r="I13" s="25">
        <v>0</v>
      </c>
      <c r="J13" s="25">
        <v>0</v>
      </c>
      <c r="K13" s="25">
        <v>1</v>
      </c>
      <c r="L13" s="3">
        <f t="shared" si="0"/>
        <v>0.4</v>
      </c>
      <c r="M13" s="26" t="str">
        <f t="shared" si="1"/>
        <v>sedang</v>
      </c>
      <c r="N13" s="3">
        <f t="shared" si="2"/>
        <v>0.4</v>
      </c>
      <c r="O13" s="26" t="str">
        <f t="shared" si="3"/>
        <v>soal diterima baik</v>
      </c>
      <c r="P13" s="33"/>
      <c r="Q13" s="26">
        <v>8</v>
      </c>
      <c r="R13" s="25">
        <f t="shared" si="5"/>
        <v>0</v>
      </c>
      <c r="S13" s="25">
        <f t="shared" si="4"/>
        <v>0</v>
      </c>
      <c r="T13" s="25">
        <f t="shared" si="4"/>
        <v>0</v>
      </c>
      <c r="U13" s="25">
        <f t="shared" si="4"/>
        <v>0</v>
      </c>
      <c r="V13" s="25">
        <f t="shared" si="4"/>
        <v>0</v>
      </c>
      <c r="W13" s="25">
        <f t="shared" si="4"/>
        <v>1</v>
      </c>
      <c r="X13" s="25">
        <f t="shared" si="4"/>
        <v>0</v>
      </c>
      <c r="Y13" s="25">
        <f t="shared" si="4"/>
        <v>0</v>
      </c>
      <c r="Z13" s="25">
        <f t="shared" si="4"/>
        <v>0</v>
      </c>
      <c r="AA13" s="25">
        <f t="shared" si="4"/>
        <v>1</v>
      </c>
      <c r="AB13" s="3">
        <f t="shared" si="6"/>
        <v>0.2</v>
      </c>
      <c r="AC13" s="3">
        <f t="shared" si="7"/>
        <v>0.8</v>
      </c>
      <c r="AD13" s="3">
        <f t="shared" si="8"/>
        <v>0.16000000000000003</v>
      </c>
      <c r="AE13" s="20"/>
    </row>
    <row r="14" spans="1:31" ht="33" customHeight="1" x14ac:dyDescent="0.3">
      <c r="A14" s="28" t="s">
        <v>540</v>
      </c>
      <c r="B14" s="25">
        <v>1</v>
      </c>
      <c r="C14" s="25">
        <v>1</v>
      </c>
      <c r="D14" s="25">
        <v>1</v>
      </c>
      <c r="E14" s="25">
        <v>1</v>
      </c>
      <c r="F14" s="25">
        <v>1</v>
      </c>
      <c r="G14" s="25">
        <v>1</v>
      </c>
      <c r="H14" s="25">
        <v>0</v>
      </c>
      <c r="I14" s="25">
        <v>0</v>
      </c>
      <c r="J14" s="25">
        <v>0</v>
      </c>
      <c r="K14" s="25">
        <v>0</v>
      </c>
      <c r="L14" s="3">
        <f t="shared" si="0"/>
        <v>0.6</v>
      </c>
      <c r="M14" s="26" t="str">
        <f t="shared" si="1"/>
        <v>sedang</v>
      </c>
      <c r="N14" s="3">
        <f t="shared" si="2"/>
        <v>0.8</v>
      </c>
      <c r="O14" s="26" t="str">
        <f t="shared" si="3"/>
        <v>soal diterima baik</v>
      </c>
      <c r="P14" s="33"/>
      <c r="Q14" s="26">
        <v>9</v>
      </c>
      <c r="R14" s="25">
        <f t="shared" si="5"/>
        <v>1</v>
      </c>
      <c r="S14" s="25">
        <f t="shared" si="4"/>
        <v>1</v>
      </c>
      <c r="T14" s="25">
        <f t="shared" si="4"/>
        <v>0</v>
      </c>
      <c r="U14" s="25">
        <f t="shared" si="4"/>
        <v>0</v>
      </c>
      <c r="V14" s="25">
        <f t="shared" si="4"/>
        <v>1</v>
      </c>
      <c r="W14" s="25">
        <f t="shared" si="4"/>
        <v>0</v>
      </c>
      <c r="X14" s="25">
        <f t="shared" si="4"/>
        <v>0</v>
      </c>
      <c r="Y14" s="25">
        <f t="shared" si="4"/>
        <v>0</v>
      </c>
      <c r="Z14" s="25">
        <f t="shared" si="4"/>
        <v>0</v>
      </c>
      <c r="AA14" s="25">
        <f t="shared" si="4"/>
        <v>1</v>
      </c>
      <c r="AB14" s="3">
        <f t="shared" si="6"/>
        <v>0.4</v>
      </c>
      <c r="AC14" s="3">
        <f t="shared" si="7"/>
        <v>0.6</v>
      </c>
      <c r="AD14" s="3">
        <f t="shared" si="8"/>
        <v>0.24</v>
      </c>
      <c r="AE14" s="20"/>
    </row>
    <row r="15" spans="1:31" ht="33" customHeight="1" x14ac:dyDescent="0.3">
      <c r="A15" s="28" t="s">
        <v>541</v>
      </c>
      <c r="B15" s="25">
        <v>1</v>
      </c>
      <c r="C15" s="25">
        <v>1</v>
      </c>
      <c r="D15" s="25">
        <v>1</v>
      </c>
      <c r="E15" s="25">
        <v>1</v>
      </c>
      <c r="F15" s="25">
        <v>1</v>
      </c>
      <c r="G15" s="25">
        <v>1</v>
      </c>
      <c r="H15" s="25">
        <v>1</v>
      </c>
      <c r="I15" s="25">
        <v>0</v>
      </c>
      <c r="J15" s="25">
        <v>1</v>
      </c>
      <c r="K15" s="25">
        <v>0</v>
      </c>
      <c r="L15" s="3">
        <f t="shared" si="0"/>
        <v>0.8</v>
      </c>
      <c r="M15" s="26" t="str">
        <f t="shared" si="1"/>
        <v>mudah</v>
      </c>
      <c r="N15" s="3">
        <f t="shared" si="2"/>
        <v>0.4</v>
      </c>
      <c r="O15" s="26" t="str">
        <f t="shared" si="3"/>
        <v>soal diterima baik</v>
      </c>
      <c r="P15" s="33"/>
      <c r="Q15" s="26">
        <v>10</v>
      </c>
      <c r="R15" s="25">
        <f t="shared" si="5"/>
        <v>1</v>
      </c>
      <c r="S15" s="25">
        <f t="shared" si="4"/>
        <v>1</v>
      </c>
      <c r="T15" s="25">
        <f t="shared" si="4"/>
        <v>1</v>
      </c>
      <c r="U15" s="25">
        <f t="shared" si="4"/>
        <v>1</v>
      </c>
      <c r="V15" s="25">
        <f t="shared" si="4"/>
        <v>1</v>
      </c>
      <c r="W15" s="25">
        <f t="shared" si="4"/>
        <v>1</v>
      </c>
      <c r="X15" s="25">
        <f t="shared" si="4"/>
        <v>0</v>
      </c>
      <c r="Y15" s="25">
        <f t="shared" si="4"/>
        <v>0</v>
      </c>
      <c r="Z15" s="25">
        <f t="shared" si="4"/>
        <v>0</v>
      </c>
      <c r="AA15" s="25">
        <f t="shared" si="4"/>
        <v>0</v>
      </c>
      <c r="AB15" s="3">
        <f t="shared" si="6"/>
        <v>0.6</v>
      </c>
      <c r="AC15" s="3">
        <f t="shared" si="7"/>
        <v>0.4</v>
      </c>
      <c r="AD15" s="3">
        <f t="shared" si="8"/>
        <v>0.24</v>
      </c>
      <c r="AE15" s="20"/>
    </row>
    <row r="16" spans="1:31" ht="33" customHeight="1" x14ac:dyDescent="0.3">
      <c r="A16" s="30" t="s">
        <v>542</v>
      </c>
      <c r="B16" s="25">
        <v>0</v>
      </c>
      <c r="C16" s="25">
        <v>0</v>
      </c>
      <c r="D16" s="25">
        <v>0</v>
      </c>
      <c r="E16" s="25">
        <v>0</v>
      </c>
      <c r="F16" s="25">
        <v>0</v>
      </c>
      <c r="G16" s="25">
        <v>1</v>
      </c>
      <c r="H16" s="25">
        <v>0</v>
      </c>
      <c r="I16" s="25">
        <v>1</v>
      </c>
      <c r="J16" s="25">
        <v>1</v>
      </c>
      <c r="K16" s="25">
        <v>1</v>
      </c>
      <c r="L16" s="3">
        <f t="shared" si="0"/>
        <v>0.4</v>
      </c>
      <c r="M16" s="26" t="str">
        <f t="shared" si="1"/>
        <v>sedang</v>
      </c>
      <c r="N16" s="3">
        <f t="shared" si="2"/>
        <v>0.8</v>
      </c>
      <c r="O16" s="26" t="str">
        <f t="shared" si="3"/>
        <v>soal diterima baik</v>
      </c>
      <c r="P16" s="33"/>
      <c r="Q16" s="26">
        <v>11</v>
      </c>
      <c r="R16" s="25">
        <f t="shared" si="5"/>
        <v>1</v>
      </c>
      <c r="S16" s="25">
        <f t="shared" si="4"/>
        <v>1</v>
      </c>
      <c r="T16" s="25">
        <f t="shared" si="4"/>
        <v>1</v>
      </c>
      <c r="U16" s="25">
        <f t="shared" si="4"/>
        <v>1</v>
      </c>
      <c r="V16" s="25">
        <f t="shared" si="4"/>
        <v>1</v>
      </c>
      <c r="W16" s="25">
        <f t="shared" si="4"/>
        <v>1</v>
      </c>
      <c r="X16" s="25">
        <f t="shared" si="4"/>
        <v>1</v>
      </c>
      <c r="Y16" s="25">
        <f t="shared" si="4"/>
        <v>0</v>
      </c>
      <c r="Z16" s="25">
        <f t="shared" si="4"/>
        <v>1</v>
      </c>
      <c r="AA16" s="25">
        <f t="shared" si="4"/>
        <v>0</v>
      </c>
      <c r="AB16" s="3">
        <f t="shared" si="6"/>
        <v>0.8</v>
      </c>
      <c r="AC16" s="3">
        <f t="shared" si="7"/>
        <v>0.19999999999999996</v>
      </c>
      <c r="AD16" s="3">
        <f t="shared" si="8"/>
        <v>0.15999999999999998</v>
      </c>
      <c r="AE16" s="20"/>
    </row>
    <row r="17" spans="1:31" ht="28" x14ac:dyDescent="0.3">
      <c r="A17" s="30" t="s">
        <v>543</v>
      </c>
      <c r="B17" s="25">
        <v>0</v>
      </c>
      <c r="C17" s="25">
        <v>1</v>
      </c>
      <c r="D17" s="25">
        <v>0</v>
      </c>
      <c r="E17" s="25">
        <v>1</v>
      </c>
      <c r="F17" s="25">
        <v>1</v>
      </c>
      <c r="G17" s="25">
        <v>1</v>
      </c>
      <c r="H17" s="25">
        <v>1</v>
      </c>
      <c r="I17" s="25">
        <v>1</v>
      </c>
      <c r="J17" s="25">
        <v>1</v>
      </c>
      <c r="K17" s="25">
        <v>1</v>
      </c>
      <c r="L17" s="3">
        <f t="shared" si="0"/>
        <v>0.8</v>
      </c>
      <c r="M17" s="26" t="str">
        <f t="shared" si="1"/>
        <v>mudah</v>
      </c>
      <c r="N17" s="3">
        <f t="shared" si="2"/>
        <v>0.4</v>
      </c>
      <c r="O17" s="26" t="str">
        <f t="shared" si="3"/>
        <v>soal diterima baik</v>
      </c>
      <c r="P17" s="33"/>
      <c r="Q17" s="26">
        <v>12</v>
      </c>
      <c r="R17" s="25">
        <f t="shared" si="5"/>
        <v>0</v>
      </c>
      <c r="S17" s="25">
        <f t="shared" si="4"/>
        <v>0</v>
      </c>
      <c r="T17" s="25">
        <f t="shared" si="4"/>
        <v>0</v>
      </c>
      <c r="U17" s="25">
        <f t="shared" si="4"/>
        <v>0</v>
      </c>
      <c r="V17" s="25">
        <f t="shared" si="4"/>
        <v>0</v>
      </c>
      <c r="W17" s="25">
        <f t="shared" si="4"/>
        <v>1</v>
      </c>
      <c r="X17" s="25">
        <f t="shared" si="4"/>
        <v>0</v>
      </c>
      <c r="Y17" s="25">
        <f t="shared" si="4"/>
        <v>1</v>
      </c>
      <c r="Z17" s="25">
        <f t="shared" si="4"/>
        <v>1</v>
      </c>
      <c r="AA17" s="25">
        <f t="shared" si="4"/>
        <v>1</v>
      </c>
      <c r="AB17" s="3">
        <f t="shared" si="6"/>
        <v>0.4</v>
      </c>
      <c r="AC17" s="3">
        <f t="shared" si="7"/>
        <v>0.6</v>
      </c>
      <c r="AD17" s="3">
        <f t="shared" si="8"/>
        <v>0.24</v>
      </c>
      <c r="AE17" s="20"/>
    </row>
    <row r="18" spans="1:31" x14ac:dyDescent="0.3">
      <c r="A18" s="24" t="s">
        <v>544</v>
      </c>
      <c r="B18" s="25">
        <v>1</v>
      </c>
      <c r="C18" s="25">
        <v>1</v>
      </c>
      <c r="D18" s="25">
        <v>0</v>
      </c>
      <c r="E18" s="25">
        <v>1</v>
      </c>
      <c r="F18" s="25">
        <v>0</v>
      </c>
      <c r="G18" s="25">
        <v>0</v>
      </c>
      <c r="H18" s="25">
        <v>0</v>
      </c>
      <c r="I18" s="25">
        <v>0</v>
      </c>
      <c r="J18" s="25">
        <v>0</v>
      </c>
      <c r="K18" s="25">
        <v>1</v>
      </c>
      <c r="L18" s="3">
        <f t="shared" si="0"/>
        <v>0.4</v>
      </c>
      <c r="M18" s="26" t="str">
        <f t="shared" si="1"/>
        <v>sedang</v>
      </c>
      <c r="N18" s="3">
        <f t="shared" si="2"/>
        <v>0.4</v>
      </c>
      <c r="O18" s="26" t="str">
        <f t="shared" si="3"/>
        <v>soal diterima baik</v>
      </c>
      <c r="P18" s="33"/>
      <c r="Q18" s="26">
        <v>13</v>
      </c>
      <c r="R18" s="25">
        <f t="shared" si="5"/>
        <v>0</v>
      </c>
      <c r="S18" s="25">
        <f t="shared" si="4"/>
        <v>1</v>
      </c>
      <c r="T18" s="25">
        <f t="shared" si="4"/>
        <v>0</v>
      </c>
      <c r="U18" s="25">
        <f t="shared" si="4"/>
        <v>1</v>
      </c>
      <c r="V18" s="25">
        <f t="shared" si="4"/>
        <v>1</v>
      </c>
      <c r="W18" s="25">
        <f t="shared" si="4"/>
        <v>1</v>
      </c>
      <c r="X18" s="25">
        <f t="shared" si="4"/>
        <v>1</v>
      </c>
      <c r="Y18" s="25">
        <f t="shared" si="4"/>
        <v>1</v>
      </c>
      <c r="Z18" s="25">
        <f t="shared" si="4"/>
        <v>1</v>
      </c>
      <c r="AA18" s="25">
        <f t="shared" si="4"/>
        <v>1</v>
      </c>
      <c r="AB18" s="3">
        <f t="shared" si="6"/>
        <v>0.8</v>
      </c>
      <c r="AC18" s="3">
        <f t="shared" si="7"/>
        <v>0.19999999999999996</v>
      </c>
      <c r="AD18" s="3">
        <f t="shared" si="8"/>
        <v>0.15999999999999998</v>
      </c>
      <c r="AE18" s="20"/>
    </row>
    <row r="19" spans="1:31" ht="28" x14ac:dyDescent="0.3">
      <c r="A19" s="24" t="s">
        <v>545</v>
      </c>
      <c r="B19" s="25">
        <v>0</v>
      </c>
      <c r="C19" s="25">
        <v>0</v>
      </c>
      <c r="D19" s="25">
        <v>0</v>
      </c>
      <c r="E19" s="25">
        <v>1</v>
      </c>
      <c r="F19" s="25">
        <v>1</v>
      </c>
      <c r="G19" s="25">
        <v>1</v>
      </c>
      <c r="H19" s="25">
        <v>1</v>
      </c>
      <c r="I19" s="25">
        <v>1</v>
      </c>
      <c r="J19" s="25">
        <v>0</v>
      </c>
      <c r="K19" s="25">
        <v>1</v>
      </c>
      <c r="L19" s="3">
        <f t="shared" si="0"/>
        <v>0.6</v>
      </c>
      <c r="M19" s="26" t="str">
        <f t="shared" si="1"/>
        <v>sedang</v>
      </c>
      <c r="N19" s="3">
        <f t="shared" si="2"/>
        <v>0.4</v>
      </c>
      <c r="O19" s="26" t="str">
        <f t="shared" si="3"/>
        <v>soal diterima baik</v>
      </c>
      <c r="P19" s="33"/>
      <c r="Q19" s="26">
        <v>14</v>
      </c>
      <c r="R19" s="25">
        <f t="shared" si="5"/>
        <v>1</v>
      </c>
      <c r="S19" s="25">
        <f t="shared" si="4"/>
        <v>1</v>
      </c>
      <c r="T19" s="25">
        <f t="shared" si="4"/>
        <v>0</v>
      </c>
      <c r="U19" s="25">
        <f t="shared" si="4"/>
        <v>1</v>
      </c>
      <c r="V19" s="25">
        <f t="shared" si="4"/>
        <v>0</v>
      </c>
      <c r="W19" s="25">
        <f t="shared" si="4"/>
        <v>0</v>
      </c>
      <c r="X19" s="25">
        <f t="shared" si="4"/>
        <v>0</v>
      </c>
      <c r="Y19" s="25">
        <f t="shared" si="4"/>
        <v>0</v>
      </c>
      <c r="Z19" s="25">
        <f t="shared" si="4"/>
        <v>0</v>
      </c>
      <c r="AA19" s="25">
        <f t="shared" si="4"/>
        <v>1</v>
      </c>
      <c r="AB19" s="3">
        <f t="shared" si="6"/>
        <v>0.4</v>
      </c>
      <c r="AC19" s="3">
        <f t="shared" si="7"/>
        <v>0.6</v>
      </c>
      <c r="AD19" s="3">
        <f t="shared" si="8"/>
        <v>0.24</v>
      </c>
      <c r="AE19" s="20"/>
    </row>
    <row r="20" spans="1:31" ht="28" x14ac:dyDescent="0.3">
      <c r="A20" s="24" t="s">
        <v>546</v>
      </c>
      <c r="B20" s="25">
        <v>0</v>
      </c>
      <c r="C20" s="25">
        <v>0</v>
      </c>
      <c r="D20" s="25">
        <v>1</v>
      </c>
      <c r="E20" s="25">
        <v>0</v>
      </c>
      <c r="F20" s="25">
        <v>0</v>
      </c>
      <c r="G20" s="25">
        <v>1</v>
      </c>
      <c r="H20" s="25">
        <v>1</v>
      </c>
      <c r="I20" s="25">
        <v>1</v>
      </c>
      <c r="J20" s="25">
        <v>1</v>
      </c>
      <c r="K20" s="25">
        <v>1</v>
      </c>
      <c r="L20" s="3">
        <f t="shared" si="0"/>
        <v>0.6</v>
      </c>
      <c r="M20" s="26" t="str">
        <f t="shared" si="1"/>
        <v>sedang</v>
      </c>
      <c r="N20" s="3">
        <f t="shared" si="2"/>
        <v>0.8</v>
      </c>
      <c r="O20" s="26" t="str">
        <f t="shared" si="3"/>
        <v>soal diterima baik</v>
      </c>
      <c r="P20" s="33"/>
      <c r="Q20" s="26">
        <v>15</v>
      </c>
      <c r="R20" s="25">
        <f t="shared" si="5"/>
        <v>0</v>
      </c>
      <c r="S20" s="25">
        <f t="shared" si="4"/>
        <v>0</v>
      </c>
      <c r="T20" s="25">
        <f t="shared" si="4"/>
        <v>0</v>
      </c>
      <c r="U20" s="25">
        <f t="shared" si="4"/>
        <v>1</v>
      </c>
      <c r="V20" s="25">
        <f t="shared" si="4"/>
        <v>1</v>
      </c>
      <c r="W20" s="25">
        <f t="shared" si="4"/>
        <v>1</v>
      </c>
      <c r="X20" s="25">
        <f t="shared" si="4"/>
        <v>1</v>
      </c>
      <c r="Y20" s="25">
        <f t="shared" si="4"/>
        <v>1</v>
      </c>
      <c r="Z20" s="25">
        <f t="shared" si="4"/>
        <v>0</v>
      </c>
      <c r="AA20" s="25">
        <f t="shared" si="4"/>
        <v>1</v>
      </c>
      <c r="AB20" s="3">
        <f t="shared" si="6"/>
        <v>0.6</v>
      </c>
      <c r="AC20" s="3">
        <f t="shared" si="7"/>
        <v>0.4</v>
      </c>
      <c r="AD20" s="3">
        <f t="shared" si="8"/>
        <v>0.24</v>
      </c>
      <c r="AE20" s="20"/>
    </row>
    <row r="21" spans="1:31" ht="28" x14ac:dyDescent="0.3">
      <c r="A21" s="24" t="s">
        <v>547</v>
      </c>
      <c r="B21" s="25">
        <v>0</v>
      </c>
      <c r="C21" s="25">
        <v>1</v>
      </c>
      <c r="D21" s="25">
        <v>0</v>
      </c>
      <c r="E21" s="25">
        <v>1</v>
      </c>
      <c r="F21" s="25">
        <v>1</v>
      </c>
      <c r="G21" s="25">
        <v>1</v>
      </c>
      <c r="H21" s="25">
        <v>0</v>
      </c>
      <c r="I21" s="25">
        <v>0</v>
      </c>
      <c r="J21" s="25">
        <v>0</v>
      </c>
      <c r="K21" s="25">
        <v>0</v>
      </c>
      <c r="L21" s="3">
        <f t="shared" si="0"/>
        <v>0.4</v>
      </c>
      <c r="M21" s="26" t="str">
        <f t="shared" si="1"/>
        <v>sedang</v>
      </c>
      <c r="N21" s="3">
        <f t="shared" si="2"/>
        <v>0.4</v>
      </c>
      <c r="O21" s="26" t="str">
        <f t="shared" si="3"/>
        <v>soal diterima baik</v>
      </c>
      <c r="P21" s="33"/>
      <c r="Q21" s="26">
        <v>16</v>
      </c>
      <c r="R21" s="25">
        <f t="shared" si="5"/>
        <v>0</v>
      </c>
      <c r="S21" s="25">
        <f t="shared" si="4"/>
        <v>0</v>
      </c>
      <c r="T21" s="25">
        <f t="shared" si="4"/>
        <v>1</v>
      </c>
      <c r="U21" s="25">
        <f t="shared" si="4"/>
        <v>0</v>
      </c>
      <c r="V21" s="25">
        <f t="shared" si="4"/>
        <v>0</v>
      </c>
      <c r="W21" s="25">
        <f t="shared" si="4"/>
        <v>1</v>
      </c>
      <c r="X21" s="25">
        <f t="shared" si="4"/>
        <v>1</v>
      </c>
      <c r="Y21" s="25">
        <f t="shared" si="4"/>
        <v>1</v>
      </c>
      <c r="Z21" s="25">
        <f t="shared" si="4"/>
        <v>1</v>
      </c>
      <c r="AA21" s="25">
        <f t="shared" si="4"/>
        <v>1</v>
      </c>
      <c r="AB21" s="3">
        <f t="shared" si="6"/>
        <v>0.6</v>
      </c>
      <c r="AC21" s="3">
        <f t="shared" si="7"/>
        <v>0.4</v>
      </c>
      <c r="AD21" s="3">
        <f t="shared" si="8"/>
        <v>0.24</v>
      </c>
      <c r="AE21" s="20"/>
    </row>
    <row r="22" spans="1:31" x14ac:dyDescent="0.3">
      <c r="A22" s="24" t="s">
        <v>548</v>
      </c>
      <c r="B22" s="25">
        <v>0</v>
      </c>
      <c r="C22" s="25">
        <v>0</v>
      </c>
      <c r="D22" s="25">
        <v>0</v>
      </c>
      <c r="E22" s="25">
        <v>0</v>
      </c>
      <c r="F22" s="25">
        <v>0</v>
      </c>
      <c r="G22" s="25">
        <v>1</v>
      </c>
      <c r="H22" s="25">
        <v>1</v>
      </c>
      <c r="I22" s="25">
        <v>0</v>
      </c>
      <c r="J22" s="25">
        <v>1</v>
      </c>
      <c r="K22" s="25">
        <v>1</v>
      </c>
      <c r="L22" s="3">
        <f t="shared" si="0"/>
        <v>0.4</v>
      </c>
      <c r="M22" s="26" t="str">
        <f t="shared" si="1"/>
        <v>sedang</v>
      </c>
      <c r="N22" s="3">
        <f t="shared" si="2"/>
        <v>0.8</v>
      </c>
      <c r="O22" s="26" t="str">
        <f t="shared" si="3"/>
        <v>soal diterima baik</v>
      </c>
      <c r="P22" s="33"/>
      <c r="Q22" s="26">
        <v>17</v>
      </c>
      <c r="R22" s="25">
        <f t="shared" si="5"/>
        <v>0</v>
      </c>
      <c r="S22" s="25">
        <f t="shared" si="5"/>
        <v>1</v>
      </c>
      <c r="T22" s="25">
        <f t="shared" si="5"/>
        <v>0</v>
      </c>
      <c r="U22" s="25">
        <f t="shared" si="5"/>
        <v>1</v>
      </c>
      <c r="V22" s="25">
        <f t="shared" si="5"/>
        <v>1</v>
      </c>
      <c r="W22" s="25">
        <f t="shared" si="5"/>
        <v>1</v>
      </c>
      <c r="X22" s="25">
        <f t="shared" si="5"/>
        <v>0</v>
      </c>
      <c r="Y22" s="25">
        <f t="shared" si="5"/>
        <v>0</v>
      </c>
      <c r="Z22" s="25">
        <f t="shared" si="5"/>
        <v>0</v>
      </c>
      <c r="AA22" s="25">
        <f t="shared" si="5"/>
        <v>0</v>
      </c>
      <c r="AB22" s="3">
        <f t="shared" si="6"/>
        <v>0.4</v>
      </c>
      <c r="AC22" s="3">
        <f t="shared" si="7"/>
        <v>0.6</v>
      </c>
      <c r="AD22" s="3">
        <f t="shared" si="8"/>
        <v>0.24</v>
      </c>
      <c r="AE22" s="20"/>
    </row>
    <row r="23" spans="1:31" ht="28" x14ac:dyDescent="0.3">
      <c r="A23" s="28" t="s">
        <v>549</v>
      </c>
      <c r="B23" s="25">
        <v>0</v>
      </c>
      <c r="C23" s="25">
        <v>1</v>
      </c>
      <c r="D23" s="25">
        <v>1</v>
      </c>
      <c r="E23" s="25">
        <v>0</v>
      </c>
      <c r="F23" s="25">
        <v>0</v>
      </c>
      <c r="G23" s="25">
        <v>0</v>
      </c>
      <c r="H23" s="25">
        <v>0</v>
      </c>
      <c r="I23" s="25">
        <v>0</v>
      </c>
      <c r="J23" s="25">
        <v>0</v>
      </c>
      <c r="K23" s="25">
        <v>0</v>
      </c>
      <c r="L23" s="3">
        <f t="shared" si="0"/>
        <v>0.2</v>
      </c>
      <c r="M23" s="26" t="str">
        <f t="shared" si="1"/>
        <v>sukar</v>
      </c>
      <c r="N23" s="3">
        <f t="shared" si="2"/>
        <v>0.4</v>
      </c>
      <c r="O23" s="26" t="str">
        <f t="shared" si="3"/>
        <v>soal diterima baik</v>
      </c>
      <c r="P23" s="33"/>
      <c r="Q23" s="26">
        <v>18</v>
      </c>
      <c r="R23" s="25">
        <f t="shared" si="5"/>
        <v>0</v>
      </c>
      <c r="S23" s="25">
        <f t="shared" si="5"/>
        <v>0</v>
      </c>
      <c r="T23" s="25">
        <f t="shared" si="5"/>
        <v>0</v>
      </c>
      <c r="U23" s="25">
        <f t="shared" si="5"/>
        <v>0</v>
      </c>
      <c r="V23" s="25">
        <f t="shared" si="5"/>
        <v>0</v>
      </c>
      <c r="W23" s="25">
        <f t="shared" si="5"/>
        <v>1</v>
      </c>
      <c r="X23" s="25">
        <f t="shared" si="5"/>
        <v>1</v>
      </c>
      <c r="Y23" s="25">
        <f t="shared" si="5"/>
        <v>0</v>
      </c>
      <c r="Z23" s="25">
        <f t="shared" si="5"/>
        <v>1</v>
      </c>
      <c r="AA23" s="25">
        <f t="shared" si="5"/>
        <v>1</v>
      </c>
      <c r="AB23" s="3">
        <f t="shared" si="6"/>
        <v>0.4</v>
      </c>
      <c r="AC23" s="3">
        <f t="shared" si="7"/>
        <v>0.6</v>
      </c>
      <c r="AD23" s="3">
        <f t="shared" si="8"/>
        <v>0.24</v>
      </c>
      <c r="AE23" s="20"/>
    </row>
    <row r="24" spans="1:31" ht="28" x14ac:dyDescent="0.3">
      <c r="A24" s="30" t="s">
        <v>550</v>
      </c>
      <c r="B24" s="25">
        <v>0</v>
      </c>
      <c r="C24" s="25">
        <v>0</v>
      </c>
      <c r="D24" s="25">
        <v>1</v>
      </c>
      <c r="E24" s="25">
        <v>0</v>
      </c>
      <c r="F24" s="25">
        <v>1</v>
      </c>
      <c r="G24" s="25">
        <v>1</v>
      </c>
      <c r="H24" s="25">
        <v>1</v>
      </c>
      <c r="I24" s="25">
        <v>1</v>
      </c>
      <c r="J24" s="25">
        <v>1</v>
      </c>
      <c r="K24" s="25">
        <v>0</v>
      </c>
      <c r="L24" s="3">
        <f t="shared" si="0"/>
        <v>0.6</v>
      </c>
      <c r="M24" s="26" t="str">
        <f t="shared" si="1"/>
        <v>sedang</v>
      </c>
      <c r="N24" s="3">
        <f t="shared" si="2"/>
        <v>0.4</v>
      </c>
      <c r="O24" s="26" t="str">
        <f t="shared" si="3"/>
        <v>soal diterima baik</v>
      </c>
      <c r="P24" s="33"/>
      <c r="Q24" s="26">
        <v>19</v>
      </c>
      <c r="R24" s="25">
        <f t="shared" si="5"/>
        <v>0</v>
      </c>
      <c r="S24" s="25">
        <f t="shared" si="5"/>
        <v>1</v>
      </c>
      <c r="T24" s="25">
        <f t="shared" si="5"/>
        <v>1</v>
      </c>
      <c r="U24" s="25">
        <f t="shared" si="5"/>
        <v>0</v>
      </c>
      <c r="V24" s="25">
        <f t="shared" si="5"/>
        <v>0</v>
      </c>
      <c r="W24" s="25">
        <f t="shared" si="5"/>
        <v>0</v>
      </c>
      <c r="X24" s="25">
        <f t="shared" si="5"/>
        <v>0</v>
      </c>
      <c r="Y24" s="25">
        <f t="shared" si="5"/>
        <v>0</v>
      </c>
      <c r="Z24" s="25">
        <f t="shared" si="5"/>
        <v>0</v>
      </c>
      <c r="AA24" s="25">
        <f t="shared" si="5"/>
        <v>0</v>
      </c>
      <c r="AB24" s="3">
        <f t="shared" si="6"/>
        <v>0.2</v>
      </c>
      <c r="AC24" s="3">
        <f t="shared" si="7"/>
        <v>0.8</v>
      </c>
      <c r="AD24" s="3">
        <f t="shared" si="8"/>
        <v>0.16000000000000003</v>
      </c>
      <c r="AE24" s="20"/>
    </row>
    <row r="25" spans="1:31" x14ac:dyDescent="0.3">
      <c r="A25" s="30" t="s">
        <v>551</v>
      </c>
      <c r="B25" s="25">
        <v>0</v>
      </c>
      <c r="C25" s="25">
        <v>1</v>
      </c>
      <c r="D25" s="25">
        <v>0</v>
      </c>
      <c r="E25" s="25">
        <v>0</v>
      </c>
      <c r="F25" s="25">
        <v>1</v>
      </c>
      <c r="G25" s="25">
        <v>0</v>
      </c>
      <c r="H25" s="25">
        <v>0</v>
      </c>
      <c r="I25" s="25">
        <v>0</v>
      </c>
      <c r="J25" s="25">
        <v>0</v>
      </c>
      <c r="K25" s="25">
        <v>0</v>
      </c>
      <c r="L25" s="3">
        <f t="shared" si="0"/>
        <v>0.2</v>
      </c>
      <c r="M25" s="26" t="str">
        <f t="shared" si="1"/>
        <v>sukar</v>
      </c>
      <c r="N25" s="3">
        <f t="shared" si="2"/>
        <v>0.4</v>
      </c>
      <c r="O25" s="26" t="str">
        <f t="shared" si="3"/>
        <v>soal diterima baik</v>
      </c>
      <c r="P25" s="33"/>
      <c r="Q25" s="26">
        <v>20</v>
      </c>
      <c r="R25" s="25">
        <f t="shared" si="5"/>
        <v>0</v>
      </c>
      <c r="S25" s="25">
        <f t="shared" si="5"/>
        <v>0</v>
      </c>
      <c r="T25" s="25">
        <f t="shared" si="5"/>
        <v>1</v>
      </c>
      <c r="U25" s="25">
        <f t="shared" si="5"/>
        <v>0</v>
      </c>
      <c r="V25" s="25">
        <f t="shared" si="5"/>
        <v>1</v>
      </c>
      <c r="W25" s="25">
        <f t="shared" si="5"/>
        <v>1</v>
      </c>
      <c r="X25" s="25">
        <f t="shared" si="5"/>
        <v>1</v>
      </c>
      <c r="Y25" s="25">
        <f t="shared" si="5"/>
        <v>1</v>
      </c>
      <c r="Z25" s="25">
        <f t="shared" si="5"/>
        <v>1</v>
      </c>
      <c r="AA25" s="25">
        <f t="shared" si="5"/>
        <v>0</v>
      </c>
      <c r="AB25" s="3">
        <f t="shared" si="6"/>
        <v>0.6</v>
      </c>
      <c r="AC25" s="3">
        <f t="shared" si="7"/>
        <v>0.4</v>
      </c>
      <c r="AD25" s="3">
        <f t="shared" si="8"/>
        <v>0.24</v>
      </c>
      <c r="AE25" s="20"/>
    </row>
    <row r="26" spans="1:31" ht="28" x14ac:dyDescent="0.3">
      <c r="A26" s="30" t="s">
        <v>552</v>
      </c>
      <c r="B26" s="25">
        <v>1</v>
      </c>
      <c r="C26" s="25">
        <v>1</v>
      </c>
      <c r="D26" s="25">
        <v>1</v>
      </c>
      <c r="E26" s="25">
        <v>0</v>
      </c>
      <c r="F26" s="25">
        <v>1</v>
      </c>
      <c r="G26" s="25">
        <v>0</v>
      </c>
      <c r="H26" s="25">
        <v>0</v>
      </c>
      <c r="I26" s="25">
        <v>0</v>
      </c>
      <c r="J26" s="25">
        <v>0</v>
      </c>
      <c r="K26" s="25">
        <v>0</v>
      </c>
      <c r="L26" s="3">
        <f t="shared" si="0"/>
        <v>0.4</v>
      </c>
      <c r="M26" s="26" t="str">
        <f t="shared" si="1"/>
        <v>sedang</v>
      </c>
      <c r="N26" s="3">
        <f t="shared" si="2"/>
        <v>0.8</v>
      </c>
      <c r="O26" s="26" t="str">
        <f t="shared" si="3"/>
        <v>soal diterima baik</v>
      </c>
      <c r="P26" s="33"/>
      <c r="Q26" s="26">
        <v>21</v>
      </c>
      <c r="R26" s="25">
        <f t="shared" si="5"/>
        <v>0</v>
      </c>
      <c r="S26" s="25">
        <f t="shared" si="5"/>
        <v>1</v>
      </c>
      <c r="T26" s="25">
        <f t="shared" si="5"/>
        <v>0</v>
      </c>
      <c r="U26" s="25">
        <f t="shared" si="5"/>
        <v>0</v>
      </c>
      <c r="V26" s="25">
        <f t="shared" si="5"/>
        <v>1</v>
      </c>
      <c r="W26" s="25">
        <f t="shared" si="5"/>
        <v>0</v>
      </c>
      <c r="X26" s="25">
        <f t="shared" si="5"/>
        <v>0</v>
      </c>
      <c r="Y26" s="25">
        <f t="shared" si="5"/>
        <v>0</v>
      </c>
      <c r="Z26" s="25">
        <f t="shared" si="5"/>
        <v>0</v>
      </c>
      <c r="AA26" s="25">
        <f t="shared" si="5"/>
        <v>0</v>
      </c>
      <c r="AB26" s="3">
        <f t="shared" si="6"/>
        <v>0.2</v>
      </c>
      <c r="AC26" s="3">
        <f t="shared" si="7"/>
        <v>0.8</v>
      </c>
      <c r="AD26" s="3">
        <f t="shared" si="8"/>
        <v>0.16000000000000003</v>
      </c>
      <c r="AE26" s="20"/>
    </row>
    <row r="27" spans="1:31" ht="28" x14ac:dyDescent="0.3">
      <c r="A27" s="28" t="s">
        <v>553</v>
      </c>
      <c r="B27" s="25">
        <v>1</v>
      </c>
      <c r="C27" s="25">
        <v>1</v>
      </c>
      <c r="D27" s="25">
        <v>1</v>
      </c>
      <c r="E27" s="25">
        <v>1</v>
      </c>
      <c r="F27" s="25">
        <v>1</v>
      </c>
      <c r="G27" s="25">
        <v>0</v>
      </c>
      <c r="H27" s="25">
        <v>0</v>
      </c>
      <c r="I27" s="25">
        <v>1</v>
      </c>
      <c r="J27" s="25">
        <v>0</v>
      </c>
      <c r="K27" s="25">
        <v>0</v>
      </c>
      <c r="L27" s="3">
        <f t="shared" si="0"/>
        <v>0.6</v>
      </c>
      <c r="M27" s="26" t="str">
        <f t="shared" si="1"/>
        <v>sedang</v>
      </c>
      <c r="N27" s="3">
        <f t="shared" si="2"/>
        <v>0.8</v>
      </c>
      <c r="O27" s="26" t="str">
        <f t="shared" si="3"/>
        <v>soal diterima baik</v>
      </c>
      <c r="P27" s="33"/>
      <c r="Q27" s="26">
        <v>22</v>
      </c>
      <c r="R27" s="25">
        <f t="shared" si="5"/>
        <v>1</v>
      </c>
      <c r="S27" s="25">
        <f t="shared" si="5"/>
        <v>1</v>
      </c>
      <c r="T27" s="25">
        <f t="shared" si="5"/>
        <v>1</v>
      </c>
      <c r="U27" s="25">
        <f t="shared" si="5"/>
        <v>0</v>
      </c>
      <c r="V27" s="25">
        <f t="shared" si="5"/>
        <v>1</v>
      </c>
      <c r="W27" s="25">
        <f t="shared" si="5"/>
        <v>0</v>
      </c>
      <c r="X27" s="25">
        <f t="shared" si="5"/>
        <v>0</v>
      </c>
      <c r="Y27" s="25">
        <f t="shared" si="5"/>
        <v>0</v>
      </c>
      <c r="Z27" s="25">
        <f t="shared" si="5"/>
        <v>0</v>
      </c>
      <c r="AA27" s="25">
        <f t="shared" si="5"/>
        <v>0</v>
      </c>
      <c r="AB27" s="3">
        <f t="shared" si="6"/>
        <v>0.4</v>
      </c>
      <c r="AC27" s="3">
        <f t="shared" si="7"/>
        <v>0.6</v>
      </c>
      <c r="AD27" s="3">
        <f t="shared" si="8"/>
        <v>0.24</v>
      </c>
      <c r="AE27" s="20"/>
    </row>
    <row r="28" spans="1:31" ht="28" x14ac:dyDescent="0.3">
      <c r="A28" s="24" t="s">
        <v>554</v>
      </c>
      <c r="B28" s="25">
        <v>0</v>
      </c>
      <c r="C28" s="25">
        <v>1</v>
      </c>
      <c r="D28" s="25">
        <v>0</v>
      </c>
      <c r="E28" s="25">
        <v>1</v>
      </c>
      <c r="F28" s="25">
        <v>0</v>
      </c>
      <c r="G28" s="25">
        <v>0</v>
      </c>
      <c r="H28" s="25">
        <v>0</v>
      </c>
      <c r="I28" s="25">
        <v>0</v>
      </c>
      <c r="J28" s="25">
        <v>0</v>
      </c>
      <c r="K28" s="25">
        <v>0</v>
      </c>
      <c r="L28" s="3">
        <f t="shared" si="0"/>
        <v>0.2</v>
      </c>
      <c r="M28" s="26" t="str">
        <f t="shared" si="1"/>
        <v>sukar</v>
      </c>
      <c r="N28" s="3">
        <f t="shared" si="2"/>
        <v>0.4</v>
      </c>
      <c r="O28" s="26" t="str">
        <f t="shared" si="3"/>
        <v>soal diterima baik</v>
      </c>
      <c r="P28" s="33"/>
      <c r="Q28" s="26">
        <v>23</v>
      </c>
      <c r="R28" s="25">
        <f t="shared" si="5"/>
        <v>1</v>
      </c>
      <c r="S28" s="25">
        <f t="shared" si="5"/>
        <v>1</v>
      </c>
      <c r="T28" s="25">
        <f t="shared" si="5"/>
        <v>1</v>
      </c>
      <c r="U28" s="25">
        <f t="shared" si="5"/>
        <v>1</v>
      </c>
      <c r="V28" s="25">
        <f t="shared" si="5"/>
        <v>1</v>
      </c>
      <c r="W28" s="25">
        <f t="shared" si="5"/>
        <v>0</v>
      </c>
      <c r="X28" s="25">
        <f t="shared" si="5"/>
        <v>0</v>
      </c>
      <c r="Y28" s="25">
        <f t="shared" si="5"/>
        <v>1</v>
      </c>
      <c r="Z28" s="25">
        <f t="shared" si="5"/>
        <v>0</v>
      </c>
      <c r="AA28" s="25">
        <f t="shared" si="5"/>
        <v>0</v>
      </c>
      <c r="AB28" s="3">
        <f t="shared" si="6"/>
        <v>0.6</v>
      </c>
      <c r="AC28" s="3">
        <f t="shared" si="7"/>
        <v>0.4</v>
      </c>
      <c r="AD28" s="3">
        <f t="shared" si="8"/>
        <v>0.24</v>
      </c>
      <c r="AE28" s="20"/>
    </row>
    <row r="29" spans="1:31" x14ac:dyDescent="0.3">
      <c r="A29" s="24" t="s">
        <v>555</v>
      </c>
      <c r="B29" s="25">
        <v>0</v>
      </c>
      <c r="C29" s="25">
        <v>0</v>
      </c>
      <c r="D29" s="25">
        <v>1</v>
      </c>
      <c r="E29" s="25">
        <v>0</v>
      </c>
      <c r="F29" s="25">
        <v>0</v>
      </c>
      <c r="G29" s="25">
        <v>1</v>
      </c>
      <c r="H29" s="25">
        <v>1</v>
      </c>
      <c r="I29" s="25">
        <v>1</v>
      </c>
      <c r="J29" s="25">
        <v>1</v>
      </c>
      <c r="K29" s="25">
        <v>1</v>
      </c>
      <c r="L29" s="3">
        <f t="shared" si="0"/>
        <v>0.6</v>
      </c>
      <c r="M29" s="26" t="str">
        <f t="shared" si="1"/>
        <v>sedang</v>
      </c>
      <c r="N29" s="3">
        <f t="shared" si="2"/>
        <v>0.8</v>
      </c>
      <c r="O29" s="26" t="str">
        <f t="shared" si="3"/>
        <v>soal diterima baik</v>
      </c>
      <c r="P29" s="33"/>
      <c r="Q29" s="26">
        <v>24</v>
      </c>
      <c r="R29" s="25">
        <f t="shared" si="5"/>
        <v>0</v>
      </c>
      <c r="S29" s="25">
        <f t="shared" si="5"/>
        <v>1</v>
      </c>
      <c r="T29" s="25">
        <f t="shared" si="5"/>
        <v>0</v>
      </c>
      <c r="U29" s="25">
        <f t="shared" si="5"/>
        <v>1</v>
      </c>
      <c r="V29" s="25">
        <f t="shared" si="5"/>
        <v>0</v>
      </c>
      <c r="W29" s="25">
        <f t="shared" si="5"/>
        <v>0</v>
      </c>
      <c r="X29" s="25">
        <f t="shared" si="5"/>
        <v>0</v>
      </c>
      <c r="Y29" s="25">
        <f t="shared" si="5"/>
        <v>0</v>
      </c>
      <c r="Z29" s="25">
        <f t="shared" si="5"/>
        <v>0</v>
      </c>
      <c r="AA29" s="25">
        <f t="shared" si="5"/>
        <v>0</v>
      </c>
      <c r="AB29" s="3">
        <f t="shared" si="6"/>
        <v>0.2</v>
      </c>
      <c r="AC29" s="3">
        <f t="shared" si="7"/>
        <v>0.8</v>
      </c>
      <c r="AD29" s="3">
        <f t="shared" si="8"/>
        <v>0.16000000000000003</v>
      </c>
      <c r="AE29" s="20"/>
    </row>
    <row r="30" spans="1:31" ht="28" x14ac:dyDescent="0.3">
      <c r="A30" s="30" t="s">
        <v>556</v>
      </c>
      <c r="B30" s="25">
        <v>1</v>
      </c>
      <c r="C30" s="25">
        <v>1</v>
      </c>
      <c r="D30" s="25">
        <v>1</v>
      </c>
      <c r="E30" s="25">
        <v>0</v>
      </c>
      <c r="F30" s="25">
        <v>0</v>
      </c>
      <c r="G30" s="25">
        <v>0</v>
      </c>
      <c r="H30" s="25">
        <v>0</v>
      </c>
      <c r="I30" s="25">
        <v>0</v>
      </c>
      <c r="J30" s="25">
        <v>1</v>
      </c>
      <c r="K30" s="25">
        <v>0</v>
      </c>
      <c r="L30" s="3">
        <f t="shared" si="0"/>
        <v>0.4</v>
      </c>
      <c r="M30" s="26" t="str">
        <f t="shared" si="1"/>
        <v>sedang</v>
      </c>
      <c r="N30" s="3">
        <f t="shared" si="2"/>
        <v>0.4</v>
      </c>
      <c r="O30" s="26" t="str">
        <f t="shared" si="3"/>
        <v>soal diterima baik</v>
      </c>
      <c r="P30" s="33"/>
      <c r="Q30" s="26">
        <v>25</v>
      </c>
      <c r="R30" s="25">
        <f t="shared" si="5"/>
        <v>0</v>
      </c>
      <c r="S30" s="25">
        <f t="shared" si="5"/>
        <v>0</v>
      </c>
      <c r="T30" s="25">
        <f t="shared" si="5"/>
        <v>1</v>
      </c>
      <c r="U30" s="25">
        <f t="shared" si="5"/>
        <v>0</v>
      </c>
      <c r="V30" s="25">
        <f t="shared" si="5"/>
        <v>0</v>
      </c>
      <c r="W30" s="25">
        <f t="shared" si="5"/>
        <v>1</v>
      </c>
      <c r="X30" s="25">
        <f t="shared" si="5"/>
        <v>1</v>
      </c>
      <c r="Y30" s="25">
        <f t="shared" si="5"/>
        <v>1</v>
      </c>
      <c r="Z30" s="25">
        <f t="shared" si="5"/>
        <v>1</v>
      </c>
      <c r="AA30" s="25">
        <f t="shared" si="5"/>
        <v>1</v>
      </c>
      <c r="AB30" s="3">
        <f t="shared" si="6"/>
        <v>0.6</v>
      </c>
      <c r="AC30" s="3">
        <f t="shared" si="7"/>
        <v>0.4</v>
      </c>
      <c r="AD30" s="3">
        <f t="shared" si="8"/>
        <v>0.24</v>
      </c>
      <c r="AE30" s="20"/>
    </row>
    <row r="31" spans="1:31" ht="28" x14ac:dyDescent="0.3">
      <c r="A31" s="30" t="s">
        <v>557</v>
      </c>
      <c r="B31" s="25">
        <v>0</v>
      </c>
      <c r="C31" s="25">
        <v>1</v>
      </c>
      <c r="D31" s="25">
        <v>1</v>
      </c>
      <c r="E31" s="25">
        <v>1</v>
      </c>
      <c r="F31" s="25">
        <v>1</v>
      </c>
      <c r="G31" s="25">
        <v>0</v>
      </c>
      <c r="H31" s="25">
        <v>1</v>
      </c>
      <c r="I31" s="25">
        <v>1</v>
      </c>
      <c r="J31" s="25">
        <v>0</v>
      </c>
      <c r="K31" s="25">
        <v>0</v>
      </c>
      <c r="L31" s="3">
        <f t="shared" si="0"/>
        <v>0.6</v>
      </c>
      <c r="M31" s="26" t="str">
        <f t="shared" si="1"/>
        <v>sedang</v>
      </c>
      <c r="N31" s="3">
        <f t="shared" si="2"/>
        <v>0.4</v>
      </c>
      <c r="O31" s="26" t="str">
        <f t="shared" si="3"/>
        <v>soal diterima baik</v>
      </c>
      <c r="P31" s="33"/>
      <c r="Q31" s="26">
        <v>26</v>
      </c>
      <c r="R31" s="25">
        <f t="shared" si="5"/>
        <v>1</v>
      </c>
      <c r="S31" s="25">
        <f t="shared" si="5"/>
        <v>1</v>
      </c>
      <c r="T31" s="25">
        <f t="shared" si="5"/>
        <v>1</v>
      </c>
      <c r="U31" s="25">
        <f t="shared" si="5"/>
        <v>0</v>
      </c>
      <c r="V31" s="25">
        <f t="shared" si="5"/>
        <v>0</v>
      </c>
      <c r="W31" s="25">
        <f t="shared" si="5"/>
        <v>0</v>
      </c>
      <c r="X31" s="25">
        <f t="shared" si="5"/>
        <v>0</v>
      </c>
      <c r="Y31" s="25">
        <f t="shared" si="5"/>
        <v>0</v>
      </c>
      <c r="Z31" s="25">
        <f t="shared" si="5"/>
        <v>1</v>
      </c>
      <c r="AA31" s="25">
        <f t="shared" si="5"/>
        <v>0</v>
      </c>
      <c r="AB31" s="3">
        <f t="shared" si="6"/>
        <v>0.4</v>
      </c>
      <c r="AC31" s="3">
        <f t="shared" si="7"/>
        <v>0.6</v>
      </c>
      <c r="AD31" s="3">
        <f t="shared" si="8"/>
        <v>0.24</v>
      </c>
      <c r="AE31" s="20"/>
    </row>
    <row r="32" spans="1:31" ht="28" x14ac:dyDescent="0.3">
      <c r="A32" s="30" t="s">
        <v>558</v>
      </c>
      <c r="B32" s="25">
        <v>1</v>
      </c>
      <c r="C32" s="25">
        <v>0</v>
      </c>
      <c r="D32" s="25">
        <v>1</v>
      </c>
      <c r="E32" s="25">
        <v>1</v>
      </c>
      <c r="F32" s="25">
        <v>1</v>
      </c>
      <c r="G32" s="25">
        <v>1</v>
      </c>
      <c r="H32" s="25">
        <v>0</v>
      </c>
      <c r="I32" s="25">
        <v>1</v>
      </c>
      <c r="J32" s="25">
        <v>0</v>
      </c>
      <c r="K32" s="25">
        <v>0</v>
      </c>
      <c r="L32" s="3">
        <f t="shared" si="0"/>
        <v>0.6</v>
      </c>
      <c r="M32" s="26" t="str">
        <f t="shared" si="1"/>
        <v>sedang</v>
      </c>
      <c r="N32" s="3">
        <f t="shared" si="2"/>
        <v>0.4</v>
      </c>
      <c r="O32" s="26" t="str">
        <f t="shared" si="3"/>
        <v>soal diterima baik</v>
      </c>
      <c r="P32" s="33"/>
      <c r="Q32" s="26">
        <v>27</v>
      </c>
      <c r="R32" s="25">
        <f t="shared" si="5"/>
        <v>0</v>
      </c>
      <c r="S32" s="25">
        <f t="shared" si="5"/>
        <v>1</v>
      </c>
      <c r="T32" s="25">
        <f t="shared" si="5"/>
        <v>1</v>
      </c>
      <c r="U32" s="25">
        <f t="shared" si="5"/>
        <v>1</v>
      </c>
      <c r="V32" s="25">
        <f t="shared" si="5"/>
        <v>1</v>
      </c>
      <c r="W32" s="25">
        <f t="shared" si="5"/>
        <v>0</v>
      </c>
      <c r="X32" s="25">
        <f t="shared" si="5"/>
        <v>1</v>
      </c>
      <c r="Y32" s="25">
        <f t="shared" si="5"/>
        <v>1</v>
      </c>
      <c r="Z32" s="25">
        <f t="shared" si="5"/>
        <v>0</v>
      </c>
      <c r="AA32" s="25">
        <f t="shared" si="5"/>
        <v>0</v>
      </c>
      <c r="AB32" s="3">
        <f t="shared" si="6"/>
        <v>0.6</v>
      </c>
      <c r="AC32" s="3">
        <f t="shared" si="7"/>
        <v>0.4</v>
      </c>
      <c r="AD32" s="3">
        <f t="shared" si="8"/>
        <v>0.24</v>
      </c>
      <c r="AE32" s="20"/>
    </row>
    <row r="33" spans="1:31" ht="28" x14ac:dyDescent="0.3">
      <c r="A33" s="24" t="s">
        <v>559</v>
      </c>
      <c r="B33" s="25">
        <v>0</v>
      </c>
      <c r="C33" s="25">
        <v>1</v>
      </c>
      <c r="D33" s="25">
        <v>1</v>
      </c>
      <c r="E33" s="25">
        <v>1</v>
      </c>
      <c r="F33" s="25">
        <v>1</v>
      </c>
      <c r="G33" s="25">
        <v>0</v>
      </c>
      <c r="H33" s="25">
        <v>1</v>
      </c>
      <c r="I33" s="25">
        <v>1</v>
      </c>
      <c r="J33" s="25">
        <v>0</v>
      </c>
      <c r="K33" s="25">
        <v>0</v>
      </c>
      <c r="L33" s="3">
        <f t="shared" si="0"/>
        <v>0.6</v>
      </c>
      <c r="M33" s="26" t="str">
        <f t="shared" si="1"/>
        <v>sedang</v>
      </c>
      <c r="N33" s="3">
        <f t="shared" si="2"/>
        <v>0.4</v>
      </c>
      <c r="O33" s="26" t="str">
        <f t="shared" si="3"/>
        <v>soal diterima baik</v>
      </c>
      <c r="P33" s="33"/>
      <c r="Q33" s="26">
        <v>28</v>
      </c>
      <c r="R33" s="25">
        <f t="shared" si="5"/>
        <v>1</v>
      </c>
      <c r="S33" s="25">
        <f t="shared" si="5"/>
        <v>0</v>
      </c>
      <c r="T33" s="25">
        <f t="shared" si="5"/>
        <v>1</v>
      </c>
      <c r="U33" s="25">
        <f t="shared" si="5"/>
        <v>1</v>
      </c>
      <c r="V33" s="25">
        <f t="shared" si="5"/>
        <v>1</v>
      </c>
      <c r="W33" s="25">
        <f t="shared" si="5"/>
        <v>1</v>
      </c>
      <c r="X33" s="25">
        <f t="shared" si="5"/>
        <v>0</v>
      </c>
      <c r="Y33" s="25">
        <f t="shared" si="5"/>
        <v>1</v>
      </c>
      <c r="Z33" s="25">
        <f t="shared" si="5"/>
        <v>0</v>
      </c>
      <c r="AA33" s="25">
        <f t="shared" si="5"/>
        <v>0</v>
      </c>
      <c r="AB33" s="3">
        <f t="shared" si="6"/>
        <v>0.6</v>
      </c>
      <c r="AC33" s="3">
        <f t="shared" si="7"/>
        <v>0.4</v>
      </c>
      <c r="AD33" s="3">
        <f t="shared" si="8"/>
        <v>0.24</v>
      </c>
      <c r="AE33" s="20"/>
    </row>
    <row r="34" spans="1:31" ht="28" x14ac:dyDescent="0.3">
      <c r="A34" s="24" t="s">
        <v>560</v>
      </c>
      <c r="B34" s="25">
        <v>1</v>
      </c>
      <c r="C34" s="25">
        <v>1</v>
      </c>
      <c r="D34" s="25">
        <v>1</v>
      </c>
      <c r="E34" s="25">
        <v>1</v>
      </c>
      <c r="F34" s="25">
        <v>1</v>
      </c>
      <c r="G34" s="25">
        <v>0</v>
      </c>
      <c r="H34" s="25">
        <v>1</v>
      </c>
      <c r="I34" s="25">
        <v>0</v>
      </c>
      <c r="J34" s="25">
        <v>0</v>
      </c>
      <c r="K34" s="25">
        <v>0</v>
      </c>
      <c r="L34" s="3">
        <f t="shared" si="0"/>
        <v>0.6</v>
      </c>
      <c r="M34" s="26" t="str">
        <f t="shared" si="1"/>
        <v>sedang</v>
      </c>
      <c r="N34" s="3">
        <f t="shared" si="2"/>
        <v>0.8</v>
      </c>
      <c r="O34" s="26" t="str">
        <f t="shared" si="3"/>
        <v>soal diterima baik</v>
      </c>
      <c r="P34" s="33"/>
      <c r="Q34" s="26">
        <v>29</v>
      </c>
      <c r="R34" s="25">
        <f t="shared" si="5"/>
        <v>0</v>
      </c>
      <c r="S34" s="25">
        <f t="shared" si="5"/>
        <v>1</v>
      </c>
      <c r="T34" s="25">
        <f t="shared" si="5"/>
        <v>1</v>
      </c>
      <c r="U34" s="25">
        <f t="shared" si="5"/>
        <v>1</v>
      </c>
      <c r="V34" s="25">
        <f t="shared" si="5"/>
        <v>1</v>
      </c>
      <c r="W34" s="25">
        <f t="shared" si="5"/>
        <v>0</v>
      </c>
      <c r="X34" s="25">
        <f t="shared" si="5"/>
        <v>1</v>
      </c>
      <c r="Y34" s="25">
        <f t="shared" si="5"/>
        <v>1</v>
      </c>
      <c r="Z34" s="25">
        <f t="shared" si="5"/>
        <v>0</v>
      </c>
      <c r="AA34" s="25">
        <f t="shared" si="5"/>
        <v>0</v>
      </c>
      <c r="AB34" s="3">
        <f t="shared" si="6"/>
        <v>0.6</v>
      </c>
      <c r="AC34" s="3">
        <f t="shared" si="7"/>
        <v>0.4</v>
      </c>
      <c r="AD34" s="3">
        <f t="shared" si="8"/>
        <v>0.24</v>
      </c>
      <c r="AE34" s="20"/>
    </row>
    <row r="35" spans="1:31" ht="28" x14ac:dyDescent="0.3">
      <c r="A35" s="28" t="s">
        <v>561</v>
      </c>
      <c r="B35" s="25">
        <v>0</v>
      </c>
      <c r="C35" s="25">
        <v>0</v>
      </c>
      <c r="D35" s="25">
        <v>0</v>
      </c>
      <c r="E35" s="25">
        <v>0</v>
      </c>
      <c r="F35" s="25">
        <v>0</v>
      </c>
      <c r="G35" s="25">
        <v>1</v>
      </c>
      <c r="H35" s="25">
        <v>0</v>
      </c>
      <c r="I35" s="25">
        <v>1</v>
      </c>
      <c r="J35" s="25">
        <v>1</v>
      </c>
      <c r="K35" s="25">
        <v>1</v>
      </c>
      <c r="L35" s="3">
        <f t="shared" si="0"/>
        <v>0.4</v>
      </c>
      <c r="M35" s="26" t="str">
        <f t="shared" si="1"/>
        <v>sedang</v>
      </c>
      <c r="N35" s="3">
        <f t="shared" si="2"/>
        <v>0.8</v>
      </c>
      <c r="O35" s="26" t="str">
        <f t="shared" si="3"/>
        <v>soal diterima baik</v>
      </c>
      <c r="P35" s="33"/>
      <c r="Q35" s="26">
        <v>30</v>
      </c>
      <c r="R35" s="25">
        <f t="shared" si="5"/>
        <v>1</v>
      </c>
      <c r="S35" s="25">
        <f t="shared" si="5"/>
        <v>1</v>
      </c>
      <c r="T35" s="25">
        <f t="shared" si="5"/>
        <v>1</v>
      </c>
      <c r="U35" s="25">
        <f t="shared" si="5"/>
        <v>1</v>
      </c>
      <c r="V35" s="25">
        <f t="shared" si="5"/>
        <v>1</v>
      </c>
      <c r="W35" s="25">
        <f t="shared" si="5"/>
        <v>0</v>
      </c>
      <c r="X35" s="25">
        <f t="shared" si="5"/>
        <v>1</v>
      </c>
      <c r="Y35" s="25">
        <f t="shared" si="5"/>
        <v>0</v>
      </c>
      <c r="Z35" s="25">
        <f t="shared" si="5"/>
        <v>0</v>
      </c>
      <c r="AA35" s="25">
        <f t="shared" si="5"/>
        <v>0</v>
      </c>
      <c r="AB35" s="3">
        <f t="shared" si="6"/>
        <v>0.6</v>
      </c>
      <c r="AC35" s="3">
        <f t="shared" si="7"/>
        <v>0.4</v>
      </c>
      <c r="AD35" s="3">
        <f t="shared" si="8"/>
        <v>0.24</v>
      </c>
      <c r="AE35" s="20"/>
    </row>
    <row r="36" spans="1:31" ht="28" x14ac:dyDescent="0.3">
      <c r="A36" s="24" t="s">
        <v>562</v>
      </c>
      <c r="B36" s="25">
        <v>0</v>
      </c>
      <c r="C36" s="25">
        <v>1</v>
      </c>
      <c r="D36" s="25">
        <v>1</v>
      </c>
      <c r="E36" s="25">
        <v>1</v>
      </c>
      <c r="F36" s="25">
        <v>1</v>
      </c>
      <c r="G36" s="25">
        <v>1</v>
      </c>
      <c r="H36" s="25">
        <v>0</v>
      </c>
      <c r="I36" s="25">
        <v>1</v>
      </c>
      <c r="J36" s="25">
        <v>0</v>
      </c>
      <c r="K36" s="25">
        <v>0</v>
      </c>
      <c r="L36" s="3">
        <f t="shared" si="0"/>
        <v>0.6</v>
      </c>
      <c r="M36" s="26" t="str">
        <f t="shared" si="1"/>
        <v>sedang</v>
      </c>
      <c r="N36" s="3">
        <f t="shared" si="2"/>
        <v>0.4</v>
      </c>
      <c r="O36" s="26" t="str">
        <f t="shared" si="3"/>
        <v>soal diterima baik</v>
      </c>
      <c r="P36" s="33"/>
      <c r="Q36" s="26">
        <v>31</v>
      </c>
      <c r="R36" s="25">
        <f t="shared" si="5"/>
        <v>0</v>
      </c>
      <c r="S36" s="25">
        <f t="shared" si="5"/>
        <v>0</v>
      </c>
      <c r="T36" s="25">
        <f t="shared" si="5"/>
        <v>0</v>
      </c>
      <c r="U36" s="25">
        <f t="shared" si="5"/>
        <v>0</v>
      </c>
      <c r="V36" s="25">
        <f t="shared" si="5"/>
        <v>0</v>
      </c>
      <c r="W36" s="25">
        <f t="shared" si="5"/>
        <v>1</v>
      </c>
      <c r="X36" s="25">
        <f t="shared" si="5"/>
        <v>0</v>
      </c>
      <c r="Y36" s="25">
        <f t="shared" si="5"/>
        <v>1</v>
      </c>
      <c r="Z36" s="25">
        <f t="shared" si="5"/>
        <v>1</v>
      </c>
      <c r="AA36" s="25">
        <f t="shared" si="5"/>
        <v>1</v>
      </c>
      <c r="AB36" s="3">
        <f t="shared" si="6"/>
        <v>0.4</v>
      </c>
      <c r="AC36" s="3">
        <f t="shared" si="7"/>
        <v>0.6</v>
      </c>
      <c r="AD36" s="3">
        <f t="shared" si="8"/>
        <v>0.24</v>
      </c>
      <c r="AE36" s="20"/>
    </row>
    <row r="37" spans="1:31" ht="70" x14ac:dyDescent="0.3">
      <c r="A37" s="24" t="s">
        <v>563</v>
      </c>
      <c r="B37" s="25">
        <v>1</v>
      </c>
      <c r="C37" s="25">
        <v>0</v>
      </c>
      <c r="D37" s="25">
        <v>1</v>
      </c>
      <c r="E37" s="25">
        <v>0</v>
      </c>
      <c r="F37" s="25">
        <v>1</v>
      </c>
      <c r="G37" s="25">
        <v>1</v>
      </c>
      <c r="H37" s="25">
        <v>1</v>
      </c>
      <c r="I37" s="25">
        <v>1</v>
      </c>
      <c r="J37" s="25">
        <v>1</v>
      </c>
      <c r="K37" s="25">
        <v>1</v>
      </c>
      <c r="L37" s="3">
        <f t="shared" si="0"/>
        <v>0.8</v>
      </c>
      <c r="M37" s="26" t="str">
        <f t="shared" si="1"/>
        <v>mudah</v>
      </c>
      <c r="N37" s="3">
        <f t="shared" si="2"/>
        <v>0.4</v>
      </c>
      <c r="O37" s="26" t="str">
        <f t="shared" si="3"/>
        <v>soal diterima baik</v>
      </c>
      <c r="P37" s="33"/>
      <c r="Q37" s="26">
        <v>32</v>
      </c>
      <c r="R37" s="25">
        <f t="shared" si="5"/>
        <v>0</v>
      </c>
      <c r="S37" s="25">
        <f t="shared" si="5"/>
        <v>1</v>
      </c>
      <c r="T37" s="25">
        <f t="shared" si="5"/>
        <v>1</v>
      </c>
      <c r="U37" s="25">
        <f t="shared" si="5"/>
        <v>1</v>
      </c>
      <c r="V37" s="25">
        <f t="shared" si="5"/>
        <v>1</v>
      </c>
      <c r="W37" s="25">
        <f t="shared" si="5"/>
        <v>1</v>
      </c>
      <c r="X37" s="25">
        <f t="shared" si="5"/>
        <v>0</v>
      </c>
      <c r="Y37" s="25">
        <f t="shared" si="5"/>
        <v>1</v>
      </c>
      <c r="Z37" s="25">
        <f t="shared" si="5"/>
        <v>0</v>
      </c>
      <c r="AA37" s="25">
        <f t="shared" si="5"/>
        <v>0</v>
      </c>
      <c r="AB37" s="3">
        <f t="shared" si="6"/>
        <v>0.6</v>
      </c>
      <c r="AC37" s="3">
        <f t="shared" si="7"/>
        <v>0.4</v>
      </c>
      <c r="AD37" s="3">
        <f t="shared" si="8"/>
        <v>0.24</v>
      </c>
      <c r="AE37" s="20"/>
    </row>
    <row r="38" spans="1:31" ht="42" x14ac:dyDescent="0.3">
      <c r="A38" s="28" t="s">
        <v>564</v>
      </c>
      <c r="B38" s="25">
        <v>1</v>
      </c>
      <c r="C38" s="25">
        <v>1</v>
      </c>
      <c r="D38" s="25">
        <v>1</v>
      </c>
      <c r="E38" s="25">
        <v>1</v>
      </c>
      <c r="F38" s="25">
        <v>1</v>
      </c>
      <c r="G38" s="25">
        <v>0</v>
      </c>
      <c r="H38" s="25">
        <v>1</v>
      </c>
      <c r="I38" s="25">
        <v>1</v>
      </c>
      <c r="J38" s="25">
        <v>1</v>
      </c>
      <c r="K38" s="25">
        <v>0</v>
      </c>
      <c r="L38" s="3">
        <f t="shared" si="0"/>
        <v>0.8</v>
      </c>
      <c r="M38" s="26" t="str">
        <f t="shared" si="1"/>
        <v>mudah</v>
      </c>
      <c r="N38" s="3">
        <f t="shared" si="2"/>
        <v>0.4</v>
      </c>
      <c r="O38" s="26" t="str">
        <f t="shared" si="3"/>
        <v>soal diterima baik</v>
      </c>
      <c r="P38" s="33"/>
      <c r="Q38" s="26">
        <v>33</v>
      </c>
      <c r="R38" s="25">
        <f t="shared" si="5"/>
        <v>1</v>
      </c>
      <c r="S38" s="25">
        <f t="shared" si="5"/>
        <v>0</v>
      </c>
      <c r="T38" s="25">
        <f t="shared" si="5"/>
        <v>1</v>
      </c>
      <c r="U38" s="25">
        <f t="shared" si="5"/>
        <v>0</v>
      </c>
      <c r="V38" s="25">
        <f t="shared" si="5"/>
        <v>1</v>
      </c>
      <c r="W38" s="25">
        <f t="shared" si="5"/>
        <v>1</v>
      </c>
      <c r="X38" s="25">
        <f t="shared" si="5"/>
        <v>1</v>
      </c>
      <c r="Y38" s="25">
        <f t="shared" si="5"/>
        <v>1</v>
      </c>
      <c r="Z38" s="25">
        <f t="shared" si="5"/>
        <v>1</v>
      </c>
      <c r="AA38" s="25">
        <f t="shared" si="5"/>
        <v>1</v>
      </c>
      <c r="AB38" s="3">
        <f t="shared" si="6"/>
        <v>0.8</v>
      </c>
      <c r="AC38" s="3">
        <f t="shared" si="7"/>
        <v>0.19999999999999996</v>
      </c>
      <c r="AD38" s="3">
        <f t="shared" si="8"/>
        <v>0.15999999999999998</v>
      </c>
      <c r="AE38" s="20"/>
    </row>
    <row r="39" spans="1:31" ht="63.75" customHeight="1" x14ac:dyDescent="0.3">
      <c r="A39" s="30" t="s">
        <v>565</v>
      </c>
      <c r="B39" s="25">
        <v>1</v>
      </c>
      <c r="C39" s="25">
        <v>0</v>
      </c>
      <c r="D39" s="25">
        <v>1</v>
      </c>
      <c r="E39" s="25">
        <v>1</v>
      </c>
      <c r="F39" s="25">
        <v>0</v>
      </c>
      <c r="G39" s="25">
        <v>1</v>
      </c>
      <c r="H39" s="25">
        <v>1</v>
      </c>
      <c r="I39" s="25">
        <v>1</v>
      </c>
      <c r="J39" s="25">
        <v>1</v>
      </c>
      <c r="K39" s="25">
        <v>1</v>
      </c>
      <c r="L39" s="3">
        <f t="shared" si="0"/>
        <v>0.8</v>
      </c>
      <c r="M39" s="26" t="str">
        <f t="shared" si="1"/>
        <v>mudah</v>
      </c>
      <c r="N39" s="3">
        <f t="shared" si="2"/>
        <v>0.4</v>
      </c>
      <c r="O39" s="26" t="str">
        <f t="shared" si="3"/>
        <v>soal diterima baik</v>
      </c>
      <c r="P39" s="33"/>
      <c r="Q39" s="26">
        <v>34</v>
      </c>
      <c r="R39" s="25">
        <f t="shared" si="5"/>
        <v>1</v>
      </c>
      <c r="S39" s="25">
        <f t="shared" si="5"/>
        <v>1</v>
      </c>
      <c r="T39" s="25">
        <f t="shared" si="5"/>
        <v>1</v>
      </c>
      <c r="U39" s="25">
        <f t="shared" si="5"/>
        <v>1</v>
      </c>
      <c r="V39" s="25">
        <f t="shared" si="5"/>
        <v>1</v>
      </c>
      <c r="W39" s="25">
        <f t="shared" si="5"/>
        <v>0</v>
      </c>
      <c r="X39" s="25">
        <f t="shared" si="5"/>
        <v>1</v>
      </c>
      <c r="Y39" s="25">
        <f t="shared" si="5"/>
        <v>1</v>
      </c>
      <c r="Z39" s="25">
        <f t="shared" si="5"/>
        <v>1</v>
      </c>
      <c r="AA39" s="25">
        <f t="shared" si="5"/>
        <v>0</v>
      </c>
      <c r="AB39" s="3">
        <f t="shared" si="6"/>
        <v>0.8</v>
      </c>
      <c r="AC39" s="3">
        <f t="shared" si="7"/>
        <v>0.19999999999999996</v>
      </c>
      <c r="AD39" s="3">
        <f t="shared" si="8"/>
        <v>0.15999999999999998</v>
      </c>
      <c r="AE39" s="20"/>
    </row>
    <row r="40" spans="1:31" ht="48" customHeight="1" x14ac:dyDescent="0.3">
      <c r="A40" s="30" t="s">
        <v>566</v>
      </c>
      <c r="B40" s="25">
        <v>0</v>
      </c>
      <c r="C40" s="25">
        <v>1</v>
      </c>
      <c r="D40" s="25">
        <v>0</v>
      </c>
      <c r="E40" s="25">
        <v>0</v>
      </c>
      <c r="F40" s="25">
        <v>1</v>
      </c>
      <c r="G40" s="25">
        <v>1</v>
      </c>
      <c r="H40" s="25">
        <v>1</v>
      </c>
      <c r="I40" s="25">
        <v>0</v>
      </c>
      <c r="J40" s="25">
        <v>1</v>
      </c>
      <c r="K40" s="25">
        <v>1</v>
      </c>
      <c r="L40" s="3">
        <f t="shared" si="0"/>
        <v>0.6</v>
      </c>
      <c r="M40" s="26" t="str">
        <f t="shared" si="1"/>
        <v>sedang</v>
      </c>
      <c r="N40" s="3">
        <f t="shared" si="2"/>
        <v>0.4</v>
      </c>
      <c r="O40" s="26" t="str">
        <f t="shared" si="3"/>
        <v>soal diterima baik</v>
      </c>
      <c r="P40" s="33"/>
      <c r="Q40" s="26">
        <v>35</v>
      </c>
      <c r="R40" s="25">
        <f t="shared" si="5"/>
        <v>1</v>
      </c>
      <c r="S40" s="25">
        <f t="shared" si="5"/>
        <v>0</v>
      </c>
      <c r="T40" s="25">
        <f t="shared" si="5"/>
        <v>1</v>
      </c>
      <c r="U40" s="25">
        <f t="shared" si="5"/>
        <v>1</v>
      </c>
      <c r="V40" s="25">
        <f t="shared" si="5"/>
        <v>0</v>
      </c>
      <c r="W40" s="25">
        <f t="shared" si="5"/>
        <v>1</v>
      </c>
      <c r="X40" s="25">
        <f t="shared" si="5"/>
        <v>1</v>
      </c>
      <c r="Y40" s="25">
        <f t="shared" si="5"/>
        <v>1</v>
      </c>
      <c r="Z40" s="25">
        <f t="shared" si="5"/>
        <v>1</v>
      </c>
      <c r="AA40" s="25">
        <f t="shared" si="5"/>
        <v>1</v>
      </c>
      <c r="AB40" s="3">
        <f t="shared" si="6"/>
        <v>0.8</v>
      </c>
      <c r="AC40" s="3">
        <f t="shared" si="7"/>
        <v>0.19999999999999996</v>
      </c>
      <c r="AD40" s="3">
        <f t="shared" si="8"/>
        <v>0.15999999999999998</v>
      </c>
      <c r="AE40" s="20"/>
    </row>
    <row r="41" spans="1:31" ht="50.25" customHeight="1" x14ac:dyDescent="0.3">
      <c r="A41" s="24" t="s">
        <v>567</v>
      </c>
      <c r="B41" s="25">
        <v>0</v>
      </c>
      <c r="C41" s="25">
        <v>1</v>
      </c>
      <c r="D41" s="25">
        <v>1</v>
      </c>
      <c r="E41" s="25">
        <v>0</v>
      </c>
      <c r="F41" s="25">
        <v>1</v>
      </c>
      <c r="G41" s="25">
        <v>1</v>
      </c>
      <c r="H41" s="25">
        <v>1</v>
      </c>
      <c r="I41" s="25">
        <v>1</v>
      </c>
      <c r="J41" s="25">
        <v>1</v>
      </c>
      <c r="K41" s="25">
        <v>1</v>
      </c>
      <c r="L41" s="3">
        <f t="shared" si="0"/>
        <v>0.8</v>
      </c>
      <c r="M41" s="26" t="str">
        <f t="shared" si="1"/>
        <v>mudah</v>
      </c>
      <c r="N41" s="3">
        <f t="shared" si="2"/>
        <v>0.4</v>
      </c>
      <c r="O41" s="26" t="str">
        <f t="shared" si="3"/>
        <v>soal diterima baik</v>
      </c>
      <c r="P41" s="33"/>
      <c r="Q41" s="26">
        <v>36</v>
      </c>
      <c r="R41" s="25">
        <f t="shared" si="5"/>
        <v>0</v>
      </c>
      <c r="S41" s="25">
        <f t="shared" si="5"/>
        <v>1</v>
      </c>
      <c r="T41" s="25">
        <f t="shared" si="5"/>
        <v>0</v>
      </c>
      <c r="U41" s="25">
        <f t="shared" si="5"/>
        <v>0</v>
      </c>
      <c r="V41" s="25">
        <f t="shared" si="5"/>
        <v>1</v>
      </c>
      <c r="W41" s="25">
        <f t="shared" si="5"/>
        <v>1</v>
      </c>
      <c r="X41" s="25">
        <f t="shared" si="5"/>
        <v>1</v>
      </c>
      <c r="Y41" s="25">
        <f t="shared" si="5"/>
        <v>0</v>
      </c>
      <c r="Z41" s="25">
        <f t="shared" si="5"/>
        <v>1</v>
      </c>
      <c r="AA41" s="25">
        <f t="shared" si="5"/>
        <v>1</v>
      </c>
      <c r="AB41" s="3">
        <f t="shared" si="6"/>
        <v>0.6</v>
      </c>
      <c r="AC41" s="3">
        <f t="shared" si="7"/>
        <v>0.4</v>
      </c>
      <c r="AD41" s="3">
        <f t="shared" si="8"/>
        <v>0.24</v>
      </c>
      <c r="AE41" s="20"/>
    </row>
    <row r="42" spans="1:31" ht="70" x14ac:dyDescent="0.3">
      <c r="A42" s="30" t="s">
        <v>568</v>
      </c>
      <c r="B42" s="25">
        <v>0</v>
      </c>
      <c r="C42" s="25">
        <v>1</v>
      </c>
      <c r="D42" s="25">
        <v>1</v>
      </c>
      <c r="E42" s="25">
        <v>1</v>
      </c>
      <c r="F42" s="25">
        <v>1</v>
      </c>
      <c r="G42" s="25">
        <v>1</v>
      </c>
      <c r="H42" s="25">
        <v>0</v>
      </c>
      <c r="I42" s="25">
        <v>1</v>
      </c>
      <c r="J42" s="25">
        <v>0</v>
      </c>
      <c r="K42" s="25">
        <v>0</v>
      </c>
      <c r="L42" s="3">
        <f t="shared" si="0"/>
        <v>0.6</v>
      </c>
      <c r="M42" s="26" t="str">
        <f t="shared" si="1"/>
        <v>sedang</v>
      </c>
      <c r="N42" s="3">
        <f t="shared" si="2"/>
        <v>0.4</v>
      </c>
      <c r="O42" s="26" t="str">
        <f t="shared" si="3"/>
        <v>soal diterima baik</v>
      </c>
      <c r="P42" s="33"/>
      <c r="Q42" s="26">
        <v>37</v>
      </c>
      <c r="R42" s="25">
        <f t="shared" si="5"/>
        <v>0</v>
      </c>
      <c r="S42" s="25">
        <f t="shared" si="5"/>
        <v>1</v>
      </c>
      <c r="T42" s="25">
        <f t="shared" si="5"/>
        <v>1</v>
      </c>
      <c r="U42" s="25">
        <f t="shared" si="5"/>
        <v>0</v>
      </c>
      <c r="V42" s="25">
        <f t="shared" si="5"/>
        <v>1</v>
      </c>
      <c r="W42" s="25">
        <f t="shared" si="5"/>
        <v>1</v>
      </c>
      <c r="X42" s="25">
        <f t="shared" si="5"/>
        <v>1</v>
      </c>
      <c r="Y42" s="25">
        <f t="shared" si="5"/>
        <v>1</v>
      </c>
      <c r="Z42" s="25">
        <f t="shared" si="5"/>
        <v>1</v>
      </c>
      <c r="AA42" s="25">
        <f t="shared" si="5"/>
        <v>1</v>
      </c>
      <c r="AB42" s="3">
        <f t="shared" si="6"/>
        <v>0.8</v>
      </c>
      <c r="AC42" s="3">
        <f t="shared" si="7"/>
        <v>0.19999999999999996</v>
      </c>
      <c r="AD42" s="3">
        <f t="shared" si="8"/>
        <v>0.15999999999999998</v>
      </c>
      <c r="AE42" s="20"/>
    </row>
    <row r="43" spans="1:31" ht="28" x14ac:dyDescent="0.3">
      <c r="A43" s="28" t="s">
        <v>569</v>
      </c>
      <c r="B43" s="25">
        <v>0</v>
      </c>
      <c r="C43" s="25">
        <v>0</v>
      </c>
      <c r="D43" s="25">
        <v>1</v>
      </c>
      <c r="E43" s="25">
        <v>1</v>
      </c>
      <c r="F43" s="25">
        <v>0</v>
      </c>
      <c r="G43" s="25">
        <v>1</v>
      </c>
      <c r="H43" s="25">
        <v>1</v>
      </c>
      <c r="I43" s="25">
        <v>1</v>
      </c>
      <c r="J43" s="25">
        <v>1</v>
      </c>
      <c r="K43" s="25">
        <v>0</v>
      </c>
      <c r="L43" s="3">
        <f t="shared" si="0"/>
        <v>0.6</v>
      </c>
      <c r="M43" s="26" t="str">
        <f t="shared" si="1"/>
        <v>sedang</v>
      </c>
      <c r="N43" s="3">
        <f t="shared" si="2"/>
        <v>0.4</v>
      </c>
      <c r="O43" s="26" t="str">
        <f t="shared" si="3"/>
        <v>soal diterima baik</v>
      </c>
      <c r="P43" s="33"/>
      <c r="Q43" s="26">
        <v>38</v>
      </c>
      <c r="R43" s="25">
        <f t="shared" si="5"/>
        <v>0</v>
      </c>
      <c r="S43" s="25">
        <f t="shared" si="5"/>
        <v>1</v>
      </c>
      <c r="T43" s="25">
        <f t="shared" si="5"/>
        <v>1</v>
      </c>
      <c r="U43" s="25">
        <f t="shared" si="5"/>
        <v>1</v>
      </c>
      <c r="V43" s="25">
        <f t="shared" si="5"/>
        <v>1</v>
      </c>
      <c r="W43" s="25">
        <f t="shared" si="5"/>
        <v>1</v>
      </c>
      <c r="X43" s="25">
        <f t="shared" si="5"/>
        <v>0</v>
      </c>
      <c r="Y43" s="25">
        <f t="shared" si="5"/>
        <v>1</v>
      </c>
      <c r="Z43" s="25">
        <f t="shared" si="5"/>
        <v>0</v>
      </c>
      <c r="AA43" s="25">
        <f t="shared" si="5"/>
        <v>0</v>
      </c>
      <c r="AB43" s="3">
        <f t="shared" si="6"/>
        <v>0.6</v>
      </c>
      <c r="AC43" s="3">
        <f t="shared" si="7"/>
        <v>0.4</v>
      </c>
      <c r="AD43" s="3">
        <f t="shared" si="8"/>
        <v>0.24</v>
      </c>
      <c r="AE43" s="20"/>
    </row>
    <row r="44" spans="1:31" ht="28" x14ac:dyDescent="0.3">
      <c r="A44" s="30" t="s">
        <v>570</v>
      </c>
      <c r="B44" s="25">
        <v>0</v>
      </c>
      <c r="C44" s="25">
        <v>0</v>
      </c>
      <c r="D44" s="25">
        <v>1</v>
      </c>
      <c r="E44" s="25">
        <v>0</v>
      </c>
      <c r="F44" s="25">
        <v>1</v>
      </c>
      <c r="G44" s="25">
        <v>1</v>
      </c>
      <c r="H44" s="25">
        <v>1</v>
      </c>
      <c r="I44" s="25">
        <v>1</v>
      </c>
      <c r="J44" s="25">
        <v>0</v>
      </c>
      <c r="K44" s="25">
        <v>1</v>
      </c>
      <c r="L44" s="3">
        <f t="shared" si="0"/>
        <v>0.6</v>
      </c>
      <c r="M44" s="26" t="str">
        <f t="shared" si="1"/>
        <v>sedang</v>
      </c>
      <c r="N44" s="3">
        <f t="shared" si="2"/>
        <v>0.4</v>
      </c>
      <c r="O44" s="26" t="str">
        <f t="shared" si="3"/>
        <v>soal diterima baik</v>
      </c>
      <c r="P44" s="33"/>
      <c r="Q44" s="26">
        <v>39</v>
      </c>
      <c r="R44" s="25">
        <f t="shared" si="5"/>
        <v>0</v>
      </c>
      <c r="S44" s="25">
        <f t="shared" si="5"/>
        <v>0</v>
      </c>
      <c r="T44" s="25">
        <f t="shared" si="5"/>
        <v>1</v>
      </c>
      <c r="U44" s="25">
        <f t="shared" si="5"/>
        <v>1</v>
      </c>
      <c r="V44" s="25">
        <f t="shared" si="5"/>
        <v>0</v>
      </c>
      <c r="W44" s="25">
        <f t="shared" si="5"/>
        <v>1</v>
      </c>
      <c r="X44" s="25">
        <f t="shared" si="5"/>
        <v>1</v>
      </c>
      <c r="Y44" s="25">
        <f t="shared" si="5"/>
        <v>1</v>
      </c>
      <c r="Z44" s="25">
        <f t="shared" si="5"/>
        <v>1</v>
      </c>
      <c r="AA44" s="25">
        <f t="shared" si="5"/>
        <v>0</v>
      </c>
      <c r="AB44" s="3">
        <f t="shared" si="6"/>
        <v>0.6</v>
      </c>
      <c r="AC44" s="3">
        <f t="shared" si="7"/>
        <v>0.4</v>
      </c>
      <c r="AD44" s="3">
        <f t="shared" si="8"/>
        <v>0.24</v>
      </c>
      <c r="AE44" s="20"/>
    </row>
    <row r="45" spans="1:31" ht="28" x14ac:dyDescent="0.3">
      <c r="A45" s="28" t="s">
        <v>571</v>
      </c>
      <c r="B45" s="25">
        <v>1</v>
      </c>
      <c r="C45" s="25">
        <v>1</v>
      </c>
      <c r="D45" s="25">
        <v>1</v>
      </c>
      <c r="E45" s="25">
        <v>1</v>
      </c>
      <c r="F45" s="25">
        <v>1</v>
      </c>
      <c r="G45" s="25">
        <v>0</v>
      </c>
      <c r="H45" s="25">
        <v>1</v>
      </c>
      <c r="I45" s="25">
        <v>1</v>
      </c>
      <c r="J45" s="25">
        <v>0</v>
      </c>
      <c r="K45" s="25">
        <v>1</v>
      </c>
      <c r="L45" s="3">
        <f t="shared" si="0"/>
        <v>0.8</v>
      </c>
      <c r="M45" s="26" t="str">
        <f t="shared" si="1"/>
        <v>mudah</v>
      </c>
      <c r="N45" s="3">
        <f t="shared" si="2"/>
        <v>0.4</v>
      </c>
      <c r="O45" s="26" t="str">
        <f t="shared" si="3"/>
        <v>soal diterima baik</v>
      </c>
      <c r="P45" s="33"/>
      <c r="Q45" s="26">
        <v>40</v>
      </c>
      <c r="R45" s="25">
        <f t="shared" si="5"/>
        <v>0</v>
      </c>
      <c r="S45" s="25">
        <f t="shared" si="5"/>
        <v>0</v>
      </c>
      <c r="T45" s="25">
        <f t="shared" si="5"/>
        <v>1</v>
      </c>
      <c r="U45" s="25">
        <f t="shared" si="5"/>
        <v>0</v>
      </c>
      <c r="V45" s="25">
        <f t="shared" si="5"/>
        <v>1</v>
      </c>
      <c r="W45" s="25">
        <f t="shared" si="5"/>
        <v>1</v>
      </c>
      <c r="X45" s="25">
        <f t="shared" si="5"/>
        <v>1</v>
      </c>
      <c r="Y45" s="25">
        <f t="shared" si="5"/>
        <v>1</v>
      </c>
      <c r="Z45" s="25">
        <f t="shared" si="5"/>
        <v>0</v>
      </c>
      <c r="AA45" s="25">
        <f t="shared" si="5"/>
        <v>1</v>
      </c>
      <c r="AB45" s="3">
        <f t="shared" si="6"/>
        <v>0.6</v>
      </c>
      <c r="AC45" s="3">
        <f t="shared" si="7"/>
        <v>0.4</v>
      </c>
      <c r="AD45" s="3">
        <f t="shared" si="8"/>
        <v>0.24</v>
      </c>
      <c r="AE45" s="20"/>
    </row>
    <row r="46" spans="1:31" ht="28" x14ac:dyDescent="0.3">
      <c r="A46" s="30" t="s">
        <v>572</v>
      </c>
      <c r="B46" s="25">
        <v>1</v>
      </c>
      <c r="C46" s="25">
        <v>0</v>
      </c>
      <c r="D46" s="25">
        <v>1</v>
      </c>
      <c r="E46" s="25">
        <v>1</v>
      </c>
      <c r="F46" s="25">
        <v>1</v>
      </c>
      <c r="G46" s="25">
        <v>1</v>
      </c>
      <c r="H46" s="25">
        <v>0</v>
      </c>
      <c r="I46" s="25">
        <v>1</v>
      </c>
      <c r="J46" s="25">
        <v>0</v>
      </c>
      <c r="K46" s="25">
        <v>0</v>
      </c>
      <c r="L46" s="3">
        <f t="shared" si="0"/>
        <v>0.6</v>
      </c>
      <c r="M46" s="26" t="str">
        <f t="shared" si="1"/>
        <v>sedang</v>
      </c>
      <c r="N46" s="3">
        <f t="shared" si="2"/>
        <v>0.4</v>
      </c>
      <c r="O46" s="26" t="str">
        <f t="shared" si="3"/>
        <v>soal diterima baik</v>
      </c>
      <c r="P46" s="33"/>
      <c r="Q46" s="26">
        <v>41</v>
      </c>
      <c r="R46" s="25">
        <f t="shared" ref="R46:AA71" si="9">B45</f>
        <v>1</v>
      </c>
      <c r="S46" s="25">
        <f t="shared" si="9"/>
        <v>1</v>
      </c>
      <c r="T46" s="25">
        <f t="shared" si="9"/>
        <v>1</v>
      </c>
      <c r="U46" s="25">
        <f t="shared" si="9"/>
        <v>1</v>
      </c>
      <c r="V46" s="25">
        <f t="shared" si="9"/>
        <v>1</v>
      </c>
      <c r="W46" s="25">
        <f t="shared" si="9"/>
        <v>0</v>
      </c>
      <c r="X46" s="25">
        <f t="shared" si="9"/>
        <v>1</v>
      </c>
      <c r="Y46" s="25">
        <f t="shared" si="9"/>
        <v>1</v>
      </c>
      <c r="Z46" s="25">
        <f t="shared" si="9"/>
        <v>0</v>
      </c>
      <c r="AA46" s="25">
        <f t="shared" si="9"/>
        <v>1</v>
      </c>
      <c r="AB46" s="3">
        <f t="shared" si="6"/>
        <v>0.8</v>
      </c>
      <c r="AC46" s="3">
        <f t="shared" si="7"/>
        <v>0.19999999999999996</v>
      </c>
      <c r="AD46" s="3">
        <f t="shared" si="8"/>
        <v>0.15999999999999998</v>
      </c>
      <c r="AE46" s="20"/>
    </row>
    <row r="47" spans="1:31" ht="28" x14ac:dyDescent="0.3">
      <c r="A47" s="28" t="s">
        <v>573</v>
      </c>
      <c r="B47" s="25">
        <v>0</v>
      </c>
      <c r="C47" s="25">
        <v>1</v>
      </c>
      <c r="D47" s="25">
        <v>1</v>
      </c>
      <c r="E47" s="25">
        <v>1</v>
      </c>
      <c r="F47" s="25">
        <v>1</v>
      </c>
      <c r="G47" s="25">
        <v>0</v>
      </c>
      <c r="H47" s="25">
        <v>1</v>
      </c>
      <c r="I47" s="25">
        <v>1</v>
      </c>
      <c r="J47" s="25">
        <v>0</v>
      </c>
      <c r="K47" s="25">
        <v>0</v>
      </c>
      <c r="L47" s="3">
        <f t="shared" si="0"/>
        <v>0.6</v>
      </c>
      <c r="M47" s="26" t="str">
        <f t="shared" si="1"/>
        <v>sedang</v>
      </c>
      <c r="N47" s="3">
        <f t="shared" si="2"/>
        <v>0.4</v>
      </c>
      <c r="O47" s="26" t="str">
        <f t="shared" si="3"/>
        <v>soal diterima baik</v>
      </c>
      <c r="P47" s="33"/>
      <c r="Q47" s="26">
        <v>42</v>
      </c>
      <c r="R47" s="25">
        <f t="shared" si="9"/>
        <v>1</v>
      </c>
      <c r="S47" s="25">
        <f t="shared" si="9"/>
        <v>0</v>
      </c>
      <c r="T47" s="25">
        <f t="shared" si="9"/>
        <v>1</v>
      </c>
      <c r="U47" s="25">
        <f t="shared" si="9"/>
        <v>1</v>
      </c>
      <c r="V47" s="25">
        <f t="shared" si="9"/>
        <v>1</v>
      </c>
      <c r="W47" s="25">
        <f t="shared" si="9"/>
        <v>1</v>
      </c>
      <c r="X47" s="25">
        <f t="shared" si="9"/>
        <v>0</v>
      </c>
      <c r="Y47" s="25">
        <f t="shared" si="9"/>
        <v>1</v>
      </c>
      <c r="Z47" s="25">
        <f t="shared" si="9"/>
        <v>0</v>
      </c>
      <c r="AA47" s="25">
        <f t="shared" si="9"/>
        <v>0</v>
      </c>
      <c r="AB47" s="3">
        <f t="shared" si="6"/>
        <v>0.6</v>
      </c>
      <c r="AC47" s="3">
        <f t="shared" si="7"/>
        <v>0.4</v>
      </c>
      <c r="AD47" s="3">
        <f t="shared" si="8"/>
        <v>0.24</v>
      </c>
      <c r="AE47" s="20"/>
    </row>
    <row r="48" spans="1:31" ht="28" x14ac:dyDescent="0.3">
      <c r="A48" s="24" t="s">
        <v>574</v>
      </c>
      <c r="B48" s="25">
        <v>1</v>
      </c>
      <c r="C48" s="25">
        <v>1</v>
      </c>
      <c r="D48" s="25">
        <v>1</v>
      </c>
      <c r="E48" s="25">
        <v>1</v>
      </c>
      <c r="F48" s="25">
        <v>1</v>
      </c>
      <c r="G48" s="25">
        <v>1</v>
      </c>
      <c r="H48" s="25">
        <v>0</v>
      </c>
      <c r="I48" s="25">
        <v>0</v>
      </c>
      <c r="J48" s="25">
        <v>0</v>
      </c>
      <c r="K48" s="25">
        <v>0</v>
      </c>
      <c r="L48" s="3">
        <f t="shared" si="0"/>
        <v>0.6</v>
      </c>
      <c r="M48" s="26" t="str">
        <f t="shared" si="1"/>
        <v>sedang</v>
      </c>
      <c r="N48" s="3">
        <f t="shared" si="2"/>
        <v>0.8</v>
      </c>
      <c r="O48" s="26" t="str">
        <f t="shared" si="3"/>
        <v>soal diterima baik</v>
      </c>
      <c r="P48" s="33"/>
      <c r="Q48" s="26">
        <v>43</v>
      </c>
      <c r="R48" s="25">
        <f t="shared" si="9"/>
        <v>0</v>
      </c>
      <c r="S48" s="25">
        <f t="shared" si="9"/>
        <v>1</v>
      </c>
      <c r="T48" s="25">
        <f t="shared" si="9"/>
        <v>1</v>
      </c>
      <c r="U48" s="25">
        <f t="shared" si="9"/>
        <v>1</v>
      </c>
      <c r="V48" s="25">
        <f t="shared" si="9"/>
        <v>1</v>
      </c>
      <c r="W48" s="25">
        <f t="shared" si="9"/>
        <v>0</v>
      </c>
      <c r="X48" s="25">
        <f t="shared" si="9"/>
        <v>1</v>
      </c>
      <c r="Y48" s="25">
        <f t="shared" si="9"/>
        <v>1</v>
      </c>
      <c r="Z48" s="25">
        <f t="shared" si="9"/>
        <v>0</v>
      </c>
      <c r="AA48" s="25">
        <f t="shared" si="9"/>
        <v>0</v>
      </c>
      <c r="AB48" s="3">
        <f t="shared" si="6"/>
        <v>0.6</v>
      </c>
      <c r="AC48" s="3">
        <f t="shared" si="7"/>
        <v>0.4</v>
      </c>
      <c r="AD48" s="3">
        <f t="shared" si="8"/>
        <v>0.24</v>
      </c>
      <c r="AE48" s="20"/>
    </row>
    <row r="49" spans="1:31" ht="28" x14ac:dyDescent="0.3">
      <c r="A49" s="28" t="s">
        <v>575</v>
      </c>
      <c r="B49" s="25">
        <v>1</v>
      </c>
      <c r="C49" s="25">
        <v>1</v>
      </c>
      <c r="D49" s="25">
        <v>1</v>
      </c>
      <c r="E49" s="25">
        <v>1</v>
      </c>
      <c r="F49" s="25">
        <v>0</v>
      </c>
      <c r="G49" s="25">
        <v>0</v>
      </c>
      <c r="H49" s="25">
        <v>1</v>
      </c>
      <c r="I49" s="25">
        <v>0</v>
      </c>
      <c r="J49" s="25">
        <v>0</v>
      </c>
      <c r="K49" s="25">
        <v>1</v>
      </c>
      <c r="L49" s="3">
        <f t="shared" si="0"/>
        <v>0.6</v>
      </c>
      <c r="M49" s="26" t="str">
        <f t="shared" si="1"/>
        <v>sedang</v>
      </c>
      <c r="N49" s="3">
        <f t="shared" si="2"/>
        <v>0.4</v>
      </c>
      <c r="O49" s="26" t="str">
        <f t="shared" si="3"/>
        <v>soal diterima baik</v>
      </c>
      <c r="P49" s="33"/>
      <c r="Q49" s="26">
        <v>44</v>
      </c>
      <c r="R49" s="25">
        <f t="shared" si="9"/>
        <v>1</v>
      </c>
      <c r="S49" s="25">
        <f t="shared" si="9"/>
        <v>1</v>
      </c>
      <c r="T49" s="25">
        <f t="shared" si="9"/>
        <v>1</v>
      </c>
      <c r="U49" s="25">
        <f t="shared" si="9"/>
        <v>1</v>
      </c>
      <c r="V49" s="25">
        <f t="shared" si="9"/>
        <v>1</v>
      </c>
      <c r="W49" s="25">
        <f t="shared" si="9"/>
        <v>1</v>
      </c>
      <c r="X49" s="25">
        <f t="shared" si="9"/>
        <v>0</v>
      </c>
      <c r="Y49" s="25">
        <f t="shared" si="9"/>
        <v>0</v>
      </c>
      <c r="Z49" s="25">
        <f t="shared" si="9"/>
        <v>0</v>
      </c>
      <c r="AA49" s="25">
        <f t="shared" si="9"/>
        <v>0</v>
      </c>
      <c r="AB49" s="3">
        <f t="shared" si="6"/>
        <v>0.6</v>
      </c>
      <c r="AC49" s="3">
        <f t="shared" si="7"/>
        <v>0.4</v>
      </c>
      <c r="AD49" s="3">
        <f t="shared" si="8"/>
        <v>0.24</v>
      </c>
      <c r="AE49" s="20"/>
    </row>
    <row r="50" spans="1:31" ht="42" x14ac:dyDescent="0.3">
      <c r="A50" s="30" t="s">
        <v>576</v>
      </c>
      <c r="B50" s="25">
        <v>1</v>
      </c>
      <c r="C50" s="25">
        <v>0</v>
      </c>
      <c r="D50" s="25">
        <v>1</v>
      </c>
      <c r="E50" s="25">
        <v>1</v>
      </c>
      <c r="F50" s="25">
        <v>1</v>
      </c>
      <c r="G50" s="25">
        <v>1</v>
      </c>
      <c r="H50" s="25">
        <v>1</v>
      </c>
      <c r="I50" s="25">
        <v>0</v>
      </c>
      <c r="J50" s="25">
        <v>0</v>
      </c>
      <c r="K50" s="25">
        <v>0</v>
      </c>
      <c r="L50" s="3">
        <f t="shared" si="0"/>
        <v>0.6</v>
      </c>
      <c r="M50" s="26" t="str">
        <f t="shared" si="1"/>
        <v>sedang</v>
      </c>
      <c r="N50" s="3">
        <f t="shared" si="2"/>
        <v>0.4</v>
      </c>
      <c r="O50" s="26" t="str">
        <f t="shared" si="3"/>
        <v>soal diterima baik</v>
      </c>
      <c r="P50" s="33"/>
      <c r="Q50" s="26">
        <v>45</v>
      </c>
      <c r="R50" s="25">
        <f t="shared" si="9"/>
        <v>1</v>
      </c>
      <c r="S50" s="25">
        <f t="shared" si="9"/>
        <v>1</v>
      </c>
      <c r="T50" s="25">
        <f t="shared" si="9"/>
        <v>1</v>
      </c>
      <c r="U50" s="25">
        <f t="shared" si="9"/>
        <v>1</v>
      </c>
      <c r="V50" s="25">
        <f t="shared" si="9"/>
        <v>0</v>
      </c>
      <c r="W50" s="25">
        <f t="shared" si="9"/>
        <v>0</v>
      </c>
      <c r="X50" s="25">
        <f t="shared" si="9"/>
        <v>1</v>
      </c>
      <c r="Y50" s="25">
        <f t="shared" si="9"/>
        <v>0</v>
      </c>
      <c r="Z50" s="25">
        <f t="shared" si="9"/>
        <v>0</v>
      </c>
      <c r="AA50" s="25">
        <f t="shared" si="9"/>
        <v>1</v>
      </c>
      <c r="AB50" s="3">
        <f t="shared" si="6"/>
        <v>0.6</v>
      </c>
      <c r="AC50" s="3">
        <f t="shared" si="7"/>
        <v>0.4</v>
      </c>
      <c r="AD50" s="3">
        <f t="shared" si="8"/>
        <v>0.24</v>
      </c>
      <c r="AE50" s="20"/>
    </row>
    <row r="51" spans="1:31" ht="28" x14ac:dyDescent="0.3">
      <c r="A51" s="30" t="s">
        <v>577</v>
      </c>
      <c r="B51" s="25">
        <v>0</v>
      </c>
      <c r="C51" s="25">
        <v>0</v>
      </c>
      <c r="D51" s="25">
        <v>1</v>
      </c>
      <c r="E51" s="25">
        <v>0</v>
      </c>
      <c r="F51" s="25">
        <v>0</v>
      </c>
      <c r="G51" s="25">
        <v>1</v>
      </c>
      <c r="H51" s="25">
        <v>1</v>
      </c>
      <c r="I51" s="25">
        <v>1</v>
      </c>
      <c r="J51" s="25">
        <v>1</v>
      </c>
      <c r="K51" s="25">
        <v>1</v>
      </c>
      <c r="L51" s="3">
        <f t="shared" si="0"/>
        <v>0.6</v>
      </c>
      <c r="M51" s="26" t="str">
        <f t="shared" si="1"/>
        <v>sedang</v>
      </c>
      <c r="N51" s="3">
        <f t="shared" si="2"/>
        <v>0.8</v>
      </c>
      <c r="O51" s="26" t="str">
        <f t="shared" si="3"/>
        <v>soal diterima baik</v>
      </c>
      <c r="P51" s="33"/>
      <c r="Q51" s="26">
        <v>46</v>
      </c>
      <c r="R51" s="25">
        <f t="shared" si="9"/>
        <v>1</v>
      </c>
      <c r="S51" s="25">
        <f t="shared" si="9"/>
        <v>0</v>
      </c>
      <c r="T51" s="25">
        <f t="shared" si="9"/>
        <v>1</v>
      </c>
      <c r="U51" s="25">
        <f t="shared" si="9"/>
        <v>1</v>
      </c>
      <c r="V51" s="25">
        <f t="shared" si="9"/>
        <v>1</v>
      </c>
      <c r="W51" s="25">
        <f t="shared" si="9"/>
        <v>1</v>
      </c>
      <c r="X51" s="25">
        <f t="shared" si="9"/>
        <v>1</v>
      </c>
      <c r="Y51" s="25">
        <f t="shared" si="9"/>
        <v>0</v>
      </c>
      <c r="Z51" s="25">
        <f t="shared" si="9"/>
        <v>0</v>
      </c>
      <c r="AA51" s="25">
        <f t="shared" si="9"/>
        <v>0</v>
      </c>
      <c r="AB51" s="3">
        <f t="shared" si="6"/>
        <v>0.6</v>
      </c>
      <c r="AC51" s="3">
        <f t="shared" si="7"/>
        <v>0.4</v>
      </c>
      <c r="AD51" s="3">
        <f t="shared" si="8"/>
        <v>0.24</v>
      </c>
      <c r="AE51" s="20"/>
    </row>
    <row r="52" spans="1:31" ht="42" x14ac:dyDescent="0.3">
      <c r="A52" s="28" t="s">
        <v>578</v>
      </c>
      <c r="B52" s="25">
        <v>0</v>
      </c>
      <c r="C52" s="25">
        <v>0</v>
      </c>
      <c r="D52" s="25">
        <v>1</v>
      </c>
      <c r="E52" s="25">
        <v>0</v>
      </c>
      <c r="F52" s="25">
        <v>0</v>
      </c>
      <c r="G52" s="25">
        <v>0</v>
      </c>
      <c r="H52" s="25">
        <v>1</v>
      </c>
      <c r="I52" s="25">
        <v>1</v>
      </c>
      <c r="J52" s="25">
        <v>0</v>
      </c>
      <c r="K52" s="25">
        <v>1</v>
      </c>
      <c r="L52" s="3">
        <f t="shared" si="0"/>
        <v>0.4</v>
      </c>
      <c r="M52" s="26" t="str">
        <f t="shared" si="1"/>
        <v>sedang</v>
      </c>
      <c r="N52" s="3">
        <f t="shared" si="2"/>
        <v>0.4</v>
      </c>
      <c r="O52" s="26" t="str">
        <f t="shared" si="3"/>
        <v>soal diterima baik</v>
      </c>
      <c r="P52" s="33"/>
      <c r="Q52" s="26">
        <v>47</v>
      </c>
      <c r="R52" s="25">
        <f t="shared" si="9"/>
        <v>0</v>
      </c>
      <c r="S52" s="25">
        <f t="shared" si="9"/>
        <v>0</v>
      </c>
      <c r="T52" s="25">
        <f t="shared" si="9"/>
        <v>1</v>
      </c>
      <c r="U52" s="25">
        <f t="shared" si="9"/>
        <v>0</v>
      </c>
      <c r="V52" s="25">
        <f t="shared" si="9"/>
        <v>0</v>
      </c>
      <c r="W52" s="25">
        <f t="shared" si="9"/>
        <v>1</v>
      </c>
      <c r="X52" s="25">
        <f t="shared" si="9"/>
        <v>1</v>
      </c>
      <c r="Y52" s="25">
        <f t="shared" si="9"/>
        <v>1</v>
      </c>
      <c r="Z52" s="25">
        <f t="shared" si="9"/>
        <v>1</v>
      </c>
      <c r="AA52" s="25">
        <f t="shared" si="9"/>
        <v>1</v>
      </c>
      <c r="AB52" s="3">
        <f t="shared" si="6"/>
        <v>0.6</v>
      </c>
      <c r="AC52" s="3">
        <f t="shared" si="7"/>
        <v>0.4</v>
      </c>
      <c r="AD52" s="3">
        <f t="shared" si="8"/>
        <v>0.24</v>
      </c>
      <c r="AE52" s="20"/>
    </row>
    <row r="53" spans="1:31" ht="28" x14ac:dyDescent="0.3">
      <c r="A53" s="30" t="s">
        <v>579</v>
      </c>
      <c r="B53" s="25">
        <v>1</v>
      </c>
      <c r="C53" s="25">
        <v>1</v>
      </c>
      <c r="D53" s="25">
        <v>1</v>
      </c>
      <c r="E53" s="25">
        <v>1</v>
      </c>
      <c r="F53" s="25">
        <v>1</v>
      </c>
      <c r="G53" s="25">
        <v>1</v>
      </c>
      <c r="H53" s="25">
        <v>0</v>
      </c>
      <c r="I53" s="25">
        <v>1</v>
      </c>
      <c r="J53" s="25">
        <v>1</v>
      </c>
      <c r="K53" s="25">
        <v>0</v>
      </c>
      <c r="L53" s="3">
        <f t="shared" si="0"/>
        <v>0.8</v>
      </c>
      <c r="M53" s="26" t="str">
        <f t="shared" si="1"/>
        <v>mudah</v>
      </c>
      <c r="N53" s="3">
        <f t="shared" si="2"/>
        <v>0.4</v>
      </c>
      <c r="O53" s="26" t="str">
        <f t="shared" si="3"/>
        <v>soal diterima baik</v>
      </c>
      <c r="P53" s="33"/>
      <c r="Q53" s="26">
        <v>48</v>
      </c>
      <c r="R53" s="25">
        <f t="shared" si="9"/>
        <v>0</v>
      </c>
      <c r="S53" s="25">
        <f t="shared" si="9"/>
        <v>0</v>
      </c>
      <c r="T53" s="25">
        <f t="shared" si="9"/>
        <v>1</v>
      </c>
      <c r="U53" s="25">
        <f t="shared" si="9"/>
        <v>0</v>
      </c>
      <c r="V53" s="25">
        <f t="shared" si="9"/>
        <v>0</v>
      </c>
      <c r="W53" s="25">
        <f t="shared" si="9"/>
        <v>0</v>
      </c>
      <c r="X53" s="25">
        <f t="shared" si="9"/>
        <v>1</v>
      </c>
      <c r="Y53" s="25">
        <f t="shared" si="9"/>
        <v>1</v>
      </c>
      <c r="Z53" s="25">
        <f t="shared" si="9"/>
        <v>0</v>
      </c>
      <c r="AA53" s="25">
        <f t="shared" si="9"/>
        <v>1</v>
      </c>
      <c r="AB53" s="3">
        <f t="shared" si="6"/>
        <v>0.4</v>
      </c>
      <c r="AC53" s="3">
        <f t="shared" si="7"/>
        <v>0.6</v>
      </c>
      <c r="AD53" s="3">
        <f t="shared" si="8"/>
        <v>0.24</v>
      </c>
      <c r="AE53" s="20"/>
    </row>
    <row r="54" spans="1:31" ht="42" x14ac:dyDescent="0.3">
      <c r="A54" s="30" t="s">
        <v>580</v>
      </c>
      <c r="B54" s="25">
        <v>1</v>
      </c>
      <c r="C54" s="25">
        <v>0</v>
      </c>
      <c r="D54" s="25">
        <v>1</v>
      </c>
      <c r="E54" s="25">
        <v>0</v>
      </c>
      <c r="F54" s="25">
        <v>1</v>
      </c>
      <c r="G54" s="25">
        <v>0</v>
      </c>
      <c r="H54" s="25">
        <v>0</v>
      </c>
      <c r="I54" s="25">
        <v>1</v>
      </c>
      <c r="J54" s="25">
        <v>0</v>
      </c>
      <c r="K54" s="25">
        <v>0</v>
      </c>
      <c r="L54" s="3">
        <f t="shared" si="0"/>
        <v>0.4</v>
      </c>
      <c r="M54" s="26" t="str">
        <f t="shared" si="1"/>
        <v>sedang</v>
      </c>
      <c r="N54" s="3">
        <f t="shared" si="2"/>
        <v>0.4</v>
      </c>
      <c r="O54" s="26" t="str">
        <f t="shared" si="3"/>
        <v>soal diterima baik</v>
      </c>
      <c r="P54" s="33"/>
      <c r="Q54" s="26">
        <v>49</v>
      </c>
      <c r="R54" s="25">
        <f t="shared" si="9"/>
        <v>1</v>
      </c>
      <c r="S54" s="25">
        <f t="shared" si="9"/>
        <v>1</v>
      </c>
      <c r="T54" s="25">
        <f t="shared" si="9"/>
        <v>1</v>
      </c>
      <c r="U54" s="25">
        <f t="shared" si="9"/>
        <v>1</v>
      </c>
      <c r="V54" s="25">
        <f t="shared" si="9"/>
        <v>1</v>
      </c>
      <c r="W54" s="25">
        <f t="shared" si="9"/>
        <v>1</v>
      </c>
      <c r="X54" s="25">
        <f t="shared" si="9"/>
        <v>0</v>
      </c>
      <c r="Y54" s="25">
        <f t="shared" si="9"/>
        <v>1</v>
      </c>
      <c r="Z54" s="25">
        <f t="shared" si="9"/>
        <v>1</v>
      </c>
      <c r="AA54" s="25">
        <f t="shared" si="9"/>
        <v>0</v>
      </c>
      <c r="AB54" s="3">
        <f t="shared" si="6"/>
        <v>0.8</v>
      </c>
      <c r="AC54" s="3">
        <f t="shared" si="7"/>
        <v>0.19999999999999996</v>
      </c>
      <c r="AD54" s="3">
        <f t="shared" si="8"/>
        <v>0.15999999999999998</v>
      </c>
      <c r="AE54" s="20"/>
    </row>
    <row r="55" spans="1:31" ht="28" x14ac:dyDescent="0.3">
      <c r="A55" s="28" t="s">
        <v>581</v>
      </c>
      <c r="B55" s="25">
        <v>1</v>
      </c>
      <c r="C55" s="25">
        <v>1</v>
      </c>
      <c r="D55" s="25">
        <v>0</v>
      </c>
      <c r="E55" s="25">
        <v>1</v>
      </c>
      <c r="F55" s="25">
        <v>1</v>
      </c>
      <c r="G55" s="25">
        <v>0</v>
      </c>
      <c r="H55" s="25">
        <v>0</v>
      </c>
      <c r="I55" s="25">
        <v>1</v>
      </c>
      <c r="J55" s="25">
        <v>1</v>
      </c>
      <c r="K55" s="25">
        <v>0</v>
      </c>
      <c r="L55" s="3">
        <f t="shared" si="0"/>
        <v>0.6</v>
      </c>
      <c r="M55" s="26" t="str">
        <f t="shared" si="1"/>
        <v>sedang</v>
      </c>
      <c r="N55" s="3">
        <f t="shared" si="2"/>
        <v>0.4</v>
      </c>
      <c r="O55" s="26" t="str">
        <f t="shared" si="3"/>
        <v>soal diterima baik</v>
      </c>
      <c r="P55" s="33"/>
      <c r="Q55" s="26">
        <v>50</v>
      </c>
      <c r="R55" s="25">
        <f t="shared" si="9"/>
        <v>1</v>
      </c>
      <c r="S55" s="25">
        <f t="shared" si="9"/>
        <v>0</v>
      </c>
      <c r="T55" s="25">
        <f t="shared" si="9"/>
        <v>1</v>
      </c>
      <c r="U55" s="25">
        <f t="shared" si="9"/>
        <v>0</v>
      </c>
      <c r="V55" s="25">
        <f t="shared" si="9"/>
        <v>1</v>
      </c>
      <c r="W55" s="25">
        <f t="shared" si="9"/>
        <v>0</v>
      </c>
      <c r="X55" s="25">
        <f t="shared" si="9"/>
        <v>0</v>
      </c>
      <c r="Y55" s="25">
        <f t="shared" si="9"/>
        <v>1</v>
      </c>
      <c r="Z55" s="25">
        <f t="shared" si="9"/>
        <v>0</v>
      </c>
      <c r="AA55" s="25">
        <f t="shared" si="9"/>
        <v>0</v>
      </c>
      <c r="AB55" s="3">
        <f t="shared" si="6"/>
        <v>0.4</v>
      </c>
      <c r="AC55" s="3">
        <f t="shared" si="7"/>
        <v>0.6</v>
      </c>
      <c r="AD55" s="3">
        <f t="shared" si="8"/>
        <v>0.24</v>
      </c>
      <c r="AE55" s="20"/>
    </row>
    <row r="56" spans="1:31" ht="42" x14ac:dyDescent="0.3">
      <c r="A56" s="30" t="s">
        <v>582</v>
      </c>
      <c r="B56" s="25">
        <v>1</v>
      </c>
      <c r="C56" s="25">
        <v>1</v>
      </c>
      <c r="D56" s="25">
        <v>1</v>
      </c>
      <c r="E56" s="25">
        <v>0</v>
      </c>
      <c r="F56" s="25">
        <v>0</v>
      </c>
      <c r="G56" s="25">
        <v>0</v>
      </c>
      <c r="H56" s="25">
        <v>0</v>
      </c>
      <c r="I56" s="25">
        <v>0</v>
      </c>
      <c r="J56" s="25">
        <v>0</v>
      </c>
      <c r="K56" s="25">
        <v>1</v>
      </c>
      <c r="L56" s="3">
        <f t="shared" si="0"/>
        <v>0.4</v>
      </c>
      <c r="M56" s="26" t="str">
        <f t="shared" si="1"/>
        <v>sedang</v>
      </c>
      <c r="N56" s="3">
        <f t="shared" si="2"/>
        <v>0.4</v>
      </c>
      <c r="O56" s="26" t="str">
        <f t="shared" si="3"/>
        <v>soal diterima baik</v>
      </c>
      <c r="P56" s="33"/>
      <c r="Q56" s="26">
        <v>51</v>
      </c>
      <c r="R56" s="25">
        <f t="shared" si="9"/>
        <v>1</v>
      </c>
      <c r="S56" s="25">
        <f t="shared" si="9"/>
        <v>1</v>
      </c>
      <c r="T56" s="25">
        <f t="shared" si="9"/>
        <v>0</v>
      </c>
      <c r="U56" s="25">
        <f t="shared" si="9"/>
        <v>1</v>
      </c>
      <c r="V56" s="25">
        <f t="shared" si="9"/>
        <v>1</v>
      </c>
      <c r="W56" s="25">
        <f t="shared" si="9"/>
        <v>0</v>
      </c>
      <c r="X56" s="25">
        <f t="shared" si="9"/>
        <v>0</v>
      </c>
      <c r="Y56" s="25">
        <f t="shared" si="9"/>
        <v>1</v>
      </c>
      <c r="Z56" s="25">
        <f t="shared" si="9"/>
        <v>1</v>
      </c>
      <c r="AA56" s="25">
        <f t="shared" si="9"/>
        <v>0</v>
      </c>
      <c r="AB56" s="3">
        <f t="shared" si="6"/>
        <v>0.6</v>
      </c>
      <c r="AC56" s="3">
        <f t="shared" si="7"/>
        <v>0.4</v>
      </c>
      <c r="AD56" s="3">
        <f t="shared" si="8"/>
        <v>0.24</v>
      </c>
      <c r="AE56" s="20"/>
    </row>
    <row r="57" spans="1:31" ht="42" x14ac:dyDescent="0.3">
      <c r="A57" s="24" t="s">
        <v>583</v>
      </c>
      <c r="B57" s="25">
        <v>0</v>
      </c>
      <c r="C57" s="25">
        <v>1</v>
      </c>
      <c r="D57" s="25">
        <v>0</v>
      </c>
      <c r="E57" s="25">
        <v>0</v>
      </c>
      <c r="F57" s="25">
        <v>0</v>
      </c>
      <c r="G57" s="25">
        <v>0</v>
      </c>
      <c r="H57" s="25">
        <v>1</v>
      </c>
      <c r="I57" s="25">
        <v>0</v>
      </c>
      <c r="J57" s="25">
        <v>1</v>
      </c>
      <c r="K57" s="25">
        <v>1</v>
      </c>
      <c r="L57" s="3">
        <f t="shared" si="0"/>
        <v>0.4</v>
      </c>
      <c r="M57" s="26" t="str">
        <f t="shared" si="1"/>
        <v>sedang</v>
      </c>
      <c r="N57" s="3">
        <f t="shared" si="2"/>
        <v>0.4</v>
      </c>
      <c r="O57" s="26" t="str">
        <f t="shared" si="3"/>
        <v>soal diterima baik</v>
      </c>
      <c r="P57" s="33"/>
      <c r="Q57" s="26">
        <v>52</v>
      </c>
      <c r="R57" s="25">
        <f t="shared" si="9"/>
        <v>1</v>
      </c>
      <c r="S57" s="25">
        <f t="shared" si="9"/>
        <v>1</v>
      </c>
      <c r="T57" s="25">
        <f t="shared" si="9"/>
        <v>1</v>
      </c>
      <c r="U57" s="25">
        <f t="shared" si="9"/>
        <v>0</v>
      </c>
      <c r="V57" s="25">
        <f t="shared" si="9"/>
        <v>0</v>
      </c>
      <c r="W57" s="25">
        <f t="shared" si="9"/>
        <v>0</v>
      </c>
      <c r="X57" s="25">
        <f t="shared" si="9"/>
        <v>0</v>
      </c>
      <c r="Y57" s="25">
        <f t="shared" si="9"/>
        <v>0</v>
      </c>
      <c r="Z57" s="25">
        <f t="shared" si="9"/>
        <v>0</v>
      </c>
      <c r="AA57" s="25">
        <f t="shared" si="9"/>
        <v>1</v>
      </c>
      <c r="AB57" s="3">
        <f t="shared" si="6"/>
        <v>0.4</v>
      </c>
      <c r="AC57" s="3">
        <f t="shared" si="7"/>
        <v>0.6</v>
      </c>
      <c r="AD57" s="3">
        <f t="shared" si="8"/>
        <v>0.24</v>
      </c>
      <c r="AE57" s="20"/>
    </row>
    <row r="58" spans="1:31" ht="42" x14ac:dyDescent="0.3">
      <c r="A58" s="24" t="s">
        <v>584</v>
      </c>
      <c r="B58" s="25">
        <v>0</v>
      </c>
      <c r="C58" s="25">
        <v>1</v>
      </c>
      <c r="D58" s="25">
        <v>0</v>
      </c>
      <c r="E58" s="25">
        <v>0</v>
      </c>
      <c r="F58" s="25">
        <v>1</v>
      </c>
      <c r="G58" s="25">
        <v>0</v>
      </c>
      <c r="H58" s="25">
        <v>0</v>
      </c>
      <c r="I58" s="25">
        <v>0</v>
      </c>
      <c r="J58" s="25">
        <v>0</v>
      </c>
      <c r="K58" s="25">
        <v>0</v>
      </c>
      <c r="L58" s="3">
        <f t="shared" si="0"/>
        <v>0.2</v>
      </c>
      <c r="M58" s="26" t="str">
        <f t="shared" si="1"/>
        <v>sukar</v>
      </c>
      <c r="N58" s="3">
        <f t="shared" si="2"/>
        <v>0.4</v>
      </c>
      <c r="O58" s="26" t="str">
        <f t="shared" si="3"/>
        <v>soal diterima baik</v>
      </c>
      <c r="P58" s="33"/>
      <c r="Q58" s="26">
        <v>53</v>
      </c>
      <c r="R58" s="25">
        <f t="shared" si="9"/>
        <v>0</v>
      </c>
      <c r="S58" s="25">
        <f t="shared" si="9"/>
        <v>1</v>
      </c>
      <c r="T58" s="25">
        <f t="shared" si="9"/>
        <v>0</v>
      </c>
      <c r="U58" s="25">
        <f t="shared" si="9"/>
        <v>0</v>
      </c>
      <c r="V58" s="25">
        <f t="shared" si="9"/>
        <v>0</v>
      </c>
      <c r="W58" s="25">
        <f t="shared" si="9"/>
        <v>0</v>
      </c>
      <c r="X58" s="25">
        <f t="shared" si="9"/>
        <v>1</v>
      </c>
      <c r="Y58" s="25">
        <f t="shared" si="9"/>
        <v>0</v>
      </c>
      <c r="Z58" s="25">
        <f t="shared" si="9"/>
        <v>1</v>
      </c>
      <c r="AA58" s="25">
        <f t="shared" si="9"/>
        <v>1</v>
      </c>
      <c r="AB58" s="3">
        <f t="shared" si="6"/>
        <v>0.4</v>
      </c>
      <c r="AC58" s="3">
        <f t="shared" si="7"/>
        <v>0.6</v>
      </c>
      <c r="AD58" s="3">
        <f t="shared" si="8"/>
        <v>0.24</v>
      </c>
      <c r="AE58" s="20"/>
    </row>
    <row r="59" spans="1:31" ht="42" x14ac:dyDescent="0.3">
      <c r="A59" s="24" t="s">
        <v>585</v>
      </c>
      <c r="B59" s="25">
        <v>1</v>
      </c>
      <c r="C59" s="25">
        <v>1</v>
      </c>
      <c r="D59" s="25">
        <v>1</v>
      </c>
      <c r="E59" s="25">
        <v>1</v>
      </c>
      <c r="F59" s="25">
        <v>1</v>
      </c>
      <c r="G59" s="25">
        <v>0</v>
      </c>
      <c r="H59" s="25">
        <v>0</v>
      </c>
      <c r="I59" s="25">
        <v>1</v>
      </c>
      <c r="J59" s="25">
        <v>0</v>
      </c>
      <c r="K59" s="25">
        <v>0</v>
      </c>
      <c r="L59" s="3">
        <f t="shared" si="0"/>
        <v>0.6</v>
      </c>
      <c r="M59" s="26" t="str">
        <f t="shared" si="1"/>
        <v>sedang</v>
      </c>
      <c r="N59" s="3">
        <f t="shared" si="2"/>
        <v>0.8</v>
      </c>
      <c r="O59" s="26" t="str">
        <f t="shared" si="3"/>
        <v>soal diterima baik</v>
      </c>
      <c r="P59" s="33"/>
      <c r="Q59" s="26">
        <v>54</v>
      </c>
      <c r="R59" s="25">
        <f t="shared" si="9"/>
        <v>0</v>
      </c>
      <c r="S59" s="25">
        <f t="shared" si="9"/>
        <v>1</v>
      </c>
      <c r="T59" s="25">
        <f t="shared" si="9"/>
        <v>0</v>
      </c>
      <c r="U59" s="25">
        <f t="shared" si="9"/>
        <v>0</v>
      </c>
      <c r="V59" s="25">
        <f t="shared" si="9"/>
        <v>1</v>
      </c>
      <c r="W59" s="25">
        <f t="shared" si="9"/>
        <v>0</v>
      </c>
      <c r="X59" s="25">
        <f t="shared" si="9"/>
        <v>0</v>
      </c>
      <c r="Y59" s="25">
        <f t="shared" si="9"/>
        <v>0</v>
      </c>
      <c r="Z59" s="25">
        <f t="shared" si="9"/>
        <v>0</v>
      </c>
      <c r="AA59" s="25">
        <f t="shared" si="9"/>
        <v>0</v>
      </c>
      <c r="AB59" s="3">
        <f t="shared" si="6"/>
        <v>0.2</v>
      </c>
      <c r="AC59" s="3">
        <f t="shared" si="7"/>
        <v>0.8</v>
      </c>
      <c r="AD59" s="3">
        <f t="shared" si="8"/>
        <v>0.16000000000000003</v>
      </c>
      <c r="AE59" s="20"/>
    </row>
    <row r="60" spans="1:31" ht="28" x14ac:dyDescent="0.3">
      <c r="A60" s="24" t="s">
        <v>586</v>
      </c>
      <c r="B60" s="25">
        <v>0</v>
      </c>
      <c r="C60" s="25">
        <v>0</v>
      </c>
      <c r="D60" s="25">
        <v>0</v>
      </c>
      <c r="E60" s="25">
        <v>0</v>
      </c>
      <c r="F60" s="25">
        <v>1</v>
      </c>
      <c r="G60" s="25">
        <v>1</v>
      </c>
      <c r="H60" s="25">
        <v>0</v>
      </c>
      <c r="I60" s="25">
        <v>1</v>
      </c>
      <c r="J60" s="25">
        <v>1</v>
      </c>
      <c r="K60" s="25">
        <v>0</v>
      </c>
      <c r="L60" s="3">
        <f t="shared" si="0"/>
        <v>0.4</v>
      </c>
      <c r="M60" s="26" t="str">
        <f t="shared" si="1"/>
        <v>sedang</v>
      </c>
      <c r="N60" s="3">
        <f t="shared" si="2"/>
        <v>0.4</v>
      </c>
      <c r="O60" s="26" t="str">
        <f t="shared" si="3"/>
        <v>soal diterima baik</v>
      </c>
      <c r="P60" s="33"/>
      <c r="Q60" s="26">
        <v>55</v>
      </c>
      <c r="R60" s="25">
        <f t="shared" si="9"/>
        <v>1</v>
      </c>
      <c r="S60" s="25">
        <f t="shared" si="9"/>
        <v>1</v>
      </c>
      <c r="T60" s="25">
        <f t="shared" si="9"/>
        <v>1</v>
      </c>
      <c r="U60" s="25">
        <f t="shared" si="9"/>
        <v>1</v>
      </c>
      <c r="V60" s="25">
        <f t="shared" si="9"/>
        <v>1</v>
      </c>
      <c r="W60" s="25">
        <f t="shared" si="9"/>
        <v>0</v>
      </c>
      <c r="X60" s="25">
        <f t="shared" si="9"/>
        <v>0</v>
      </c>
      <c r="Y60" s="25">
        <f t="shared" si="9"/>
        <v>1</v>
      </c>
      <c r="Z60" s="25">
        <f t="shared" si="9"/>
        <v>0</v>
      </c>
      <c r="AA60" s="25">
        <f t="shared" si="9"/>
        <v>0</v>
      </c>
      <c r="AB60" s="3">
        <f t="shared" si="6"/>
        <v>0.6</v>
      </c>
      <c r="AC60" s="3">
        <f t="shared" si="7"/>
        <v>0.4</v>
      </c>
      <c r="AD60" s="3">
        <f t="shared" si="8"/>
        <v>0.24</v>
      </c>
      <c r="AE60" s="20"/>
    </row>
    <row r="61" spans="1:31" ht="28" x14ac:dyDescent="0.3">
      <c r="A61" s="24" t="s">
        <v>587</v>
      </c>
      <c r="B61" s="25">
        <v>1</v>
      </c>
      <c r="C61" s="25">
        <v>0</v>
      </c>
      <c r="D61" s="25">
        <v>0</v>
      </c>
      <c r="E61" s="25">
        <v>1</v>
      </c>
      <c r="F61" s="25">
        <v>0</v>
      </c>
      <c r="G61" s="25">
        <v>0</v>
      </c>
      <c r="H61" s="25">
        <v>0</v>
      </c>
      <c r="I61" s="25">
        <v>0</v>
      </c>
      <c r="J61" s="25">
        <v>0</v>
      </c>
      <c r="K61" s="25">
        <v>0</v>
      </c>
      <c r="L61" s="3">
        <f t="shared" si="0"/>
        <v>0.2</v>
      </c>
      <c r="M61" s="26" t="str">
        <f t="shared" si="1"/>
        <v>sukar</v>
      </c>
      <c r="N61" s="3">
        <f t="shared" si="2"/>
        <v>0.4</v>
      </c>
      <c r="O61" s="26" t="str">
        <f t="shared" si="3"/>
        <v>soal diterima baik</v>
      </c>
      <c r="P61" s="33"/>
      <c r="Q61" s="26">
        <v>56</v>
      </c>
      <c r="R61" s="25">
        <f t="shared" si="9"/>
        <v>0</v>
      </c>
      <c r="S61" s="25">
        <f t="shared" si="9"/>
        <v>0</v>
      </c>
      <c r="T61" s="25">
        <f t="shared" si="9"/>
        <v>0</v>
      </c>
      <c r="U61" s="25">
        <f t="shared" si="9"/>
        <v>0</v>
      </c>
      <c r="V61" s="25">
        <f t="shared" si="9"/>
        <v>1</v>
      </c>
      <c r="W61" s="25">
        <f t="shared" si="9"/>
        <v>1</v>
      </c>
      <c r="X61" s="25">
        <f t="shared" si="9"/>
        <v>0</v>
      </c>
      <c r="Y61" s="25">
        <f t="shared" si="9"/>
        <v>1</v>
      </c>
      <c r="Z61" s="25">
        <f t="shared" si="9"/>
        <v>1</v>
      </c>
      <c r="AA61" s="25">
        <f t="shared" si="9"/>
        <v>0</v>
      </c>
      <c r="AB61" s="3">
        <f t="shared" si="6"/>
        <v>0.4</v>
      </c>
      <c r="AC61" s="3">
        <f t="shared" si="7"/>
        <v>0.6</v>
      </c>
      <c r="AD61" s="3">
        <f t="shared" si="8"/>
        <v>0.24</v>
      </c>
      <c r="AE61" s="20"/>
    </row>
    <row r="62" spans="1:31" ht="28" x14ac:dyDescent="0.3">
      <c r="A62" s="24" t="s">
        <v>588</v>
      </c>
      <c r="B62" s="25">
        <v>0</v>
      </c>
      <c r="C62" s="25">
        <v>0</v>
      </c>
      <c r="D62" s="25">
        <v>0</v>
      </c>
      <c r="E62" s="25">
        <v>0</v>
      </c>
      <c r="F62" s="25">
        <v>1</v>
      </c>
      <c r="G62" s="25">
        <v>1</v>
      </c>
      <c r="H62" s="25">
        <v>1</v>
      </c>
      <c r="I62" s="25">
        <v>0</v>
      </c>
      <c r="J62" s="25">
        <v>0</v>
      </c>
      <c r="K62" s="25">
        <v>1</v>
      </c>
      <c r="L62" s="3">
        <f t="shared" si="0"/>
        <v>0.4</v>
      </c>
      <c r="M62" s="26" t="str">
        <f t="shared" si="1"/>
        <v>sedang</v>
      </c>
      <c r="N62" s="3">
        <f t="shared" si="2"/>
        <v>0.4</v>
      </c>
      <c r="O62" s="26" t="str">
        <f t="shared" si="3"/>
        <v>soal diterima baik</v>
      </c>
      <c r="P62" s="33"/>
      <c r="Q62" s="26">
        <v>57</v>
      </c>
      <c r="R62" s="25">
        <f t="shared" si="9"/>
        <v>1</v>
      </c>
      <c r="S62" s="25">
        <f t="shared" si="9"/>
        <v>0</v>
      </c>
      <c r="T62" s="25">
        <f t="shared" si="9"/>
        <v>0</v>
      </c>
      <c r="U62" s="25">
        <f t="shared" si="9"/>
        <v>1</v>
      </c>
      <c r="V62" s="25">
        <f t="shared" si="9"/>
        <v>0</v>
      </c>
      <c r="W62" s="25">
        <f t="shared" si="9"/>
        <v>0</v>
      </c>
      <c r="X62" s="25">
        <f t="shared" si="9"/>
        <v>0</v>
      </c>
      <c r="Y62" s="25">
        <f t="shared" si="9"/>
        <v>0</v>
      </c>
      <c r="Z62" s="25">
        <f t="shared" si="9"/>
        <v>0</v>
      </c>
      <c r="AA62" s="25">
        <f t="shared" si="9"/>
        <v>0</v>
      </c>
      <c r="AB62" s="3">
        <f t="shared" si="6"/>
        <v>0.2</v>
      </c>
      <c r="AC62" s="3">
        <f t="shared" si="7"/>
        <v>0.8</v>
      </c>
      <c r="AD62" s="3">
        <f t="shared" si="8"/>
        <v>0.16000000000000003</v>
      </c>
      <c r="AE62" s="20"/>
    </row>
    <row r="63" spans="1:31" ht="42" x14ac:dyDescent="0.3">
      <c r="A63" s="24" t="s">
        <v>589</v>
      </c>
      <c r="B63" s="25">
        <v>0</v>
      </c>
      <c r="C63" s="25">
        <v>1</v>
      </c>
      <c r="D63" s="25">
        <v>1</v>
      </c>
      <c r="E63" s="25">
        <v>1</v>
      </c>
      <c r="F63" s="25">
        <v>1</v>
      </c>
      <c r="G63" s="25">
        <v>1</v>
      </c>
      <c r="H63" s="25">
        <v>1</v>
      </c>
      <c r="I63" s="25">
        <v>0</v>
      </c>
      <c r="J63" s="25">
        <v>0</v>
      </c>
      <c r="K63" s="25">
        <v>0</v>
      </c>
      <c r="L63" s="3">
        <f t="shared" si="0"/>
        <v>0.6</v>
      </c>
      <c r="M63" s="26" t="str">
        <f t="shared" si="1"/>
        <v>sedang</v>
      </c>
      <c r="N63" s="3">
        <f t="shared" si="2"/>
        <v>0.4</v>
      </c>
      <c r="O63" s="26" t="str">
        <f t="shared" si="3"/>
        <v>soal diterima baik</v>
      </c>
      <c r="P63" s="33"/>
      <c r="Q63" s="26">
        <v>58</v>
      </c>
      <c r="R63" s="25">
        <f t="shared" si="9"/>
        <v>0</v>
      </c>
      <c r="S63" s="25">
        <f t="shared" si="9"/>
        <v>0</v>
      </c>
      <c r="T63" s="25">
        <f t="shared" si="9"/>
        <v>0</v>
      </c>
      <c r="U63" s="25">
        <f t="shared" si="9"/>
        <v>0</v>
      </c>
      <c r="V63" s="25">
        <f t="shared" si="9"/>
        <v>1</v>
      </c>
      <c r="W63" s="25">
        <f t="shared" si="9"/>
        <v>1</v>
      </c>
      <c r="X63" s="25">
        <f t="shared" si="9"/>
        <v>1</v>
      </c>
      <c r="Y63" s="25">
        <f t="shared" si="9"/>
        <v>0</v>
      </c>
      <c r="Z63" s="25">
        <f t="shared" si="9"/>
        <v>0</v>
      </c>
      <c r="AA63" s="25">
        <f t="shared" si="9"/>
        <v>1</v>
      </c>
      <c r="AB63" s="3">
        <f t="shared" si="6"/>
        <v>0.4</v>
      </c>
      <c r="AC63" s="3">
        <f t="shared" si="7"/>
        <v>0.6</v>
      </c>
      <c r="AD63" s="3">
        <f t="shared" si="8"/>
        <v>0.24</v>
      </c>
      <c r="AE63" s="20"/>
    </row>
    <row r="64" spans="1:31" ht="28" x14ac:dyDescent="0.3">
      <c r="A64" s="28" t="s">
        <v>590</v>
      </c>
      <c r="B64" s="25">
        <v>1</v>
      </c>
      <c r="C64" s="25">
        <v>1</v>
      </c>
      <c r="D64" s="25">
        <v>1</v>
      </c>
      <c r="E64" s="25">
        <v>1</v>
      </c>
      <c r="F64" s="25">
        <v>1</v>
      </c>
      <c r="G64" s="25">
        <v>0</v>
      </c>
      <c r="H64" s="25">
        <v>0</v>
      </c>
      <c r="I64" s="25">
        <v>1</v>
      </c>
      <c r="J64" s="25">
        <v>0</v>
      </c>
      <c r="K64" s="25">
        <v>0</v>
      </c>
      <c r="L64" s="3">
        <f t="shared" si="0"/>
        <v>0.6</v>
      </c>
      <c r="M64" s="26" t="str">
        <f t="shared" si="1"/>
        <v>sedang</v>
      </c>
      <c r="N64" s="3">
        <f t="shared" si="2"/>
        <v>0.8</v>
      </c>
      <c r="O64" s="26" t="str">
        <f t="shared" si="3"/>
        <v>soal diterima baik</v>
      </c>
      <c r="P64" s="33"/>
      <c r="Q64" s="26">
        <v>59</v>
      </c>
      <c r="R64" s="25">
        <f t="shared" si="9"/>
        <v>0</v>
      </c>
      <c r="S64" s="25">
        <f t="shared" si="9"/>
        <v>1</v>
      </c>
      <c r="T64" s="25">
        <f t="shared" si="9"/>
        <v>1</v>
      </c>
      <c r="U64" s="25">
        <f t="shared" si="9"/>
        <v>1</v>
      </c>
      <c r="V64" s="25">
        <f t="shared" si="9"/>
        <v>1</v>
      </c>
      <c r="W64" s="25">
        <f t="shared" si="9"/>
        <v>1</v>
      </c>
      <c r="X64" s="25">
        <f t="shared" si="9"/>
        <v>1</v>
      </c>
      <c r="Y64" s="25">
        <f t="shared" si="9"/>
        <v>0</v>
      </c>
      <c r="Z64" s="25">
        <f t="shared" si="9"/>
        <v>0</v>
      </c>
      <c r="AA64" s="25">
        <f t="shared" si="9"/>
        <v>0</v>
      </c>
      <c r="AB64" s="3">
        <f t="shared" si="6"/>
        <v>0.6</v>
      </c>
      <c r="AC64" s="3">
        <f t="shared" si="7"/>
        <v>0.4</v>
      </c>
      <c r="AD64" s="3">
        <f t="shared" si="8"/>
        <v>0.24</v>
      </c>
      <c r="AE64" s="20"/>
    </row>
    <row r="65" spans="1:31" ht="56" x14ac:dyDescent="0.3">
      <c r="A65" s="28" t="s">
        <v>591</v>
      </c>
      <c r="B65" s="25">
        <v>1</v>
      </c>
      <c r="C65" s="25">
        <v>1</v>
      </c>
      <c r="D65" s="25">
        <v>0</v>
      </c>
      <c r="E65" s="25">
        <v>1</v>
      </c>
      <c r="F65" s="25">
        <v>1</v>
      </c>
      <c r="G65" s="25">
        <v>1</v>
      </c>
      <c r="H65" s="25">
        <v>0</v>
      </c>
      <c r="I65" s="25">
        <v>0</v>
      </c>
      <c r="J65" s="25">
        <v>0</v>
      </c>
      <c r="K65" s="25">
        <v>1</v>
      </c>
      <c r="L65" s="3">
        <f t="shared" si="0"/>
        <v>0.6</v>
      </c>
      <c r="M65" s="26" t="str">
        <f t="shared" si="1"/>
        <v>sedang</v>
      </c>
      <c r="N65" s="3">
        <f t="shared" si="2"/>
        <v>0.4</v>
      </c>
      <c r="O65" s="26" t="str">
        <f t="shared" si="3"/>
        <v>soal diterima baik</v>
      </c>
      <c r="P65" s="33"/>
      <c r="Q65" s="26">
        <v>60</v>
      </c>
      <c r="R65" s="25">
        <f t="shared" si="9"/>
        <v>1</v>
      </c>
      <c r="S65" s="25">
        <f t="shared" si="9"/>
        <v>1</v>
      </c>
      <c r="T65" s="25">
        <f t="shared" si="9"/>
        <v>1</v>
      </c>
      <c r="U65" s="25">
        <f t="shared" si="9"/>
        <v>1</v>
      </c>
      <c r="V65" s="25">
        <f t="shared" si="9"/>
        <v>1</v>
      </c>
      <c r="W65" s="25">
        <f t="shared" si="9"/>
        <v>0</v>
      </c>
      <c r="X65" s="25">
        <f t="shared" si="9"/>
        <v>0</v>
      </c>
      <c r="Y65" s="25">
        <f t="shared" si="9"/>
        <v>1</v>
      </c>
      <c r="Z65" s="25">
        <f t="shared" si="9"/>
        <v>0</v>
      </c>
      <c r="AA65" s="25">
        <f t="shared" si="9"/>
        <v>0</v>
      </c>
      <c r="AB65" s="3">
        <f t="shared" si="6"/>
        <v>0.6</v>
      </c>
      <c r="AC65" s="3">
        <f t="shared" si="7"/>
        <v>0.4</v>
      </c>
      <c r="AD65" s="3">
        <f t="shared" si="8"/>
        <v>0.24</v>
      </c>
      <c r="AE65" s="20"/>
    </row>
    <row r="66" spans="1:31" ht="28" x14ac:dyDescent="0.3">
      <c r="A66" s="28" t="s">
        <v>592</v>
      </c>
      <c r="B66" s="25">
        <v>0</v>
      </c>
      <c r="C66" s="25">
        <v>0</v>
      </c>
      <c r="D66" s="25">
        <v>1</v>
      </c>
      <c r="E66" s="25">
        <v>1</v>
      </c>
      <c r="F66" s="25">
        <v>0</v>
      </c>
      <c r="G66" s="25">
        <v>1</v>
      </c>
      <c r="H66" s="25">
        <v>1</v>
      </c>
      <c r="I66" s="25">
        <v>1</v>
      </c>
      <c r="J66" s="25">
        <v>1</v>
      </c>
      <c r="K66" s="25">
        <v>0</v>
      </c>
      <c r="L66" s="3">
        <f t="shared" si="0"/>
        <v>0.6</v>
      </c>
      <c r="M66" s="26" t="str">
        <f t="shared" si="1"/>
        <v>sedang</v>
      </c>
      <c r="N66" s="3">
        <f t="shared" si="2"/>
        <v>0.4</v>
      </c>
      <c r="O66" s="26" t="str">
        <f t="shared" si="3"/>
        <v>soal diterima baik</v>
      </c>
      <c r="P66" s="33"/>
      <c r="Q66" s="26">
        <v>61</v>
      </c>
      <c r="R66" s="25">
        <f t="shared" si="9"/>
        <v>1</v>
      </c>
      <c r="S66" s="25">
        <f t="shared" si="9"/>
        <v>1</v>
      </c>
      <c r="T66" s="25">
        <f t="shared" si="9"/>
        <v>0</v>
      </c>
      <c r="U66" s="25">
        <f t="shared" si="9"/>
        <v>1</v>
      </c>
      <c r="V66" s="25">
        <f t="shared" si="9"/>
        <v>1</v>
      </c>
      <c r="W66" s="25">
        <f t="shared" si="9"/>
        <v>1</v>
      </c>
      <c r="X66" s="25">
        <f t="shared" si="9"/>
        <v>0</v>
      </c>
      <c r="Y66" s="25">
        <f t="shared" si="9"/>
        <v>0</v>
      </c>
      <c r="Z66" s="25">
        <f t="shared" si="9"/>
        <v>0</v>
      </c>
      <c r="AA66" s="25">
        <f t="shared" si="9"/>
        <v>1</v>
      </c>
      <c r="AB66" s="3">
        <f t="shared" si="6"/>
        <v>0.6</v>
      </c>
      <c r="AC66" s="3">
        <f t="shared" si="7"/>
        <v>0.4</v>
      </c>
      <c r="AD66" s="3">
        <f t="shared" si="8"/>
        <v>0.24</v>
      </c>
      <c r="AE66" s="20"/>
    </row>
    <row r="67" spans="1:31" ht="28" x14ac:dyDescent="0.3">
      <c r="A67" s="30" t="s">
        <v>593</v>
      </c>
      <c r="B67" s="25">
        <v>0</v>
      </c>
      <c r="C67" s="25">
        <v>1</v>
      </c>
      <c r="D67" s="25">
        <v>0</v>
      </c>
      <c r="E67" s="25">
        <v>0</v>
      </c>
      <c r="F67" s="25">
        <v>0</v>
      </c>
      <c r="G67" s="25">
        <v>0</v>
      </c>
      <c r="H67" s="25">
        <v>0</v>
      </c>
      <c r="I67" s="25">
        <v>1</v>
      </c>
      <c r="J67" s="25">
        <v>1</v>
      </c>
      <c r="K67" s="25">
        <v>1</v>
      </c>
      <c r="L67" s="3">
        <f t="shared" si="0"/>
        <v>0.4</v>
      </c>
      <c r="M67" s="26" t="str">
        <f t="shared" si="1"/>
        <v>sedang</v>
      </c>
      <c r="N67" s="3">
        <f t="shared" si="2"/>
        <v>0.4</v>
      </c>
      <c r="O67" s="26" t="str">
        <f t="shared" si="3"/>
        <v>soal diterima baik</v>
      </c>
      <c r="P67" s="33"/>
      <c r="Q67" s="26">
        <v>62</v>
      </c>
      <c r="R67" s="25">
        <f t="shared" si="9"/>
        <v>0</v>
      </c>
      <c r="S67" s="25">
        <f t="shared" si="9"/>
        <v>0</v>
      </c>
      <c r="T67" s="25">
        <f t="shared" si="9"/>
        <v>1</v>
      </c>
      <c r="U67" s="25">
        <f t="shared" si="9"/>
        <v>1</v>
      </c>
      <c r="V67" s="25">
        <f t="shared" si="9"/>
        <v>0</v>
      </c>
      <c r="W67" s="25">
        <f t="shared" si="9"/>
        <v>1</v>
      </c>
      <c r="X67" s="25">
        <f t="shared" si="9"/>
        <v>1</v>
      </c>
      <c r="Y67" s="25">
        <f t="shared" si="9"/>
        <v>1</v>
      </c>
      <c r="Z67" s="25">
        <f t="shared" si="9"/>
        <v>1</v>
      </c>
      <c r="AA67" s="25">
        <f t="shared" si="9"/>
        <v>0</v>
      </c>
      <c r="AB67" s="3">
        <f t="shared" si="6"/>
        <v>0.6</v>
      </c>
      <c r="AC67" s="3">
        <f t="shared" si="7"/>
        <v>0.4</v>
      </c>
      <c r="AD67" s="3">
        <f t="shared" si="8"/>
        <v>0.24</v>
      </c>
      <c r="AE67" s="20"/>
    </row>
    <row r="68" spans="1:31" ht="28" x14ac:dyDescent="0.3">
      <c r="A68" s="24" t="s">
        <v>594</v>
      </c>
      <c r="B68" s="25">
        <v>1</v>
      </c>
      <c r="C68" s="25">
        <v>0</v>
      </c>
      <c r="D68" s="25">
        <v>1</v>
      </c>
      <c r="E68" s="25">
        <v>0</v>
      </c>
      <c r="F68" s="25">
        <v>1</v>
      </c>
      <c r="G68" s="25">
        <v>1</v>
      </c>
      <c r="H68" s="25">
        <v>1</v>
      </c>
      <c r="I68" s="25">
        <v>1</v>
      </c>
      <c r="J68" s="25">
        <v>1</v>
      </c>
      <c r="K68" s="25">
        <v>1</v>
      </c>
      <c r="L68" s="3">
        <f t="shared" si="0"/>
        <v>0.8</v>
      </c>
      <c r="M68" s="26" t="str">
        <f t="shared" si="1"/>
        <v>mudah</v>
      </c>
      <c r="N68" s="3">
        <f t="shared" si="2"/>
        <v>0.4</v>
      </c>
      <c r="O68" s="26" t="str">
        <f t="shared" si="3"/>
        <v>soal diterima baik</v>
      </c>
      <c r="P68" s="33"/>
      <c r="Q68" s="26">
        <v>63</v>
      </c>
      <c r="R68" s="25">
        <f t="shared" si="9"/>
        <v>0</v>
      </c>
      <c r="S68" s="25">
        <f t="shared" si="9"/>
        <v>1</v>
      </c>
      <c r="T68" s="25">
        <f t="shared" si="9"/>
        <v>0</v>
      </c>
      <c r="U68" s="25">
        <f t="shared" si="9"/>
        <v>0</v>
      </c>
      <c r="V68" s="25">
        <f t="shared" si="9"/>
        <v>0</v>
      </c>
      <c r="W68" s="25">
        <f t="shared" si="9"/>
        <v>0</v>
      </c>
      <c r="X68" s="25">
        <f t="shared" si="9"/>
        <v>0</v>
      </c>
      <c r="Y68" s="25">
        <f t="shared" si="9"/>
        <v>1</v>
      </c>
      <c r="Z68" s="25">
        <f t="shared" si="9"/>
        <v>1</v>
      </c>
      <c r="AA68" s="25">
        <f t="shared" si="9"/>
        <v>1</v>
      </c>
      <c r="AB68" s="3">
        <f t="shared" si="6"/>
        <v>0.4</v>
      </c>
      <c r="AC68" s="3">
        <f t="shared" si="7"/>
        <v>0.6</v>
      </c>
      <c r="AD68" s="3">
        <f t="shared" si="8"/>
        <v>0.24</v>
      </c>
      <c r="AE68" s="20"/>
    </row>
    <row r="69" spans="1:31" ht="28" x14ac:dyDescent="0.3">
      <c r="A69" s="24" t="s">
        <v>595</v>
      </c>
      <c r="B69" s="25">
        <v>0</v>
      </c>
      <c r="C69" s="25">
        <v>0</v>
      </c>
      <c r="D69" s="25">
        <v>0</v>
      </c>
      <c r="E69" s="25">
        <v>1</v>
      </c>
      <c r="F69" s="25">
        <v>0</v>
      </c>
      <c r="G69" s="25">
        <v>1</v>
      </c>
      <c r="H69" s="25">
        <v>1</v>
      </c>
      <c r="I69" s="25">
        <v>0</v>
      </c>
      <c r="J69" s="25">
        <v>0</v>
      </c>
      <c r="K69" s="25">
        <v>1</v>
      </c>
      <c r="L69" s="3">
        <f t="shared" si="0"/>
        <v>0.4</v>
      </c>
      <c r="M69" s="26" t="str">
        <f t="shared" si="1"/>
        <v>sedang</v>
      </c>
      <c r="N69" s="3">
        <f t="shared" si="2"/>
        <v>0.4</v>
      </c>
      <c r="O69" s="26" t="str">
        <f t="shared" si="3"/>
        <v>soal diterima baik</v>
      </c>
      <c r="P69" s="33"/>
      <c r="Q69" s="26">
        <v>64</v>
      </c>
      <c r="R69" s="25">
        <f t="shared" si="9"/>
        <v>1</v>
      </c>
      <c r="S69" s="25">
        <f t="shared" si="9"/>
        <v>0</v>
      </c>
      <c r="T69" s="25">
        <f t="shared" si="9"/>
        <v>1</v>
      </c>
      <c r="U69" s="25">
        <f t="shared" si="9"/>
        <v>0</v>
      </c>
      <c r="V69" s="25">
        <f t="shared" si="9"/>
        <v>1</v>
      </c>
      <c r="W69" s="25">
        <f t="shared" si="9"/>
        <v>1</v>
      </c>
      <c r="X69" s="25">
        <f t="shared" si="9"/>
        <v>1</v>
      </c>
      <c r="Y69" s="25">
        <f t="shared" si="9"/>
        <v>1</v>
      </c>
      <c r="Z69" s="25">
        <f t="shared" si="9"/>
        <v>1</v>
      </c>
      <c r="AA69" s="25">
        <f t="shared" si="9"/>
        <v>1</v>
      </c>
      <c r="AB69" s="3">
        <f t="shared" si="6"/>
        <v>0.8</v>
      </c>
      <c r="AC69" s="3">
        <f t="shared" si="7"/>
        <v>0.19999999999999996</v>
      </c>
      <c r="AD69" s="3">
        <f t="shared" si="8"/>
        <v>0.15999999999999998</v>
      </c>
      <c r="AE69" s="20"/>
    </row>
    <row r="70" spans="1:31" ht="28" x14ac:dyDescent="0.3">
      <c r="A70" s="30" t="s">
        <v>596</v>
      </c>
      <c r="B70" s="25">
        <v>0</v>
      </c>
      <c r="C70" s="25">
        <v>1</v>
      </c>
      <c r="D70" s="25">
        <v>1</v>
      </c>
      <c r="E70" s="25">
        <v>0</v>
      </c>
      <c r="F70" s="25">
        <v>1</v>
      </c>
      <c r="G70" s="25">
        <v>1</v>
      </c>
      <c r="H70" s="25">
        <v>0</v>
      </c>
      <c r="I70" s="25">
        <v>0</v>
      </c>
      <c r="J70" s="25">
        <v>0</v>
      </c>
      <c r="K70" s="25">
        <v>0</v>
      </c>
      <c r="L70" s="3">
        <f t="shared" ref="L70:L104" si="10">SUM(B70:K70)/10</f>
        <v>0.4</v>
      </c>
      <c r="M70" s="26" t="str">
        <f t="shared" ref="M70:M104" si="11">IF(L70&lt;0.31,"sukar",IF(L70&lt;0.71,"sedang","mudah"))</f>
        <v>sedang</v>
      </c>
      <c r="N70" s="3">
        <f t="shared" ref="N70:N104" si="12">ABS((SUM(B70:F70)-SUM(G70:K70))*2/10)</f>
        <v>0.4</v>
      </c>
      <c r="O70" s="26" t="str">
        <f t="shared" ref="O70:O104" si="13">IF(N70&lt;0.2,"soal dibuang",IF(N70&lt;0.3,"soal diperbaiki",IF(N70&lt;0.4,"soal diterima tapi perlu diperbaiki","soal diterima baik")))</f>
        <v>soal diterima baik</v>
      </c>
      <c r="P70" s="33"/>
      <c r="Q70" s="26">
        <v>65</v>
      </c>
      <c r="R70" s="25">
        <f t="shared" si="9"/>
        <v>0</v>
      </c>
      <c r="S70" s="25">
        <f t="shared" si="9"/>
        <v>0</v>
      </c>
      <c r="T70" s="25">
        <f t="shared" si="9"/>
        <v>0</v>
      </c>
      <c r="U70" s="25">
        <f t="shared" si="9"/>
        <v>1</v>
      </c>
      <c r="V70" s="25">
        <f t="shared" si="9"/>
        <v>0</v>
      </c>
      <c r="W70" s="25">
        <f t="shared" si="9"/>
        <v>1</v>
      </c>
      <c r="X70" s="25">
        <f t="shared" si="9"/>
        <v>1</v>
      </c>
      <c r="Y70" s="25">
        <f t="shared" si="9"/>
        <v>0</v>
      </c>
      <c r="Z70" s="25">
        <f t="shared" si="9"/>
        <v>0</v>
      </c>
      <c r="AA70" s="25">
        <f t="shared" si="9"/>
        <v>1</v>
      </c>
      <c r="AB70" s="3">
        <f t="shared" si="6"/>
        <v>0.4</v>
      </c>
      <c r="AC70" s="3">
        <f t="shared" si="7"/>
        <v>0.6</v>
      </c>
      <c r="AD70" s="3">
        <f t="shared" si="8"/>
        <v>0.24</v>
      </c>
      <c r="AE70" s="20"/>
    </row>
    <row r="71" spans="1:31" ht="28" x14ac:dyDescent="0.3">
      <c r="A71" s="30" t="s">
        <v>597</v>
      </c>
      <c r="B71" s="25">
        <v>1</v>
      </c>
      <c r="C71" s="25">
        <v>0</v>
      </c>
      <c r="D71" s="25">
        <v>0</v>
      </c>
      <c r="E71" s="25">
        <v>0</v>
      </c>
      <c r="F71" s="25">
        <v>0</v>
      </c>
      <c r="G71" s="25">
        <v>0</v>
      </c>
      <c r="H71" s="25">
        <v>0</v>
      </c>
      <c r="I71" s="25">
        <v>1</v>
      </c>
      <c r="J71" s="25">
        <v>1</v>
      </c>
      <c r="K71" s="25">
        <v>1</v>
      </c>
      <c r="L71" s="3">
        <f t="shared" si="10"/>
        <v>0.4</v>
      </c>
      <c r="M71" s="26" t="str">
        <f t="shared" si="11"/>
        <v>sedang</v>
      </c>
      <c r="N71" s="3">
        <f t="shared" si="12"/>
        <v>0.4</v>
      </c>
      <c r="O71" s="26" t="str">
        <f t="shared" si="13"/>
        <v>soal diterima baik</v>
      </c>
      <c r="P71" s="33"/>
      <c r="Q71" s="26">
        <v>66</v>
      </c>
      <c r="R71" s="25">
        <f t="shared" si="9"/>
        <v>0</v>
      </c>
      <c r="S71" s="25">
        <f t="shared" si="9"/>
        <v>1</v>
      </c>
      <c r="T71" s="25">
        <f t="shared" si="9"/>
        <v>1</v>
      </c>
      <c r="U71" s="25">
        <f t="shared" si="9"/>
        <v>0</v>
      </c>
      <c r="V71" s="25">
        <f t="shared" si="9"/>
        <v>1</v>
      </c>
      <c r="W71" s="25">
        <f t="shared" ref="W71:AA105" si="14">G70</f>
        <v>1</v>
      </c>
      <c r="X71" s="25">
        <f t="shared" si="14"/>
        <v>0</v>
      </c>
      <c r="Y71" s="25">
        <f t="shared" si="14"/>
        <v>0</v>
      </c>
      <c r="Z71" s="25">
        <f t="shared" si="14"/>
        <v>0</v>
      </c>
      <c r="AA71" s="25">
        <f t="shared" si="14"/>
        <v>0</v>
      </c>
      <c r="AB71" s="3">
        <f t="shared" ref="AB71:AB104" si="15">SUM(R71:AA71)/COUNT(R71:AA71)</f>
        <v>0.4</v>
      </c>
      <c r="AC71" s="3">
        <f t="shared" ref="AC71:AC105" si="16">1-AB71</f>
        <v>0.6</v>
      </c>
      <c r="AD71" s="3">
        <f t="shared" ref="AD71:AD105" si="17">AB71*AC71</f>
        <v>0.24</v>
      </c>
      <c r="AE71" s="20"/>
    </row>
    <row r="72" spans="1:31" ht="28" x14ac:dyDescent="0.3">
      <c r="A72" s="24" t="s">
        <v>598</v>
      </c>
      <c r="B72" s="25">
        <v>0</v>
      </c>
      <c r="C72" s="25">
        <v>0</v>
      </c>
      <c r="D72" s="25">
        <v>1</v>
      </c>
      <c r="E72" s="25">
        <v>0</v>
      </c>
      <c r="F72" s="25">
        <v>0</v>
      </c>
      <c r="G72" s="25">
        <v>1</v>
      </c>
      <c r="H72" s="25">
        <v>1</v>
      </c>
      <c r="I72" s="25">
        <v>1</v>
      </c>
      <c r="J72" s="25">
        <v>1</v>
      </c>
      <c r="K72" s="25">
        <v>1</v>
      </c>
      <c r="L72" s="3">
        <f t="shared" si="10"/>
        <v>0.6</v>
      </c>
      <c r="M72" s="26" t="str">
        <f t="shared" si="11"/>
        <v>sedang</v>
      </c>
      <c r="N72" s="3">
        <f t="shared" si="12"/>
        <v>0.8</v>
      </c>
      <c r="O72" s="26" t="str">
        <f t="shared" si="13"/>
        <v>soal diterima baik</v>
      </c>
      <c r="P72" s="33"/>
      <c r="Q72" s="26">
        <v>67</v>
      </c>
      <c r="R72" s="25">
        <f t="shared" ref="R72:V105" si="18">B71</f>
        <v>1</v>
      </c>
      <c r="S72" s="25">
        <f t="shared" si="18"/>
        <v>0</v>
      </c>
      <c r="T72" s="25">
        <f t="shared" si="18"/>
        <v>0</v>
      </c>
      <c r="U72" s="25">
        <f t="shared" si="18"/>
        <v>0</v>
      </c>
      <c r="V72" s="25">
        <f t="shared" si="18"/>
        <v>0</v>
      </c>
      <c r="W72" s="25">
        <f t="shared" si="14"/>
        <v>0</v>
      </c>
      <c r="X72" s="25">
        <f t="shared" si="14"/>
        <v>0</v>
      </c>
      <c r="Y72" s="25">
        <f t="shared" si="14"/>
        <v>1</v>
      </c>
      <c r="Z72" s="25">
        <f t="shared" si="14"/>
        <v>1</v>
      </c>
      <c r="AA72" s="25">
        <f t="shared" si="14"/>
        <v>1</v>
      </c>
      <c r="AB72" s="3">
        <f t="shared" si="15"/>
        <v>0.4</v>
      </c>
      <c r="AC72" s="3">
        <f t="shared" si="16"/>
        <v>0.6</v>
      </c>
      <c r="AD72" s="3">
        <f t="shared" si="17"/>
        <v>0.24</v>
      </c>
      <c r="AE72" s="20"/>
    </row>
    <row r="73" spans="1:31" ht="28" x14ac:dyDescent="0.3">
      <c r="A73" s="30" t="s">
        <v>599</v>
      </c>
      <c r="B73" s="25">
        <v>1</v>
      </c>
      <c r="C73" s="25">
        <v>1</v>
      </c>
      <c r="D73" s="25">
        <v>1</v>
      </c>
      <c r="E73" s="25">
        <v>1</v>
      </c>
      <c r="F73" s="25">
        <v>1</v>
      </c>
      <c r="G73" s="25">
        <v>1</v>
      </c>
      <c r="H73" s="25">
        <v>0</v>
      </c>
      <c r="I73" s="25">
        <v>0</v>
      </c>
      <c r="J73" s="25">
        <v>0</v>
      </c>
      <c r="K73" s="25">
        <v>0</v>
      </c>
      <c r="L73" s="3">
        <f t="shared" si="10"/>
        <v>0.6</v>
      </c>
      <c r="M73" s="26" t="str">
        <f t="shared" si="11"/>
        <v>sedang</v>
      </c>
      <c r="N73" s="3">
        <f t="shared" si="12"/>
        <v>0.8</v>
      </c>
      <c r="O73" s="26" t="str">
        <f t="shared" si="13"/>
        <v>soal diterima baik</v>
      </c>
      <c r="P73" s="33"/>
      <c r="Q73" s="26">
        <v>68</v>
      </c>
      <c r="R73" s="25">
        <f t="shared" si="18"/>
        <v>0</v>
      </c>
      <c r="S73" s="25">
        <f t="shared" si="18"/>
        <v>0</v>
      </c>
      <c r="T73" s="25">
        <f t="shared" si="18"/>
        <v>1</v>
      </c>
      <c r="U73" s="25">
        <f t="shared" si="18"/>
        <v>0</v>
      </c>
      <c r="V73" s="25">
        <f t="shared" si="18"/>
        <v>0</v>
      </c>
      <c r="W73" s="25">
        <f t="shared" si="14"/>
        <v>1</v>
      </c>
      <c r="X73" s="25">
        <f t="shared" si="14"/>
        <v>1</v>
      </c>
      <c r="Y73" s="25">
        <f t="shared" si="14"/>
        <v>1</v>
      </c>
      <c r="Z73" s="25">
        <f t="shared" si="14"/>
        <v>1</v>
      </c>
      <c r="AA73" s="25">
        <f t="shared" si="14"/>
        <v>1</v>
      </c>
      <c r="AB73" s="3">
        <f t="shared" si="15"/>
        <v>0.6</v>
      </c>
      <c r="AC73" s="3">
        <f t="shared" si="16"/>
        <v>0.4</v>
      </c>
      <c r="AD73" s="3">
        <f t="shared" si="17"/>
        <v>0.24</v>
      </c>
      <c r="AE73" s="20"/>
    </row>
    <row r="74" spans="1:31" x14ac:dyDescent="0.3">
      <c r="A74" s="30" t="s">
        <v>600</v>
      </c>
      <c r="B74" s="25">
        <v>1</v>
      </c>
      <c r="C74" s="25">
        <v>0</v>
      </c>
      <c r="D74" s="25">
        <v>1</v>
      </c>
      <c r="E74" s="25">
        <v>0</v>
      </c>
      <c r="F74" s="25">
        <v>1</v>
      </c>
      <c r="G74" s="25">
        <v>0</v>
      </c>
      <c r="H74" s="25">
        <v>0</v>
      </c>
      <c r="I74" s="25">
        <v>1</v>
      </c>
      <c r="J74" s="25">
        <v>0</v>
      </c>
      <c r="K74" s="25">
        <v>0</v>
      </c>
      <c r="L74" s="3">
        <f t="shared" si="10"/>
        <v>0.4</v>
      </c>
      <c r="M74" s="26" t="str">
        <f t="shared" si="11"/>
        <v>sedang</v>
      </c>
      <c r="N74" s="3">
        <f t="shared" si="12"/>
        <v>0.4</v>
      </c>
      <c r="O74" s="26" t="str">
        <f t="shared" si="13"/>
        <v>soal diterima baik</v>
      </c>
      <c r="P74" s="33"/>
      <c r="Q74" s="26">
        <v>69</v>
      </c>
      <c r="R74" s="25">
        <f t="shared" si="18"/>
        <v>1</v>
      </c>
      <c r="S74" s="25">
        <f t="shared" si="18"/>
        <v>1</v>
      </c>
      <c r="T74" s="25">
        <f t="shared" si="18"/>
        <v>1</v>
      </c>
      <c r="U74" s="25">
        <f t="shared" si="18"/>
        <v>1</v>
      </c>
      <c r="V74" s="25">
        <f t="shared" si="18"/>
        <v>1</v>
      </c>
      <c r="W74" s="25">
        <f t="shared" si="14"/>
        <v>1</v>
      </c>
      <c r="X74" s="25">
        <f t="shared" si="14"/>
        <v>0</v>
      </c>
      <c r="Y74" s="25">
        <f t="shared" si="14"/>
        <v>0</v>
      </c>
      <c r="Z74" s="25">
        <f t="shared" si="14"/>
        <v>0</v>
      </c>
      <c r="AA74" s="25">
        <f t="shared" si="14"/>
        <v>0</v>
      </c>
      <c r="AB74" s="3">
        <f t="shared" si="15"/>
        <v>0.6</v>
      </c>
      <c r="AC74" s="3">
        <f t="shared" si="16"/>
        <v>0.4</v>
      </c>
      <c r="AD74" s="3">
        <f t="shared" si="17"/>
        <v>0.24</v>
      </c>
      <c r="AE74" s="20"/>
    </row>
    <row r="75" spans="1:31" ht="42" x14ac:dyDescent="0.3">
      <c r="A75" s="28" t="s">
        <v>601</v>
      </c>
      <c r="B75" s="25">
        <v>1</v>
      </c>
      <c r="C75" s="25">
        <v>1</v>
      </c>
      <c r="D75" s="25">
        <v>1</v>
      </c>
      <c r="E75" s="25">
        <v>1</v>
      </c>
      <c r="F75" s="25">
        <v>0</v>
      </c>
      <c r="G75" s="25">
        <v>1</v>
      </c>
      <c r="H75" s="25">
        <v>0</v>
      </c>
      <c r="I75" s="25">
        <v>0</v>
      </c>
      <c r="J75" s="25">
        <v>1</v>
      </c>
      <c r="K75" s="25">
        <v>0</v>
      </c>
      <c r="L75" s="3">
        <f t="shared" si="10"/>
        <v>0.6</v>
      </c>
      <c r="M75" s="26" t="str">
        <f t="shared" si="11"/>
        <v>sedang</v>
      </c>
      <c r="N75" s="3">
        <f t="shared" si="12"/>
        <v>0.4</v>
      </c>
      <c r="O75" s="26" t="str">
        <f t="shared" si="13"/>
        <v>soal diterima baik</v>
      </c>
      <c r="P75" s="33"/>
      <c r="Q75" s="26">
        <v>70</v>
      </c>
      <c r="R75" s="25">
        <f t="shared" si="18"/>
        <v>1</v>
      </c>
      <c r="S75" s="25">
        <f t="shared" si="18"/>
        <v>0</v>
      </c>
      <c r="T75" s="25">
        <f t="shared" si="18"/>
        <v>1</v>
      </c>
      <c r="U75" s="25">
        <f t="shared" si="18"/>
        <v>0</v>
      </c>
      <c r="V75" s="25">
        <f t="shared" si="18"/>
        <v>1</v>
      </c>
      <c r="W75" s="25">
        <f t="shared" si="14"/>
        <v>0</v>
      </c>
      <c r="X75" s="25">
        <f t="shared" si="14"/>
        <v>0</v>
      </c>
      <c r="Y75" s="25">
        <f t="shared" si="14"/>
        <v>1</v>
      </c>
      <c r="Z75" s="25">
        <f t="shared" si="14"/>
        <v>0</v>
      </c>
      <c r="AA75" s="25">
        <f t="shared" si="14"/>
        <v>0</v>
      </c>
      <c r="AB75" s="3">
        <f t="shared" si="15"/>
        <v>0.4</v>
      </c>
      <c r="AC75" s="3">
        <f t="shared" si="16"/>
        <v>0.6</v>
      </c>
      <c r="AD75" s="3">
        <f t="shared" si="17"/>
        <v>0.24</v>
      </c>
      <c r="AE75" s="20"/>
    </row>
    <row r="76" spans="1:31" ht="28" x14ac:dyDescent="0.3">
      <c r="A76" s="24" t="s">
        <v>602</v>
      </c>
      <c r="B76" s="25">
        <v>0</v>
      </c>
      <c r="C76" s="25">
        <v>1</v>
      </c>
      <c r="D76" s="25">
        <v>0</v>
      </c>
      <c r="E76" s="25">
        <v>0</v>
      </c>
      <c r="F76" s="25">
        <v>0</v>
      </c>
      <c r="G76" s="25">
        <v>0</v>
      </c>
      <c r="H76" s="25">
        <v>0</v>
      </c>
      <c r="I76" s="25">
        <v>1</v>
      </c>
      <c r="J76" s="25">
        <v>1</v>
      </c>
      <c r="K76" s="25">
        <v>1</v>
      </c>
      <c r="L76" s="3">
        <f t="shared" si="10"/>
        <v>0.4</v>
      </c>
      <c r="M76" s="26" t="str">
        <f t="shared" si="11"/>
        <v>sedang</v>
      </c>
      <c r="N76" s="3">
        <f t="shared" si="12"/>
        <v>0.4</v>
      </c>
      <c r="O76" s="26" t="str">
        <f t="shared" si="13"/>
        <v>soal diterima baik</v>
      </c>
      <c r="P76" s="33"/>
      <c r="Q76" s="26">
        <v>71</v>
      </c>
      <c r="R76" s="25">
        <f t="shared" si="18"/>
        <v>1</v>
      </c>
      <c r="S76" s="25">
        <f t="shared" si="18"/>
        <v>1</v>
      </c>
      <c r="T76" s="25">
        <f t="shared" si="18"/>
        <v>1</v>
      </c>
      <c r="U76" s="25">
        <f t="shared" si="18"/>
        <v>1</v>
      </c>
      <c r="V76" s="25">
        <f t="shared" si="18"/>
        <v>0</v>
      </c>
      <c r="W76" s="25">
        <f t="shared" si="14"/>
        <v>1</v>
      </c>
      <c r="X76" s="25">
        <f t="shared" si="14"/>
        <v>0</v>
      </c>
      <c r="Y76" s="25">
        <f t="shared" si="14"/>
        <v>0</v>
      </c>
      <c r="Z76" s="25">
        <f t="shared" si="14"/>
        <v>1</v>
      </c>
      <c r="AA76" s="25">
        <f t="shared" si="14"/>
        <v>0</v>
      </c>
      <c r="AB76" s="3">
        <f t="shared" si="15"/>
        <v>0.6</v>
      </c>
      <c r="AC76" s="3">
        <f t="shared" si="16"/>
        <v>0.4</v>
      </c>
      <c r="AD76" s="3">
        <f t="shared" si="17"/>
        <v>0.24</v>
      </c>
      <c r="AE76" s="20"/>
    </row>
    <row r="77" spans="1:31" ht="70" x14ac:dyDescent="0.3">
      <c r="A77" s="30" t="s">
        <v>603</v>
      </c>
      <c r="B77" s="25">
        <v>0</v>
      </c>
      <c r="C77" s="25">
        <v>1</v>
      </c>
      <c r="D77" s="25">
        <v>0</v>
      </c>
      <c r="E77" s="25">
        <v>1</v>
      </c>
      <c r="F77" s="25">
        <v>0</v>
      </c>
      <c r="G77" s="25">
        <v>1</v>
      </c>
      <c r="H77" s="25">
        <v>0</v>
      </c>
      <c r="I77" s="25">
        <v>1</v>
      </c>
      <c r="J77" s="25">
        <v>1</v>
      </c>
      <c r="K77" s="25">
        <v>1</v>
      </c>
      <c r="L77" s="3">
        <f t="shared" si="10"/>
        <v>0.6</v>
      </c>
      <c r="M77" s="26" t="str">
        <f t="shared" si="11"/>
        <v>sedang</v>
      </c>
      <c r="N77" s="3">
        <f t="shared" si="12"/>
        <v>0.4</v>
      </c>
      <c r="O77" s="26" t="str">
        <f t="shared" si="13"/>
        <v>soal diterima baik</v>
      </c>
      <c r="P77" s="33"/>
      <c r="Q77" s="26">
        <v>72</v>
      </c>
      <c r="R77" s="25">
        <f t="shared" si="18"/>
        <v>0</v>
      </c>
      <c r="S77" s="25">
        <f t="shared" si="18"/>
        <v>1</v>
      </c>
      <c r="T77" s="25">
        <f t="shared" si="18"/>
        <v>0</v>
      </c>
      <c r="U77" s="25">
        <f t="shared" si="18"/>
        <v>0</v>
      </c>
      <c r="V77" s="25">
        <f t="shared" si="18"/>
        <v>0</v>
      </c>
      <c r="W77" s="25">
        <f t="shared" si="14"/>
        <v>0</v>
      </c>
      <c r="X77" s="25">
        <f t="shared" si="14"/>
        <v>0</v>
      </c>
      <c r="Y77" s="25">
        <f t="shared" si="14"/>
        <v>1</v>
      </c>
      <c r="Z77" s="25">
        <f t="shared" si="14"/>
        <v>1</v>
      </c>
      <c r="AA77" s="25">
        <f t="shared" si="14"/>
        <v>1</v>
      </c>
      <c r="AB77" s="3">
        <f t="shared" si="15"/>
        <v>0.4</v>
      </c>
      <c r="AC77" s="3">
        <f t="shared" si="16"/>
        <v>0.6</v>
      </c>
      <c r="AD77" s="3">
        <f t="shared" si="17"/>
        <v>0.24</v>
      </c>
      <c r="AE77" s="20"/>
    </row>
    <row r="78" spans="1:31" ht="42" x14ac:dyDescent="0.3">
      <c r="A78" s="24" t="s">
        <v>604</v>
      </c>
      <c r="B78" s="25">
        <v>0</v>
      </c>
      <c r="C78" s="25">
        <v>1</v>
      </c>
      <c r="D78" s="25">
        <v>0</v>
      </c>
      <c r="E78" s="25">
        <v>0</v>
      </c>
      <c r="F78" s="25">
        <v>1</v>
      </c>
      <c r="G78" s="25">
        <v>0</v>
      </c>
      <c r="H78" s="25">
        <v>0</v>
      </c>
      <c r="I78" s="25">
        <v>0</v>
      </c>
      <c r="J78" s="25">
        <v>0</v>
      </c>
      <c r="K78" s="25">
        <v>0</v>
      </c>
      <c r="L78" s="3">
        <f t="shared" si="10"/>
        <v>0.2</v>
      </c>
      <c r="M78" s="26" t="str">
        <f t="shared" si="11"/>
        <v>sukar</v>
      </c>
      <c r="N78" s="3">
        <f t="shared" si="12"/>
        <v>0.4</v>
      </c>
      <c r="O78" s="26" t="str">
        <f t="shared" si="13"/>
        <v>soal diterima baik</v>
      </c>
      <c r="P78" s="33"/>
      <c r="Q78" s="26">
        <v>73</v>
      </c>
      <c r="R78" s="25">
        <f t="shared" si="18"/>
        <v>0</v>
      </c>
      <c r="S78" s="25">
        <f t="shared" si="18"/>
        <v>1</v>
      </c>
      <c r="T78" s="25">
        <f t="shared" si="18"/>
        <v>0</v>
      </c>
      <c r="U78" s="25">
        <f t="shared" si="18"/>
        <v>1</v>
      </c>
      <c r="V78" s="25">
        <f t="shared" si="18"/>
        <v>0</v>
      </c>
      <c r="W78" s="25">
        <f t="shared" si="14"/>
        <v>1</v>
      </c>
      <c r="X78" s="25">
        <f t="shared" si="14"/>
        <v>0</v>
      </c>
      <c r="Y78" s="25">
        <f t="shared" si="14"/>
        <v>1</v>
      </c>
      <c r="Z78" s="25">
        <f t="shared" si="14"/>
        <v>1</v>
      </c>
      <c r="AA78" s="25">
        <f t="shared" si="14"/>
        <v>1</v>
      </c>
      <c r="AB78" s="3">
        <f t="shared" si="15"/>
        <v>0.6</v>
      </c>
      <c r="AC78" s="3">
        <f t="shared" si="16"/>
        <v>0.4</v>
      </c>
      <c r="AD78" s="3">
        <f t="shared" si="17"/>
        <v>0.24</v>
      </c>
      <c r="AE78" s="20"/>
    </row>
    <row r="79" spans="1:31" ht="28" x14ac:dyDescent="0.3">
      <c r="A79" s="30" t="s">
        <v>605</v>
      </c>
      <c r="B79" s="25">
        <v>0</v>
      </c>
      <c r="C79" s="25">
        <v>1</v>
      </c>
      <c r="D79" s="25">
        <v>1</v>
      </c>
      <c r="E79" s="25">
        <v>0</v>
      </c>
      <c r="F79" s="25">
        <v>1</v>
      </c>
      <c r="G79" s="25">
        <v>0</v>
      </c>
      <c r="H79" s="25">
        <v>0</v>
      </c>
      <c r="I79" s="25">
        <v>1</v>
      </c>
      <c r="J79" s="25">
        <v>0</v>
      </c>
      <c r="K79" s="25">
        <v>0</v>
      </c>
      <c r="L79" s="3">
        <f t="shared" si="10"/>
        <v>0.4</v>
      </c>
      <c r="M79" s="26" t="str">
        <f t="shared" si="11"/>
        <v>sedang</v>
      </c>
      <c r="N79" s="3">
        <f t="shared" si="12"/>
        <v>0.4</v>
      </c>
      <c r="O79" s="26" t="str">
        <f t="shared" si="13"/>
        <v>soal diterima baik</v>
      </c>
      <c r="P79" s="33"/>
      <c r="Q79" s="26">
        <v>74</v>
      </c>
      <c r="R79" s="25">
        <f t="shared" si="18"/>
        <v>0</v>
      </c>
      <c r="S79" s="25">
        <f t="shared" si="18"/>
        <v>1</v>
      </c>
      <c r="T79" s="25">
        <f t="shared" si="18"/>
        <v>0</v>
      </c>
      <c r="U79" s="25">
        <f t="shared" si="18"/>
        <v>0</v>
      </c>
      <c r="V79" s="25">
        <f t="shared" si="18"/>
        <v>1</v>
      </c>
      <c r="W79" s="25">
        <f t="shared" si="14"/>
        <v>0</v>
      </c>
      <c r="X79" s="25">
        <f t="shared" si="14"/>
        <v>0</v>
      </c>
      <c r="Y79" s="25">
        <f t="shared" si="14"/>
        <v>0</v>
      </c>
      <c r="Z79" s="25">
        <f t="shared" si="14"/>
        <v>0</v>
      </c>
      <c r="AA79" s="25">
        <f t="shared" si="14"/>
        <v>0</v>
      </c>
      <c r="AB79" s="3">
        <f t="shared" si="15"/>
        <v>0.2</v>
      </c>
      <c r="AC79" s="3">
        <f t="shared" si="16"/>
        <v>0.8</v>
      </c>
      <c r="AD79" s="3">
        <f t="shared" si="17"/>
        <v>0.16000000000000003</v>
      </c>
      <c r="AE79" s="20"/>
    </row>
    <row r="80" spans="1:31" ht="56" x14ac:dyDescent="0.3">
      <c r="A80" s="28" t="s">
        <v>606</v>
      </c>
      <c r="B80" s="25">
        <v>1</v>
      </c>
      <c r="C80" s="25">
        <v>1</v>
      </c>
      <c r="D80" s="25">
        <v>0</v>
      </c>
      <c r="E80" s="25">
        <v>1</v>
      </c>
      <c r="F80" s="25">
        <v>0</v>
      </c>
      <c r="G80" s="25">
        <v>0</v>
      </c>
      <c r="H80" s="25">
        <v>0</v>
      </c>
      <c r="I80" s="25">
        <v>0</v>
      </c>
      <c r="J80" s="25">
        <v>0</v>
      </c>
      <c r="K80" s="25">
        <v>1</v>
      </c>
      <c r="L80" s="3">
        <f t="shared" si="10"/>
        <v>0.4</v>
      </c>
      <c r="M80" s="26" t="str">
        <f t="shared" si="11"/>
        <v>sedang</v>
      </c>
      <c r="N80" s="3">
        <f t="shared" si="12"/>
        <v>0.4</v>
      </c>
      <c r="O80" s="26" t="str">
        <f t="shared" si="13"/>
        <v>soal diterima baik</v>
      </c>
      <c r="P80" s="33"/>
      <c r="Q80" s="26">
        <v>75</v>
      </c>
      <c r="R80" s="25">
        <f t="shared" si="18"/>
        <v>0</v>
      </c>
      <c r="S80" s="25">
        <f t="shared" si="18"/>
        <v>1</v>
      </c>
      <c r="T80" s="25">
        <f t="shared" si="18"/>
        <v>1</v>
      </c>
      <c r="U80" s="25">
        <f t="shared" si="18"/>
        <v>0</v>
      </c>
      <c r="V80" s="25">
        <f t="shared" si="18"/>
        <v>1</v>
      </c>
      <c r="W80" s="25">
        <f t="shared" si="14"/>
        <v>0</v>
      </c>
      <c r="X80" s="25">
        <f t="shared" si="14"/>
        <v>0</v>
      </c>
      <c r="Y80" s="25">
        <f t="shared" si="14"/>
        <v>1</v>
      </c>
      <c r="Z80" s="25">
        <f t="shared" si="14"/>
        <v>0</v>
      </c>
      <c r="AA80" s="25">
        <f t="shared" si="14"/>
        <v>0</v>
      </c>
      <c r="AB80" s="3">
        <f t="shared" si="15"/>
        <v>0.4</v>
      </c>
      <c r="AC80" s="3">
        <f t="shared" si="16"/>
        <v>0.6</v>
      </c>
      <c r="AD80" s="3">
        <f t="shared" si="17"/>
        <v>0.24</v>
      </c>
      <c r="AE80" s="20"/>
    </row>
    <row r="81" spans="1:31" ht="28" x14ac:dyDescent="0.3">
      <c r="A81" s="28" t="s">
        <v>607</v>
      </c>
      <c r="B81" s="25">
        <v>0</v>
      </c>
      <c r="C81" s="25">
        <v>1</v>
      </c>
      <c r="D81" s="25">
        <v>0</v>
      </c>
      <c r="E81" s="25">
        <v>1</v>
      </c>
      <c r="F81" s="25">
        <v>0</v>
      </c>
      <c r="G81" s="25">
        <v>0</v>
      </c>
      <c r="H81" s="25">
        <v>0</v>
      </c>
      <c r="I81" s="25">
        <v>0</v>
      </c>
      <c r="J81" s="25">
        <v>0</v>
      </c>
      <c r="K81" s="25">
        <v>0</v>
      </c>
      <c r="L81" s="3">
        <f t="shared" si="10"/>
        <v>0.2</v>
      </c>
      <c r="M81" s="26" t="str">
        <f t="shared" si="11"/>
        <v>sukar</v>
      </c>
      <c r="N81" s="3">
        <f t="shared" si="12"/>
        <v>0.4</v>
      </c>
      <c r="O81" s="26" t="str">
        <f t="shared" si="13"/>
        <v>soal diterima baik</v>
      </c>
      <c r="P81" s="33"/>
      <c r="Q81" s="26">
        <v>76</v>
      </c>
      <c r="R81" s="25">
        <f t="shared" si="18"/>
        <v>1</v>
      </c>
      <c r="S81" s="25">
        <f t="shared" si="18"/>
        <v>1</v>
      </c>
      <c r="T81" s="25">
        <f t="shared" si="18"/>
        <v>0</v>
      </c>
      <c r="U81" s="25">
        <f t="shared" si="18"/>
        <v>1</v>
      </c>
      <c r="V81" s="25">
        <f t="shared" si="18"/>
        <v>0</v>
      </c>
      <c r="W81" s="25">
        <f t="shared" si="14"/>
        <v>0</v>
      </c>
      <c r="X81" s="25">
        <f t="shared" si="14"/>
        <v>0</v>
      </c>
      <c r="Y81" s="25">
        <f t="shared" si="14"/>
        <v>0</v>
      </c>
      <c r="Z81" s="25">
        <f t="shared" si="14"/>
        <v>0</v>
      </c>
      <c r="AA81" s="25">
        <f t="shared" si="14"/>
        <v>1</v>
      </c>
      <c r="AB81" s="3">
        <f t="shared" si="15"/>
        <v>0.4</v>
      </c>
      <c r="AC81" s="3">
        <f t="shared" si="16"/>
        <v>0.6</v>
      </c>
      <c r="AD81" s="3">
        <f t="shared" si="17"/>
        <v>0.24</v>
      </c>
      <c r="AE81" s="20"/>
    </row>
    <row r="82" spans="1:31" ht="42" x14ac:dyDescent="0.3">
      <c r="A82" s="24" t="s">
        <v>608</v>
      </c>
      <c r="B82" s="25">
        <v>0</v>
      </c>
      <c r="C82" s="25">
        <v>1</v>
      </c>
      <c r="D82" s="25">
        <v>0</v>
      </c>
      <c r="E82" s="25">
        <v>1</v>
      </c>
      <c r="F82" s="25">
        <v>1</v>
      </c>
      <c r="G82" s="25">
        <v>1</v>
      </c>
      <c r="H82" s="25">
        <v>1</v>
      </c>
      <c r="I82" s="25">
        <v>1</v>
      </c>
      <c r="J82" s="25">
        <v>1</v>
      </c>
      <c r="K82" s="25">
        <v>1</v>
      </c>
      <c r="L82" s="3">
        <f t="shared" si="10"/>
        <v>0.8</v>
      </c>
      <c r="M82" s="26" t="str">
        <f t="shared" si="11"/>
        <v>mudah</v>
      </c>
      <c r="N82" s="3">
        <f t="shared" si="12"/>
        <v>0.4</v>
      </c>
      <c r="O82" s="26" t="str">
        <f t="shared" si="13"/>
        <v>soal diterima baik</v>
      </c>
      <c r="P82" s="33"/>
      <c r="Q82" s="26">
        <v>77</v>
      </c>
      <c r="R82" s="25">
        <f t="shared" si="18"/>
        <v>0</v>
      </c>
      <c r="S82" s="25">
        <f t="shared" si="18"/>
        <v>1</v>
      </c>
      <c r="T82" s="25">
        <f t="shared" si="18"/>
        <v>0</v>
      </c>
      <c r="U82" s="25">
        <f t="shared" si="18"/>
        <v>1</v>
      </c>
      <c r="V82" s="25">
        <f t="shared" si="18"/>
        <v>0</v>
      </c>
      <c r="W82" s="25">
        <f t="shared" si="14"/>
        <v>0</v>
      </c>
      <c r="X82" s="25">
        <f t="shared" si="14"/>
        <v>0</v>
      </c>
      <c r="Y82" s="25">
        <f t="shared" si="14"/>
        <v>0</v>
      </c>
      <c r="Z82" s="25">
        <f t="shared" si="14"/>
        <v>0</v>
      </c>
      <c r="AA82" s="25">
        <f t="shared" si="14"/>
        <v>0</v>
      </c>
      <c r="AB82" s="3">
        <f t="shared" si="15"/>
        <v>0.2</v>
      </c>
      <c r="AC82" s="3">
        <f t="shared" si="16"/>
        <v>0.8</v>
      </c>
      <c r="AD82" s="3">
        <f t="shared" si="17"/>
        <v>0.16000000000000003</v>
      </c>
      <c r="AE82" s="20"/>
    </row>
    <row r="83" spans="1:31" ht="28" x14ac:dyDescent="0.3">
      <c r="A83" s="28" t="s">
        <v>609</v>
      </c>
      <c r="B83" s="25">
        <v>0</v>
      </c>
      <c r="C83" s="25">
        <v>0</v>
      </c>
      <c r="D83" s="25">
        <v>0</v>
      </c>
      <c r="E83" s="25">
        <v>0</v>
      </c>
      <c r="F83" s="25">
        <v>0</v>
      </c>
      <c r="G83" s="25">
        <v>0</v>
      </c>
      <c r="H83" s="25">
        <v>1</v>
      </c>
      <c r="I83" s="25">
        <v>0</v>
      </c>
      <c r="J83" s="25">
        <v>1</v>
      </c>
      <c r="K83" s="25">
        <v>0</v>
      </c>
      <c r="L83" s="3">
        <f t="shared" si="10"/>
        <v>0.2</v>
      </c>
      <c r="M83" s="26" t="str">
        <f t="shared" si="11"/>
        <v>sukar</v>
      </c>
      <c r="N83" s="3">
        <f t="shared" si="12"/>
        <v>0.4</v>
      </c>
      <c r="O83" s="26" t="str">
        <f t="shared" si="13"/>
        <v>soal diterima baik</v>
      </c>
      <c r="P83" s="33"/>
      <c r="Q83" s="26">
        <v>78</v>
      </c>
      <c r="R83" s="25">
        <f t="shared" si="18"/>
        <v>0</v>
      </c>
      <c r="S83" s="25">
        <f t="shared" si="18"/>
        <v>1</v>
      </c>
      <c r="T83" s="25">
        <f t="shared" si="18"/>
        <v>0</v>
      </c>
      <c r="U83" s="25">
        <f t="shared" si="18"/>
        <v>1</v>
      </c>
      <c r="V83" s="25">
        <f t="shared" si="18"/>
        <v>1</v>
      </c>
      <c r="W83" s="25">
        <f t="shared" si="14"/>
        <v>1</v>
      </c>
      <c r="X83" s="25">
        <f t="shared" si="14"/>
        <v>1</v>
      </c>
      <c r="Y83" s="25">
        <f t="shared" si="14"/>
        <v>1</v>
      </c>
      <c r="Z83" s="25">
        <f t="shared" si="14"/>
        <v>1</v>
      </c>
      <c r="AA83" s="25">
        <f t="shared" si="14"/>
        <v>1</v>
      </c>
      <c r="AB83" s="3">
        <f t="shared" si="15"/>
        <v>0.8</v>
      </c>
      <c r="AC83" s="3">
        <f t="shared" si="16"/>
        <v>0.19999999999999996</v>
      </c>
      <c r="AD83" s="3">
        <f t="shared" si="17"/>
        <v>0.15999999999999998</v>
      </c>
      <c r="AE83" s="20"/>
    </row>
    <row r="84" spans="1:31" x14ac:dyDescent="0.3">
      <c r="A84" s="28" t="s">
        <v>610</v>
      </c>
      <c r="B84" s="25">
        <v>0</v>
      </c>
      <c r="C84" s="25">
        <v>1</v>
      </c>
      <c r="D84" s="25">
        <v>1</v>
      </c>
      <c r="E84" s="25">
        <v>0</v>
      </c>
      <c r="F84" s="25">
        <v>1</v>
      </c>
      <c r="G84" s="25">
        <v>0</v>
      </c>
      <c r="H84" s="25">
        <v>1</v>
      </c>
      <c r="I84" s="25">
        <v>0</v>
      </c>
      <c r="J84" s="25">
        <v>0</v>
      </c>
      <c r="K84" s="25">
        <v>0</v>
      </c>
      <c r="L84" s="3">
        <f t="shared" si="10"/>
        <v>0.4</v>
      </c>
      <c r="M84" s="26" t="str">
        <f t="shared" si="11"/>
        <v>sedang</v>
      </c>
      <c r="N84" s="3">
        <f t="shared" si="12"/>
        <v>0.4</v>
      </c>
      <c r="O84" s="26" t="str">
        <f t="shared" si="13"/>
        <v>soal diterima baik</v>
      </c>
      <c r="P84" s="33"/>
      <c r="Q84" s="26">
        <v>79</v>
      </c>
      <c r="R84" s="25">
        <f t="shared" si="18"/>
        <v>0</v>
      </c>
      <c r="S84" s="25">
        <f t="shared" si="18"/>
        <v>0</v>
      </c>
      <c r="T84" s="25">
        <f t="shared" si="18"/>
        <v>0</v>
      </c>
      <c r="U84" s="25">
        <f t="shared" si="18"/>
        <v>0</v>
      </c>
      <c r="V84" s="25">
        <f t="shared" si="18"/>
        <v>0</v>
      </c>
      <c r="W84" s="25">
        <f t="shared" si="14"/>
        <v>0</v>
      </c>
      <c r="X84" s="25">
        <f t="shared" si="14"/>
        <v>1</v>
      </c>
      <c r="Y84" s="25">
        <f t="shared" si="14"/>
        <v>0</v>
      </c>
      <c r="Z84" s="25">
        <f t="shared" si="14"/>
        <v>1</v>
      </c>
      <c r="AA84" s="25">
        <f t="shared" si="14"/>
        <v>0</v>
      </c>
      <c r="AB84" s="3">
        <f t="shared" si="15"/>
        <v>0.2</v>
      </c>
      <c r="AC84" s="3">
        <f t="shared" si="16"/>
        <v>0.8</v>
      </c>
      <c r="AD84" s="3">
        <f t="shared" si="17"/>
        <v>0.16000000000000003</v>
      </c>
      <c r="AE84" s="20"/>
    </row>
    <row r="85" spans="1:31" ht="79.5" customHeight="1" x14ac:dyDescent="0.3">
      <c r="A85" s="24" t="s">
        <v>611</v>
      </c>
      <c r="B85" s="25">
        <v>0</v>
      </c>
      <c r="C85" s="25">
        <v>1</v>
      </c>
      <c r="D85" s="25">
        <v>1</v>
      </c>
      <c r="E85" s="25">
        <v>0</v>
      </c>
      <c r="F85" s="25">
        <v>1</v>
      </c>
      <c r="G85" s="25">
        <v>0</v>
      </c>
      <c r="H85" s="25">
        <v>1</v>
      </c>
      <c r="I85" s="25">
        <v>0</v>
      </c>
      <c r="J85" s="25">
        <v>0</v>
      </c>
      <c r="K85" s="25">
        <v>0</v>
      </c>
      <c r="L85" s="3">
        <f t="shared" si="10"/>
        <v>0.4</v>
      </c>
      <c r="M85" s="26" t="str">
        <f t="shared" si="11"/>
        <v>sedang</v>
      </c>
      <c r="N85" s="3">
        <f t="shared" si="12"/>
        <v>0.4</v>
      </c>
      <c r="O85" s="26" t="str">
        <f t="shared" si="13"/>
        <v>soal diterima baik</v>
      </c>
      <c r="P85" s="33"/>
      <c r="Q85" s="26">
        <v>80</v>
      </c>
      <c r="R85" s="25">
        <f t="shared" si="18"/>
        <v>0</v>
      </c>
      <c r="S85" s="25">
        <f t="shared" si="18"/>
        <v>1</v>
      </c>
      <c r="T85" s="25">
        <f t="shared" si="18"/>
        <v>1</v>
      </c>
      <c r="U85" s="25">
        <f t="shared" si="18"/>
        <v>0</v>
      </c>
      <c r="V85" s="25">
        <f t="shared" si="18"/>
        <v>1</v>
      </c>
      <c r="W85" s="25">
        <f t="shared" si="14"/>
        <v>0</v>
      </c>
      <c r="X85" s="25">
        <f t="shared" si="14"/>
        <v>1</v>
      </c>
      <c r="Y85" s="25">
        <f t="shared" si="14"/>
        <v>0</v>
      </c>
      <c r="Z85" s="25">
        <f t="shared" si="14"/>
        <v>0</v>
      </c>
      <c r="AA85" s="25">
        <f t="shared" si="14"/>
        <v>0</v>
      </c>
      <c r="AB85" s="3">
        <f t="shared" si="15"/>
        <v>0.4</v>
      </c>
      <c r="AC85" s="3">
        <f t="shared" si="16"/>
        <v>0.6</v>
      </c>
      <c r="AD85" s="3">
        <f t="shared" si="17"/>
        <v>0.24</v>
      </c>
      <c r="AE85" s="20"/>
    </row>
    <row r="86" spans="1:31" ht="28" x14ac:dyDescent="0.3">
      <c r="A86" s="24" t="s">
        <v>612</v>
      </c>
      <c r="B86" s="25">
        <v>0</v>
      </c>
      <c r="C86" s="25">
        <v>1</v>
      </c>
      <c r="D86" s="25">
        <v>0</v>
      </c>
      <c r="E86" s="25">
        <v>1</v>
      </c>
      <c r="F86" s="25">
        <v>0</v>
      </c>
      <c r="G86" s="25">
        <v>0</v>
      </c>
      <c r="H86" s="25">
        <v>0</v>
      </c>
      <c r="I86" s="25">
        <v>0</v>
      </c>
      <c r="J86" s="25">
        <v>0</v>
      </c>
      <c r="K86" s="25">
        <v>0</v>
      </c>
      <c r="L86" s="3">
        <f t="shared" si="10"/>
        <v>0.2</v>
      </c>
      <c r="M86" s="26" t="str">
        <f t="shared" si="11"/>
        <v>sukar</v>
      </c>
      <c r="N86" s="3">
        <f t="shared" si="12"/>
        <v>0.4</v>
      </c>
      <c r="O86" s="26" t="str">
        <f t="shared" si="13"/>
        <v>soal diterima baik</v>
      </c>
      <c r="P86" s="33"/>
      <c r="Q86" s="26">
        <v>81</v>
      </c>
      <c r="R86" s="25">
        <f t="shared" si="18"/>
        <v>0</v>
      </c>
      <c r="S86" s="25">
        <f t="shared" si="18"/>
        <v>1</v>
      </c>
      <c r="T86" s="25">
        <f t="shared" si="18"/>
        <v>1</v>
      </c>
      <c r="U86" s="25">
        <f t="shared" si="18"/>
        <v>0</v>
      </c>
      <c r="V86" s="25">
        <f t="shared" si="18"/>
        <v>1</v>
      </c>
      <c r="W86" s="25">
        <f t="shared" si="14"/>
        <v>0</v>
      </c>
      <c r="X86" s="25">
        <f t="shared" si="14"/>
        <v>1</v>
      </c>
      <c r="Y86" s="25">
        <f t="shared" si="14"/>
        <v>0</v>
      </c>
      <c r="Z86" s="25">
        <f t="shared" si="14"/>
        <v>0</v>
      </c>
      <c r="AA86" s="25">
        <f t="shared" si="14"/>
        <v>0</v>
      </c>
      <c r="AB86" s="3">
        <f t="shared" si="15"/>
        <v>0.4</v>
      </c>
      <c r="AC86" s="3">
        <f t="shared" si="16"/>
        <v>0.6</v>
      </c>
      <c r="AD86" s="3">
        <f t="shared" si="17"/>
        <v>0.24</v>
      </c>
      <c r="AE86" s="20"/>
    </row>
    <row r="87" spans="1:31" ht="42" x14ac:dyDescent="0.3">
      <c r="A87" s="28" t="s">
        <v>613</v>
      </c>
      <c r="B87" s="25">
        <v>0</v>
      </c>
      <c r="C87" s="25">
        <v>0</v>
      </c>
      <c r="D87" s="25">
        <v>1</v>
      </c>
      <c r="E87" s="25">
        <v>0</v>
      </c>
      <c r="F87" s="25">
        <v>0</v>
      </c>
      <c r="G87" s="25">
        <v>1</v>
      </c>
      <c r="H87" s="25">
        <v>1</v>
      </c>
      <c r="I87" s="25">
        <v>1</v>
      </c>
      <c r="J87" s="25">
        <v>1</v>
      </c>
      <c r="K87" s="25">
        <v>1</v>
      </c>
      <c r="L87" s="3">
        <f t="shared" si="10"/>
        <v>0.6</v>
      </c>
      <c r="M87" s="26" t="str">
        <f t="shared" si="11"/>
        <v>sedang</v>
      </c>
      <c r="N87" s="3">
        <f t="shared" si="12"/>
        <v>0.8</v>
      </c>
      <c r="O87" s="26" t="str">
        <f t="shared" si="13"/>
        <v>soal diterima baik</v>
      </c>
      <c r="P87" s="33"/>
      <c r="Q87" s="26">
        <v>82</v>
      </c>
      <c r="R87" s="25">
        <f t="shared" si="18"/>
        <v>0</v>
      </c>
      <c r="S87" s="25">
        <f t="shared" si="18"/>
        <v>1</v>
      </c>
      <c r="T87" s="25">
        <f t="shared" si="18"/>
        <v>0</v>
      </c>
      <c r="U87" s="25">
        <f t="shared" si="18"/>
        <v>1</v>
      </c>
      <c r="V87" s="25">
        <f t="shared" si="18"/>
        <v>0</v>
      </c>
      <c r="W87" s="25">
        <f t="shared" si="14"/>
        <v>0</v>
      </c>
      <c r="X87" s="25">
        <f t="shared" si="14"/>
        <v>0</v>
      </c>
      <c r="Y87" s="25">
        <f t="shared" si="14"/>
        <v>0</v>
      </c>
      <c r="Z87" s="25">
        <f t="shared" si="14"/>
        <v>0</v>
      </c>
      <c r="AA87" s="25">
        <f t="shared" si="14"/>
        <v>0</v>
      </c>
      <c r="AB87" s="3">
        <f t="shared" si="15"/>
        <v>0.2</v>
      </c>
      <c r="AC87" s="3">
        <f t="shared" si="16"/>
        <v>0.8</v>
      </c>
      <c r="AD87" s="3">
        <f t="shared" si="17"/>
        <v>0.16000000000000003</v>
      </c>
      <c r="AE87" s="20"/>
    </row>
    <row r="88" spans="1:31" ht="28" x14ac:dyDescent="0.3">
      <c r="A88" s="28" t="s">
        <v>614</v>
      </c>
      <c r="B88" s="25">
        <v>1</v>
      </c>
      <c r="C88" s="25">
        <v>1</v>
      </c>
      <c r="D88" s="25">
        <v>1</v>
      </c>
      <c r="E88" s="25">
        <v>1</v>
      </c>
      <c r="F88" s="25">
        <v>1</v>
      </c>
      <c r="G88" s="25">
        <v>1</v>
      </c>
      <c r="H88" s="25">
        <v>1</v>
      </c>
      <c r="I88" s="25">
        <v>0</v>
      </c>
      <c r="J88" s="25">
        <v>1</v>
      </c>
      <c r="K88" s="25">
        <v>0</v>
      </c>
      <c r="L88" s="3">
        <f t="shared" si="10"/>
        <v>0.8</v>
      </c>
      <c r="M88" s="26" t="str">
        <f t="shared" si="11"/>
        <v>mudah</v>
      </c>
      <c r="N88" s="3">
        <f t="shared" si="12"/>
        <v>0.4</v>
      </c>
      <c r="O88" s="26" t="str">
        <f t="shared" si="13"/>
        <v>soal diterima baik</v>
      </c>
      <c r="P88" s="33"/>
      <c r="Q88" s="26">
        <v>83</v>
      </c>
      <c r="R88" s="25">
        <f t="shared" si="18"/>
        <v>0</v>
      </c>
      <c r="S88" s="25">
        <f t="shared" si="18"/>
        <v>0</v>
      </c>
      <c r="T88" s="25">
        <f t="shared" si="18"/>
        <v>1</v>
      </c>
      <c r="U88" s="25">
        <f t="shared" si="18"/>
        <v>0</v>
      </c>
      <c r="V88" s="25">
        <f t="shared" si="18"/>
        <v>0</v>
      </c>
      <c r="W88" s="25">
        <f t="shared" si="14"/>
        <v>1</v>
      </c>
      <c r="X88" s="25">
        <f t="shared" si="14"/>
        <v>1</v>
      </c>
      <c r="Y88" s="25">
        <f t="shared" si="14"/>
        <v>1</v>
      </c>
      <c r="Z88" s="25">
        <f t="shared" si="14"/>
        <v>1</v>
      </c>
      <c r="AA88" s="25">
        <f t="shared" si="14"/>
        <v>1</v>
      </c>
      <c r="AB88" s="3">
        <f t="shared" si="15"/>
        <v>0.6</v>
      </c>
      <c r="AC88" s="3">
        <f t="shared" si="16"/>
        <v>0.4</v>
      </c>
      <c r="AD88" s="3">
        <f t="shared" si="17"/>
        <v>0.24</v>
      </c>
      <c r="AE88" s="20"/>
    </row>
    <row r="89" spans="1:31" ht="56" x14ac:dyDescent="0.3">
      <c r="A89" s="24" t="s">
        <v>615</v>
      </c>
      <c r="B89" s="25">
        <v>1</v>
      </c>
      <c r="C89" s="25">
        <v>0</v>
      </c>
      <c r="D89" s="25">
        <v>0</v>
      </c>
      <c r="E89" s="25">
        <v>1</v>
      </c>
      <c r="F89" s="25">
        <v>0</v>
      </c>
      <c r="G89" s="25">
        <v>0</v>
      </c>
      <c r="H89" s="25">
        <v>0</v>
      </c>
      <c r="I89" s="25">
        <v>0</v>
      </c>
      <c r="J89" s="25">
        <v>0</v>
      </c>
      <c r="K89" s="25">
        <v>0</v>
      </c>
      <c r="L89" s="3">
        <f t="shared" si="10"/>
        <v>0.2</v>
      </c>
      <c r="M89" s="26" t="str">
        <f t="shared" si="11"/>
        <v>sukar</v>
      </c>
      <c r="N89" s="3">
        <f t="shared" si="12"/>
        <v>0.4</v>
      </c>
      <c r="O89" s="26" t="str">
        <f t="shared" si="13"/>
        <v>soal diterima baik</v>
      </c>
      <c r="P89" s="33"/>
      <c r="Q89" s="26">
        <v>84</v>
      </c>
      <c r="R89" s="25">
        <f t="shared" si="18"/>
        <v>1</v>
      </c>
      <c r="S89" s="25">
        <f t="shared" si="18"/>
        <v>1</v>
      </c>
      <c r="T89" s="25">
        <f t="shared" si="18"/>
        <v>1</v>
      </c>
      <c r="U89" s="25">
        <f t="shared" si="18"/>
        <v>1</v>
      </c>
      <c r="V89" s="25">
        <f t="shared" si="18"/>
        <v>1</v>
      </c>
      <c r="W89" s="25">
        <f t="shared" si="14"/>
        <v>1</v>
      </c>
      <c r="X89" s="25">
        <f t="shared" si="14"/>
        <v>1</v>
      </c>
      <c r="Y89" s="25">
        <f t="shared" si="14"/>
        <v>0</v>
      </c>
      <c r="Z89" s="25">
        <f t="shared" si="14"/>
        <v>1</v>
      </c>
      <c r="AA89" s="25">
        <f t="shared" si="14"/>
        <v>0</v>
      </c>
      <c r="AB89" s="3">
        <f t="shared" si="15"/>
        <v>0.8</v>
      </c>
      <c r="AC89" s="3">
        <f t="shared" si="16"/>
        <v>0.19999999999999996</v>
      </c>
      <c r="AD89" s="3">
        <f t="shared" si="17"/>
        <v>0.15999999999999998</v>
      </c>
      <c r="AE89" s="20"/>
    </row>
    <row r="90" spans="1:31" ht="28" x14ac:dyDescent="0.3">
      <c r="A90" s="24" t="s">
        <v>616</v>
      </c>
      <c r="B90" s="25">
        <v>0</v>
      </c>
      <c r="C90" s="25">
        <v>0</v>
      </c>
      <c r="D90" s="25">
        <v>1</v>
      </c>
      <c r="E90" s="25">
        <v>0</v>
      </c>
      <c r="F90" s="25">
        <v>1</v>
      </c>
      <c r="G90" s="25">
        <v>1</v>
      </c>
      <c r="H90" s="25">
        <v>1</v>
      </c>
      <c r="I90" s="25">
        <v>1</v>
      </c>
      <c r="J90" s="25">
        <v>1</v>
      </c>
      <c r="K90" s="25">
        <v>0</v>
      </c>
      <c r="L90" s="3">
        <f t="shared" si="10"/>
        <v>0.6</v>
      </c>
      <c r="M90" s="26" t="str">
        <f t="shared" si="11"/>
        <v>sedang</v>
      </c>
      <c r="N90" s="3">
        <f t="shared" si="12"/>
        <v>0.4</v>
      </c>
      <c r="O90" s="26" t="str">
        <f t="shared" si="13"/>
        <v>soal diterima baik</v>
      </c>
      <c r="P90" s="33"/>
      <c r="Q90" s="26">
        <v>85</v>
      </c>
      <c r="R90" s="25">
        <f t="shared" si="18"/>
        <v>1</v>
      </c>
      <c r="S90" s="25">
        <f t="shared" si="18"/>
        <v>0</v>
      </c>
      <c r="T90" s="25">
        <f t="shared" si="18"/>
        <v>0</v>
      </c>
      <c r="U90" s="25">
        <f t="shared" si="18"/>
        <v>1</v>
      </c>
      <c r="V90" s="25">
        <f t="shared" si="18"/>
        <v>0</v>
      </c>
      <c r="W90" s="25">
        <f t="shared" si="14"/>
        <v>0</v>
      </c>
      <c r="X90" s="25">
        <f t="shared" si="14"/>
        <v>0</v>
      </c>
      <c r="Y90" s="25">
        <f t="shared" si="14"/>
        <v>0</v>
      </c>
      <c r="Z90" s="25">
        <f t="shared" si="14"/>
        <v>0</v>
      </c>
      <c r="AA90" s="25">
        <f t="shared" si="14"/>
        <v>0</v>
      </c>
      <c r="AB90" s="3">
        <f t="shared" si="15"/>
        <v>0.2</v>
      </c>
      <c r="AC90" s="3">
        <f t="shared" si="16"/>
        <v>0.8</v>
      </c>
      <c r="AD90" s="3">
        <f t="shared" si="17"/>
        <v>0.16000000000000003</v>
      </c>
      <c r="AE90" s="20"/>
    </row>
    <row r="91" spans="1:31" ht="42" x14ac:dyDescent="0.3">
      <c r="A91" s="24" t="s">
        <v>617</v>
      </c>
      <c r="B91" s="25">
        <v>1</v>
      </c>
      <c r="C91" s="25">
        <v>1</v>
      </c>
      <c r="D91" s="25">
        <v>1</v>
      </c>
      <c r="E91" s="25">
        <v>1</v>
      </c>
      <c r="F91" s="25">
        <v>1</v>
      </c>
      <c r="G91" s="25">
        <v>1</v>
      </c>
      <c r="H91" s="25">
        <v>1</v>
      </c>
      <c r="I91" s="25">
        <v>0</v>
      </c>
      <c r="J91" s="25">
        <v>1</v>
      </c>
      <c r="K91" s="25">
        <v>0</v>
      </c>
      <c r="L91" s="3">
        <f t="shared" si="10"/>
        <v>0.8</v>
      </c>
      <c r="M91" s="26" t="str">
        <f t="shared" si="11"/>
        <v>mudah</v>
      </c>
      <c r="N91" s="3">
        <f t="shared" si="12"/>
        <v>0.4</v>
      </c>
      <c r="O91" s="26" t="str">
        <f t="shared" si="13"/>
        <v>soal diterima baik</v>
      </c>
      <c r="P91" s="33"/>
      <c r="Q91" s="26">
        <v>86</v>
      </c>
      <c r="R91" s="25">
        <f t="shared" si="18"/>
        <v>0</v>
      </c>
      <c r="S91" s="25">
        <f t="shared" si="18"/>
        <v>0</v>
      </c>
      <c r="T91" s="25">
        <f t="shared" si="18"/>
        <v>1</v>
      </c>
      <c r="U91" s="25">
        <f t="shared" si="18"/>
        <v>0</v>
      </c>
      <c r="V91" s="25">
        <f t="shared" si="18"/>
        <v>1</v>
      </c>
      <c r="W91" s="25">
        <f t="shared" si="14"/>
        <v>1</v>
      </c>
      <c r="X91" s="25">
        <f t="shared" si="14"/>
        <v>1</v>
      </c>
      <c r="Y91" s="25">
        <f t="shared" si="14"/>
        <v>1</v>
      </c>
      <c r="Z91" s="25">
        <f t="shared" si="14"/>
        <v>1</v>
      </c>
      <c r="AA91" s="25">
        <f t="shared" si="14"/>
        <v>0</v>
      </c>
      <c r="AB91" s="3">
        <f t="shared" si="15"/>
        <v>0.6</v>
      </c>
      <c r="AC91" s="3">
        <f t="shared" si="16"/>
        <v>0.4</v>
      </c>
      <c r="AD91" s="3">
        <f t="shared" si="17"/>
        <v>0.24</v>
      </c>
      <c r="AE91" s="20"/>
    </row>
    <row r="92" spans="1:31" ht="28" x14ac:dyDescent="0.3">
      <c r="A92" s="30" t="s">
        <v>618</v>
      </c>
      <c r="B92" s="25">
        <v>0</v>
      </c>
      <c r="C92" s="25">
        <v>1</v>
      </c>
      <c r="D92" s="25">
        <v>1</v>
      </c>
      <c r="E92" s="25">
        <v>0</v>
      </c>
      <c r="F92" s="25">
        <v>0</v>
      </c>
      <c r="G92" s="25">
        <v>1</v>
      </c>
      <c r="H92" s="25">
        <v>1</v>
      </c>
      <c r="I92" s="25">
        <v>0</v>
      </c>
      <c r="J92" s="25">
        <v>1</v>
      </c>
      <c r="K92" s="25">
        <v>1</v>
      </c>
      <c r="L92" s="3">
        <f t="shared" si="10"/>
        <v>0.6</v>
      </c>
      <c r="M92" s="26" t="str">
        <f t="shared" si="11"/>
        <v>sedang</v>
      </c>
      <c r="N92" s="3">
        <f t="shared" si="12"/>
        <v>0.4</v>
      </c>
      <c r="O92" s="26" t="str">
        <f t="shared" si="13"/>
        <v>soal diterima baik</v>
      </c>
      <c r="P92" s="33"/>
      <c r="Q92" s="26">
        <v>87</v>
      </c>
      <c r="R92" s="25">
        <f t="shared" si="18"/>
        <v>1</v>
      </c>
      <c r="S92" s="25">
        <f t="shared" si="18"/>
        <v>1</v>
      </c>
      <c r="T92" s="25">
        <f t="shared" si="18"/>
        <v>1</v>
      </c>
      <c r="U92" s="25">
        <f t="shared" si="18"/>
        <v>1</v>
      </c>
      <c r="V92" s="25">
        <f t="shared" si="18"/>
        <v>1</v>
      </c>
      <c r="W92" s="25">
        <f t="shared" si="14"/>
        <v>1</v>
      </c>
      <c r="X92" s="25">
        <f t="shared" si="14"/>
        <v>1</v>
      </c>
      <c r="Y92" s="25">
        <f t="shared" si="14"/>
        <v>0</v>
      </c>
      <c r="Z92" s="25">
        <f t="shared" si="14"/>
        <v>1</v>
      </c>
      <c r="AA92" s="25">
        <f t="shared" si="14"/>
        <v>0</v>
      </c>
      <c r="AB92" s="3">
        <f t="shared" si="15"/>
        <v>0.8</v>
      </c>
      <c r="AC92" s="3">
        <f t="shared" si="16"/>
        <v>0.19999999999999996</v>
      </c>
      <c r="AD92" s="3">
        <f t="shared" si="17"/>
        <v>0.15999999999999998</v>
      </c>
      <c r="AE92" s="20"/>
    </row>
    <row r="93" spans="1:31" ht="28" x14ac:dyDescent="0.3">
      <c r="A93" s="24" t="s">
        <v>619</v>
      </c>
      <c r="B93" s="25">
        <v>1</v>
      </c>
      <c r="C93" s="25">
        <v>1</v>
      </c>
      <c r="D93" s="25">
        <v>1</v>
      </c>
      <c r="E93" s="25">
        <v>1</v>
      </c>
      <c r="F93" s="25">
        <v>1</v>
      </c>
      <c r="G93" s="25">
        <v>1</v>
      </c>
      <c r="H93" s="25">
        <v>1</v>
      </c>
      <c r="I93" s="25">
        <v>0</v>
      </c>
      <c r="J93" s="25">
        <v>0</v>
      </c>
      <c r="K93" s="25">
        <v>1</v>
      </c>
      <c r="L93" s="3">
        <f t="shared" si="10"/>
        <v>0.8</v>
      </c>
      <c r="M93" s="26" t="str">
        <f t="shared" si="11"/>
        <v>mudah</v>
      </c>
      <c r="N93" s="3">
        <f t="shared" si="12"/>
        <v>0.4</v>
      </c>
      <c r="O93" s="26" t="str">
        <f t="shared" si="13"/>
        <v>soal diterima baik</v>
      </c>
      <c r="P93" s="33"/>
      <c r="Q93" s="26">
        <v>88</v>
      </c>
      <c r="R93" s="25">
        <f t="shared" si="18"/>
        <v>0</v>
      </c>
      <c r="S93" s="25">
        <f t="shared" si="18"/>
        <v>1</v>
      </c>
      <c r="T93" s="25">
        <f t="shared" si="18"/>
        <v>1</v>
      </c>
      <c r="U93" s="25">
        <f t="shared" si="18"/>
        <v>0</v>
      </c>
      <c r="V93" s="25">
        <f t="shared" si="18"/>
        <v>0</v>
      </c>
      <c r="W93" s="25">
        <f t="shared" si="14"/>
        <v>1</v>
      </c>
      <c r="X93" s="25">
        <f t="shared" si="14"/>
        <v>1</v>
      </c>
      <c r="Y93" s="25">
        <f t="shared" si="14"/>
        <v>0</v>
      </c>
      <c r="Z93" s="25">
        <f t="shared" si="14"/>
        <v>1</v>
      </c>
      <c r="AA93" s="25">
        <f t="shared" si="14"/>
        <v>1</v>
      </c>
      <c r="AB93" s="3">
        <f t="shared" si="15"/>
        <v>0.6</v>
      </c>
      <c r="AC93" s="3">
        <f t="shared" si="16"/>
        <v>0.4</v>
      </c>
      <c r="AD93" s="3">
        <f t="shared" si="17"/>
        <v>0.24</v>
      </c>
      <c r="AE93" s="20"/>
    </row>
    <row r="94" spans="1:31" ht="28" x14ac:dyDescent="0.3">
      <c r="A94" s="28" t="s">
        <v>620</v>
      </c>
      <c r="B94" s="25">
        <v>0</v>
      </c>
      <c r="C94" s="25">
        <v>0</v>
      </c>
      <c r="D94" s="25">
        <v>0</v>
      </c>
      <c r="E94" s="25">
        <v>0</v>
      </c>
      <c r="F94" s="25">
        <v>0</v>
      </c>
      <c r="G94" s="25">
        <v>0</v>
      </c>
      <c r="H94" s="25">
        <v>1</v>
      </c>
      <c r="I94" s="25">
        <v>0</v>
      </c>
      <c r="J94" s="25">
        <v>1</v>
      </c>
      <c r="K94" s="25">
        <v>0</v>
      </c>
      <c r="L94" s="3">
        <f t="shared" si="10"/>
        <v>0.2</v>
      </c>
      <c r="M94" s="26" t="str">
        <f t="shared" si="11"/>
        <v>sukar</v>
      </c>
      <c r="N94" s="3">
        <f t="shared" si="12"/>
        <v>0.4</v>
      </c>
      <c r="O94" s="26" t="str">
        <f t="shared" si="13"/>
        <v>soal diterima baik</v>
      </c>
      <c r="P94" s="33"/>
      <c r="Q94" s="26">
        <v>89</v>
      </c>
      <c r="R94" s="25">
        <f t="shared" si="18"/>
        <v>1</v>
      </c>
      <c r="S94" s="25">
        <f t="shared" si="18"/>
        <v>1</v>
      </c>
      <c r="T94" s="25">
        <f t="shared" si="18"/>
        <v>1</v>
      </c>
      <c r="U94" s="25">
        <f t="shared" si="18"/>
        <v>1</v>
      </c>
      <c r="V94" s="25">
        <f t="shared" si="18"/>
        <v>1</v>
      </c>
      <c r="W94" s="25">
        <f t="shared" si="14"/>
        <v>1</v>
      </c>
      <c r="X94" s="25">
        <f t="shared" si="14"/>
        <v>1</v>
      </c>
      <c r="Y94" s="25">
        <f t="shared" si="14"/>
        <v>0</v>
      </c>
      <c r="Z94" s="25">
        <f t="shared" si="14"/>
        <v>0</v>
      </c>
      <c r="AA94" s="25">
        <f t="shared" si="14"/>
        <v>1</v>
      </c>
      <c r="AB94" s="3">
        <f t="shared" si="15"/>
        <v>0.8</v>
      </c>
      <c r="AC94" s="3">
        <f t="shared" si="16"/>
        <v>0.19999999999999996</v>
      </c>
      <c r="AD94" s="3">
        <f t="shared" si="17"/>
        <v>0.15999999999999998</v>
      </c>
      <c r="AE94" s="20"/>
    </row>
    <row r="95" spans="1:31" ht="79.5" customHeight="1" x14ac:dyDescent="0.3">
      <c r="A95" s="24" t="s">
        <v>621</v>
      </c>
      <c r="B95" s="25">
        <v>1</v>
      </c>
      <c r="C95" s="25">
        <v>1</v>
      </c>
      <c r="D95" s="25">
        <v>0</v>
      </c>
      <c r="E95" s="25">
        <v>1</v>
      </c>
      <c r="F95" s="25">
        <v>0</v>
      </c>
      <c r="G95" s="25">
        <v>0</v>
      </c>
      <c r="H95" s="25">
        <v>0</v>
      </c>
      <c r="I95" s="25">
        <v>0</v>
      </c>
      <c r="J95" s="25">
        <v>1</v>
      </c>
      <c r="K95" s="25">
        <v>0</v>
      </c>
      <c r="L95" s="3">
        <f t="shared" si="10"/>
        <v>0.4</v>
      </c>
      <c r="M95" s="26" t="str">
        <f t="shared" si="11"/>
        <v>sedang</v>
      </c>
      <c r="N95" s="3">
        <f t="shared" si="12"/>
        <v>0.4</v>
      </c>
      <c r="O95" s="26" t="str">
        <f t="shared" si="13"/>
        <v>soal diterima baik</v>
      </c>
      <c r="P95" s="33"/>
      <c r="Q95" s="26">
        <v>90</v>
      </c>
      <c r="R95" s="25">
        <f t="shared" si="18"/>
        <v>0</v>
      </c>
      <c r="S95" s="25">
        <f t="shared" si="18"/>
        <v>0</v>
      </c>
      <c r="T95" s="25">
        <f t="shared" si="18"/>
        <v>0</v>
      </c>
      <c r="U95" s="25">
        <f t="shared" si="18"/>
        <v>0</v>
      </c>
      <c r="V95" s="25">
        <f t="shared" si="18"/>
        <v>0</v>
      </c>
      <c r="W95" s="25">
        <f t="shared" si="14"/>
        <v>0</v>
      </c>
      <c r="X95" s="25">
        <f t="shared" si="14"/>
        <v>1</v>
      </c>
      <c r="Y95" s="25">
        <f t="shared" si="14"/>
        <v>0</v>
      </c>
      <c r="Z95" s="25">
        <f t="shared" si="14"/>
        <v>1</v>
      </c>
      <c r="AA95" s="25">
        <f t="shared" si="14"/>
        <v>0</v>
      </c>
      <c r="AB95" s="3">
        <f t="shared" si="15"/>
        <v>0.2</v>
      </c>
      <c r="AC95" s="3">
        <f t="shared" si="16"/>
        <v>0.8</v>
      </c>
      <c r="AD95" s="3">
        <f t="shared" si="17"/>
        <v>0.16000000000000003</v>
      </c>
      <c r="AE95" s="20"/>
    </row>
    <row r="96" spans="1:31" ht="42" x14ac:dyDescent="0.3">
      <c r="A96" s="24" t="s">
        <v>622</v>
      </c>
      <c r="B96" s="25">
        <v>0</v>
      </c>
      <c r="C96" s="25">
        <v>0</v>
      </c>
      <c r="D96" s="25">
        <v>1</v>
      </c>
      <c r="E96" s="25">
        <v>1</v>
      </c>
      <c r="F96" s="25">
        <v>0</v>
      </c>
      <c r="G96" s="25">
        <v>1</v>
      </c>
      <c r="H96" s="25">
        <v>1</v>
      </c>
      <c r="I96" s="25">
        <v>1</v>
      </c>
      <c r="J96" s="25">
        <v>1</v>
      </c>
      <c r="K96" s="25">
        <v>0</v>
      </c>
      <c r="L96" s="3">
        <f t="shared" si="10"/>
        <v>0.6</v>
      </c>
      <c r="M96" s="26" t="str">
        <f t="shared" si="11"/>
        <v>sedang</v>
      </c>
      <c r="N96" s="3">
        <f t="shared" si="12"/>
        <v>0.4</v>
      </c>
      <c r="O96" s="26" t="str">
        <f t="shared" si="13"/>
        <v>soal diterima baik</v>
      </c>
      <c r="P96" s="33"/>
      <c r="Q96" s="26">
        <v>91</v>
      </c>
      <c r="R96" s="25">
        <f t="shared" si="18"/>
        <v>1</v>
      </c>
      <c r="S96" s="25">
        <f t="shared" si="18"/>
        <v>1</v>
      </c>
      <c r="T96" s="25">
        <f t="shared" si="18"/>
        <v>0</v>
      </c>
      <c r="U96" s="25">
        <f t="shared" si="18"/>
        <v>1</v>
      </c>
      <c r="V96" s="25">
        <f t="shared" si="18"/>
        <v>0</v>
      </c>
      <c r="W96" s="25">
        <f t="shared" si="14"/>
        <v>0</v>
      </c>
      <c r="X96" s="25">
        <f t="shared" si="14"/>
        <v>0</v>
      </c>
      <c r="Y96" s="25">
        <f t="shared" si="14"/>
        <v>0</v>
      </c>
      <c r="Z96" s="25">
        <f t="shared" si="14"/>
        <v>1</v>
      </c>
      <c r="AA96" s="25">
        <f t="shared" si="14"/>
        <v>0</v>
      </c>
      <c r="AB96" s="3">
        <f t="shared" si="15"/>
        <v>0.4</v>
      </c>
      <c r="AC96" s="3">
        <f t="shared" si="16"/>
        <v>0.6</v>
      </c>
      <c r="AD96" s="3">
        <f t="shared" si="17"/>
        <v>0.24</v>
      </c>
      <c r="AE96" s="20"/>
    </row>
    <row r="97" spans="1:31" ht="42" x14ac:dyDescent="0.3">
      <c r="A97" s="24" t="s">
        <v>623</v>
      </c>
      <c r="B97" s="25">
        <v>1</v>
      </c>
      <c r="C97" s="25">
        <v>1</v>
      </c>
      <c r="D97" s="25">
        <v>0</v>
      </c>
      <c r="E97" s="25">
        <v>1</v>
      </c>
      <c r="F97" s="25">
        <v>1</v>
      </c>
      <c r="G97" s="25">
        <v>0</v>
      </c>
      <c r="H97" s="25">
        <v>0</v>
      </c>
      <c r="I97" s="25">
        <v>0</v>
      </c>
      <c r="J97" s="25">
        <v>0</v>
      </c>
      <c r="K97" s="25">
        <v>0</v>
      </c>
      <c r="L97" s="3">
        <f t="shared" si="10"/>
        <v>0.4</v>
      </c>
      <c r="M97" s="26" t="str">
        <f t="shared" si="11"/>
        <v>sedang</v>
      </c>
      <c r="N97" s="3">
        <f t="shared" si="12"/>
        <v>0.8</v>
      </c>
      <c r="O97" s="26" t="str">
        <f t="shared" si="13"/>
        <v>soal diterima baik</v>
      </c>
      <c r="P97" s="33"/>
      <c r="Q97" s="26">
        <v>92</v>
      </c>
      <c r="R97" s="25">
        <f t="shared" si="18"/>
        <v>0</v>
      </c>
      <c r="S97" s="25">
        <f t="shared" si="18"/>
        <v>0</v>
      </c>
      <c r="T97" s="25">
        <f t="shared" si="18"/>
        <v>1</v>
      </c>
      <c r="U97" s="25">
        <f t="shared" si="18"/>
        <v>1</v>
      </c>
      <c r="V97" s="25">
        <f t="shared" si="18"/>
        <v>0</v>
      </c>
      <c r="W97" s="25">
        <f t="shared" si="14"/>
        <v>1</v>
      </c>
      <c r="X97" s="25">
        <f t="shared" si="14"/>
        <v>1</v>
      </c>
      <c r="Y97" s="25">
        <f t="shared" si="14"/>
        <v>1</v>
      </c>
      <c r="Z97" s="25">
        <f t="shared" si="14"/>
        <v>1</v>
      </c>
      <c r="AA97" s="25">
        <f t="shared" si="14"/>
        <v>0</v>
      </c>
      <c r="AB97" s="3">
        <f t="shared" si="15"/>
        <v>0.6</v>
      </c>
      <c r="AC97" s="3">
        <f t="shared" si="16"/>
        <v>0.4</v>
      </c>
      <c r="AD97" s="3">
        <f t="shared" si="17"/>
        <v>0.24</v>
      </c>
      <c r="AE97" s="20"/>
    </row>
    <row r="98" spans="1:31" ht="42" x14ac:dyDescent="0.3">
      <c r="A98" s="24" t="s">
        <v>624</v>
      </c>
      <c r="B98" s="25">
        <v>0</v>
      </c>
      <c r="C98" s="25">
        <v>0</v>
      </c>
      <c r="D98" s="25">
        <v>1</v>
      </c>
      <c r="E98" s="25">
        <v>1</v>
      </c>
      <c r="F98" s="25">
        <v>0</v>
      </c>
      <c r="G98" s="25">
        <v>1</v>
      </c>
      <c r="H98" s="25">
        <v>1</v>
      </c>
      <c r="I98" s="25">
        <v>1</v>
      </c>
      <c r="J98" s="25">
        <v>0</v>
      </c>
      <c r="K98" s="25">
        <v>1</v>
      </c>
      <c r="L98" s="3">
        <f t="shared" si="10"/>
        <v>0.6</v>
      </c>
      <c r="M98" s="26" t="str">
        <f t="shared" si="11"/>
        <v>sedang</v>
      </c>
      <c r="N98" s="3">
        <f t="shared" si="12"/>
        <v>0.4</v>
      </c>
      <c r="O98" s="26" t="str">
        <f t="shared" si="13"/>
        <v>soal diterima baik</v>
      </c>
      <c r="P98" s="33"/>
      <c r="Q98" s="26">
        <v>93</v>
      </c>
      <c r="R98" s="25">
        <f t="shared" si="18"/>
        <v>1</v>
      </c>
      <c r="S98" s="25">
        <f t="shared" si="18"/>
        <v>1</v>
      </c>
      <c r="T98" s="25">
        <f t="shared" si="18"/>
        <v>0</v>
      </c>
      <c r="U98" s="25">
        <f t="shared" si="18"/>
        <v>1</v>
      </c>
      <c r="V98" s="25">
        <f t="shared" si="18"/>
        <v>1</v>
      </c>
      <c r="W98" s="25">
        <f t="shared" si="14"/>
        <v>0</v>
      </c>
      <c r="X98" s="25">
        <f t="shared" si="14"/>
        <v>0</v>
      </c>
      <c r="Y98" s="25">
        <f t="shared" si="14"/>
        <v>0</v>
      </c>
      <c r="Z98" s="25">
        <f t="shared" si="14"/>
        <v>0</v>
      </c>
      <c r="AA98" s="25">
        <f t="shared" si="14"/>
        <v>0</v>
      </c>
      <c r="AB98" s="3">
        <f t="shared" si="15"/>
        <v>0.4</v>
      </c>
      <c r="AC98" s="3">
        <f t="shared" si="16"/>
        <v>0.6</v>
      </c>
      <c r="AD98" s="3">
        <f t="shared" si="17"/>
        <v>0.24</v>
      </c>
      <c r="AE98" s="20"/>
    </row>
    <row r="99" spans="1:31" ht="28" x14ac:dyDescent="0.3">
      <c r="A99" s="28" t="s">
        <v>625</v>
      </c>
      <c r="B99" s="25">
        <v>1</v>
      </c>
      <c r="C99" s="25">
        <v>0</v>
      </c>
      <c r="D99" s="25">
        <v>0</v>
      </c>
      <c r="E99" s="25">
        <v>1</v>
      </c>
      <c r="F99" s="25">
        <v>1</v>
      </c>
      <c r="G99" s="25">
        <v>1</v>
      </c>
      <c r="H99" s="25">
        <v>0</v>
      </c>
      <c r="I99" s="25">
        <v>0</v>
      </c>
      <c r="J99" s="25">
        <v>0</v>
      </c>
      <c r="K99" s="25">
        <v>0</v>
      </c>
      <c r="L99" s="3">
        <f t="shared" si="10"/>
        <v>0.4</v>
      </c>
      <c r="M99" s="26" t="str">
        <f t="shared" si="11"/>
        <v>sedang</v>
      </c>
      <c r="N99" s="3">
        <f t="shared" si="12"/>
        <v>0.4</v>
      </c>
      <c r="O99" s="26" t="str">
        <f t="shared" si="13"/>
        <v>soal diterima baik</v>
      </c>
      <c r="P99" s="33"/>
      <c r="Q99" s="26">
        <v>94</v>
      </c>
      <c r="R99" s="25">
        <f t="shared" si="18"/>
        <v>0</v>
      </c>
      <c r="S99" s="25">
        <f t="shared" si="18"/>
        <v>0</v>
      </c>
      <c r="T99" s="25">
        <f t="shared" si="18"/>
        <v>1</v>
      </c>
      <c r="U99" s="25">
        <f t="shared" si="18"/>
        <v>1</v>
      </c>
      <c r="V99" s="25">
        <f t="shared" si="18"/>
        <v>0</v>
      </c>
      <c r="W99" s="25">
        <f t="shared" si="14"/>
        <v>1</v>
      </c>
      <c r="X99" s="25">
        <f t="shared" si="14"/>
        <v>1</v>
      </c>
      <c r="Y99" s="25">
        <f t="shared" si="14"/>
        <v>1</v>
      </c>
      <c r="Z99" s="25">
        <f t="shared" si="14"/>
        <v>0</v>
      </c>
      <c r="AA99" s="25">
        <f t="shared" si="14"/>
        <v>1</v>
      </c>
      <c r="AB99" s="3">
        <f t="shared" si="15"/>
        <v>0.6</v>
      </c>
      <c r="AC99" s="3">
        <f t="shared" si="16"/>
        <v>0.4</v>
      </c>
      <c r="AD99" s="3">
        <f t="shared" si="17"/>
        <v>0.24</v>
      </c>
      <c r="AE99" s="20"/>
    </row>
    <row r="100" spans="1:31" ht="28" x14ac:dyDescent="0.3">
      <c r="A100" s="24" t="s">
        <v>626</v>
      </c>
      <c r="B100" s="25">
        <v>1</v>
      </c>
      <c r="C100" s="25">
        <v>0</v>
      </c>
      <c r="D100" s="25">
        <v>1</v>
      </c>
      <c r="E100" s="25">
        <v>1</v>
      </c>
      <c r="F100" s="25">
        <v>0</v>
      </c>
      <c r="G100" s="25">
        <v>1</v>
      </c>
      <c r="H100" s="25">
        <v>1</v>
      </c>
      <c r="I100" s="25">
        <v>1</v>
      </c>
      <c r="J100" s="25">
        <v>1</v>
      </c>
      <c r="K100" s="25">
        <v>1</v>
      </c>
      <c r="L100" s="3">
        <f t="shared" si="10"/>
        <v>0.8</v>
      </c>
      <c r="M100" s="26" t="str">
        <f t="shared" si="11"/>
        <v>mudah</v>
      </c>
      <c r="N100" s="3">
        <f t="shared" si="12"/>
        <v>0.4</v>
      </c>
      <c r="O100" s="26" t="str">
        <f t="shared" si="13"/>
        <v>soal diterima baik</v>
      </c>
      <c r="P100" s="33"/>
      <c r="Q100" s="26">
        <v>95</v>
      </c>
      <c r="R100" s="25">
        <f t="shared" si="18"/>
        <v>1</v>
      </c>
      <c r="S100" s="25">
        <f t="shared" si="18"/>
        <v>0</v>
      </c>
      <c r="T100" s="25">
        <f t="shared" si="18"/>
        <v>0</v>
      </c>
      <c r="U100" s="25">
        <f t="shared" si="18"/>
        <v>1</v>
      </c>
      <c r="V100" s="25">
        <f t="shared" si="18"/>
        <v>1</v>
      </c>
      <c r="W100" s="25">
        <f t="shared" si="14"/>
        <v>1</v>
      </c>
      <c r="X100" s="25">
        <f t="shared" si="14"/>
        <v>0</v>
      </c>
      <c r="Y100" s="25">
        <f t="shared" si="14"/>
        <v>0</v>
      </c>
      <c r="Z100" s="25">
        <f t="shared" si="14"/>
        <v>0</v>
      </c>
      <c r="AA100" s="25">
        <f t="shared" si="14"/>
        <v>0</v>
      </c>
      <c r="AB100" s="3">
        <f t="shared" si="15"/>
        <v>0.4</v>
      </c>
      <c r="AC100" s="3">
        <f t="shared" si="16"/>
        <v>0.6</v>
      </c>
      <c r="AD100" s="3">
        <f t="shared" si="17"/>
        <v>0.24</v>
      </c>
      <c r="AE100" s="20"/>
    </row>
    <row r="101" spans="1:31" ht="28" x14ac:dyDescent="0.3">
      <c r="A101" s="28" t="s">
        <v>627</v>
      </c>
      <c r="B101" s="25">
        <v>0</v>
      </c>
      <c r="C101" s="25">
        <v>0</v>
      </c>
      <c r="D101" s="25">
        <v>1</v>
      </c>
      <c r="E101" s="25">
        <v>1</v>
      </c>
      <c r="F101" s="25">
        <v>0</v>
      </c>
      <c r="G101" s="25">
        <v>1</v>
      </c>
      <c r="H101" s="25">
        <v>1</v>
      </c>
      <c r="I101" s="25">
        <v>1</v>
      </c>
      <c r="J101" s="25">
        <v>1</v>
      </c>
      <c r="K101" s="25">
        <v>0</v>
      </c>
      <c r="L101" s="3">
        <f t="shared" si="10"/>
        <v>0.6</v>
      </c>
      <c r="M101" s="26" t="str">
        <f t="shared" si="11"/>
        <v>sedang</v>
      </c>
      <c r="N101" s="3">
        <f t="shared" si="12"/>
        <v>0.4</v>
      </c>
      <c r="O101" s="26" t="str">
        <f t="shared" si="13"/>
        <v>soal diterima baik</v>
      </c>
      <c r="P101" s="33"/>
      <c r="Q101" s="26">
        <v>96</v>
      </c>
      <c r="R101" s="25">
        <f t="shared" si="18"/>
        <v>1</v>
      </c>
      <c r="S101" s="25">
        <f t="shared" si="18"/>
        <v>0</v>
      </c>
      <c r="T101" s="25">
        <f t="shared" si="18"/>
        <v>1</v>
      </c>
      <c r="U101" s="25">
        <f t="shared" si="18"/>
        <v>1</v>
      </c>
      <c r="V101" s="25">
        <f t="shared" si="18"/>
        <v>0</v>
      </c>
      <c r="W101" s="25">
        <f t="shared" si="14"/>
        <v>1</v>
      </c>
      <c r="X101" s="25">
        <f t="shared" si="14"/>
        <v>1</v>
      </c>
      <c r="Y101" s="25">
        <f t="shared" si="14"/>
        <v>1</v>
      </c>
      <c r="Z101" s="25">
        <f t="shared" si="14"/>
        <v>1</v>
      </c>
      <c r="AA101" s="25">
        <f t="shared" si="14"/>
        <v>1</v>
      </c>
      <c r="AB101" s="3">
        <f t="shared" si="15"/>
        <v>0.8</v>
      </c>
      <c r="AC101" s="3">
        <f t="shared" si="16"/>
        <v>0.19999999999999996</v>
      </c>
      <c r="AD101" s="3">
        <f t="shared" si="17"/>
        <v>0.15999999999999998</v>
      </c>
      <c r="AE101" s="20"/>
    </row>
    <row r="102" spans="1:31" ht="52.5" customHeight="1" x14ac:dyDescent="0.3">
      <c r="A102" s="28" t="s">
        <v>634</v>
      </c>
      <c r="B102" s="25">
        <v>0</v>
      </c>
      <c r="C102" s="25">
        <v>0</v>
      </c>
      <c r="D102" s="25">
        <v>1</v>
      </c>
      <c r="E102" s="25">
        <v>0</v>
      </c>
      <c r="F102" s="25">
        <v>0</v>
      </c>
      <c r="G102" s="25">
        <v>1</v>
      </c>
      <c r="H102" s="25">
        <v>0</v>
      </c>
      <c r="I102" s="25">
        <v>1</v>
      </c>
      <c r="J102" s="25">
        <v>1</v>
      </c>
      <c r="K102" s="25">
        <v>0</v>
      </c>
      <c r="L102" s="3">
        <f t="shared" si="10"/>
        <v>0.4</v>
      </c>
      <c r="M102" s="26" t="str">
        <f t="shared" si="11"/>
        <v>sedang</v>
      </c>
      <c r="N102" s="3">
        <f t="shared" si="12"/>
        <v>0.4</v>
      </c>
      <c r="O102" s="26" t="str">
        <f t="shared" si="13"/>
        <v>soal diterima baik</v>
      </c>
      <c r="P102" s="33"/>
      <c r="Q102" s="26">
        <v>97</v>
      </c>
      <c r="R102" s="25">
        <f t="shared" si="18"/>
        <v>0</v>
      </c>
      <c r="S102" s="25">
        <f t="shared" si="18"/>
        <v>0</v>
      </c>
      <c r="T102" s="25">
        <f t="shared" si="18"/>
        <v>1</v>
      </c>
      <c r="U102" s="25">
        <f t="shared" si="18"/>
        <v>1</v>
      </c>
      <c r="V102" s="25">
        <f t="shared" si="18"/>
        <v>0</v>
      </c>
      <c r="W102" s="25">
        <f t="shared" si="14"/>
        <v>1</v>
      </c>
      <c r="X102" s="25">
        <f t="shared" si="14"/>
        <v>1</v>
      </c>
      <c r="Y102" s="25">
        <f t="shared" si="14"/>
        <v>1</v>
      </c>
      <c r="Z102" s="25">
        <f t="shared" si="14"/>
        <v>1</v>
      </c>
      <c r="AA102" s="25">
        <f t="shared" si="14"/>
        <v>0</v>
      </c>
      <c r="AB102" s="3">
        <f t="shared" si="15"/>
        <v>0.6</v>
      </c>
      <c r="AC102" s="3">
        <f t="shared" si="16"/>
        <v>0.4</v>
      </c>
      <c r="AD102" s="3">
        <f t="shared" si="17"/>
        <v>0.24</v>
      </c>
      <c r="AE102" s="20"/>
    </row>
    <row r="103" spans="1:31" ht="42" x14ac:dyDescent="0.3">
      <c r="A103" s="24" t="s">
        <v>628</v>
      </c>
      <c r="B103" s="25">
        <v>1</v>
      </c>
      <c r="C103" s="25">
        <v>1</v>
      </c>
      <c r="D103" s="25">
        <v>0</v>
      </c>
      <c r="E103" s="25">
        <v>1</v>
      </c>
      <c r="F103" s="25">
        <v>1</v>
      </c>
      <c r="G103" s="25">
        <v>0</v>
      </c>
      <c r="H103" s="25">
        <v>0</v>
      </c>
      <c r="I103" s="25">
        <v>1</v>
      </c>
      <c r="J103" s="25">
        <v>1</v>
      </c>
      <c r="K103" s="25">
        <v>0</v>
      </c>
      <c r="L103" s="3">
        <f t="shared" si="10"/>
        <v>0.6</v>
      </c>
      <c r="M103" s="26" t="str">
        <f t="shared" si="11"/>
        <v>sedang</v>
      </c>
      <c r="N103" s="3">
        <f t="shared" si="12"/>
        <v>0.4</v>
      </c>
      <c r="O103" s="26" t="str">
        <f t="shared" si="13"/>
        <v>soal diterima baik</v>
      </c>
      <c r="P103" s="33"/>
      <c r="Q103" s="26">
        <v>98</v>
      </c>
      <c r="R103" s="25">
        <f t="shared" si="18"/>
        <v>0</v>
      </c>
      <c r="S103" s="25">
        <f t="shared" si="18"/>
        <v>0</v>
      </c>
      <c r="T103" s="25">
        <f t="shared" si="18"/>
        <v>1</v>
      </c>
      <c r="U103" s="25">
        <f t="shared" si="18"/>
        <v>0</v>
      </c>
      <c r="V103" s="25">
        <f t="shared" si="18"/>
        <v>0</v>
      </c>
      <c r="W103" s="25">
        <f t="shared" si="14"/>
        <v>1</v>
      </c>
      <c r="X103" s="25">
        <f t="shared" si="14"/>
        <v>0</v>
      </c>
      <c r="Y103" s="25">
        <f t="shared" si="14"/>
        <v>1</v>
      </c>
      <c r="Z103" s="25">
        <f t="shared" si="14"/>
        <v>1</v>
      </c>
      <c r="AA103" s="25">
        <f t="shared" si="14"/>
        <v>0</v>
      </c>
      <c r="AB103" s="3">
        <f t="shared" si="15"/>
        <v>0.4</v>
      </c>
      <c r="AC103" s="3">
        <f t="shared" si="16"/>
        <v>0.6</v>
      </c>
      <c r="AD103" s="3">
        <f t="shared" si="17"/>
        <v>0.24</v>
      </c>
      <c r="AE103" s="20"/>
    </row>
    <row r="104" spans="1:31" ht="46.5" customHeight="1" x14ac:dyDescent="0.3">
      <c r="A104" s="28" t="s">
        <v>629</v>
      </c>
      <c r="B104" s="25">
        <v>1</v>
      </c>
      <c r="C104" s="25">
        <v>0</v>
      </c>
      <c r="D104" s="25">
        <v>0</v>
      </c>
      <c r="E104" s="25">
        <v>0</v>
      </c>
      <c r="F104" s="25">
        <v>1</v>
      </c>
      <c r="G104" s="25">
        <v>1</v>
      </c>
      <c r="H104" s="25">
        <v>0</v>
      </c>
      <c r="I104" s="25">
        <v>1</v>
      </c>
      <c r="J104" s="25">
        <v>1</v>
      </c>
      <c r="K104" s="25">
        <v>1</v>
      </c>
      <c r="L104" s="3">
        <f t="shared" si="10"/>
        <v>0.6</v>
      </c>
      <c r="M104" s="26" t="str">
        <f t="shared" si="11"/>
        <v>sedang</v>
      </c>
      <c r="N104" s="3">
        <f t="shared" si="12"/>
        <v>0.4</v>
      </c>
      <c r="O104" s="26" t="str">
        <f t="shared" si="13"/>
        <v>soal diterima baik</v>
      </c>
      <c r="P104" s="33"/>
      <c r="Q104" s="26">
        <v>99</v>
      </c>
      <c r="R104" s="25">
        <f t="shared" si="18"/>
        <v>1</v>
      </c>
      <c r="S104" s="25">
        <f t="shared" si="18"/>
        <v>1</v>
      </c>
      <c r="T104" s="25">
        <f t="shared" si="18"/>
        <v>0</v>
      </c>
      <c r="U104" s="25">
        <f t="shared" si="18"/>
        <v>1</v>
      </c>
      <c r="V104" s="25">
        <f t="shared" si="18"/>
        <v>1</v>
      </c>
      <c r="W104" s="25">
        <f t="shared" si="14"/>
        <v>0</v>
      </c>
      <c r="X104" s="25">
        <f t="shared" si="14"/>
        <v>0</v>
      </c>
      <c r="Y104" s="25">
        <f t="shared" si="14"/>
        <v>1</v>
      </c>
      <c r="Z104" s="25">
        <f t="shared" si="14"/>
        <v>1</v>
      </c>
      <c r="AA104" s="25">
        <f t="shared" si="14"/>
        <v>0</v>
      </c>
      <c r="AB104" s="3">
        <f t="shared" si="15"/>
        <v>0.6</v>
      </c>
      <c r="AC104" s="3">
        <f t="shared" si="16"/>
        <v>0.4</v>
      </c>
      <c r="AD104" s="3">
        <f t="shared" si="17"/>
        <v>0.24</v>
      </c>
      <c r="AE104" s="20"/>
    </row>
    <row r="105" spans="1:31" x14ac:dyDescent="0.3">
      <c r="A105" s="31"/>
      <c r="B105" s="32">
        <f>SUM(B5:B104)</f>
        <v>46</v>
      </c>
      <c r="C105" s="32">
        <f t="shared" ref="C105:K105" si="19">SUM(C5:C104)</f>
        <v>60</v>
      </c>
      <c r="D105" s="32">
        <f t="shared" si="19"/>
        <v>59</v>
      </c>
      <c r="E105" s="32">
        <f t="shared" si="19"/>
        <v>55</v>
      </c>
      <c r="F105" s="32">
        <f t="shared" si="19"/>
        <v>58</v>
      </c>
      <c r="G105" s="32">
        <f t="shared" si="19"/>
        <v>54</v>
      </c>
      <c r="H105" s="32">
        <f t="shared" si="19"/>
        <v>50</v>
      </c>
      <c r="I105" s="32">
        <f t="shared" si="19"/>
        <v>51</v>
      </c>
      <c r="J105" s="32">
        <f t="shared" si="19"/>
        <v>48</v>
      </c>
      <c r="K105" s="32">
        <f t="shared" si="19"/>
        <v>41</v>
      </c>
      <c r="L105" s="36"/>
      <c r="M105" s="20"/>
      <c r="N105" s="20"/>
      <c r="O105" s="45">
        <f>COUNTIF(O5:O104,"soal dibuang")</f>
        <v>0</v>
      </c>
      <c r="P105" s="33"/>
      <c r="Q105" s="26">
        <v>100</v>
      </c>
      <c r="R105" s="25">
        <f t="shared" si="18"/>
        <v>1</v>
      </c>
      <c r="S105" s="25">
        <f t="shared" si="18"/>
        <v>0</v>
      </c>
      <c r="T105" s="25">
        <f t="shared" si="18"/>
        <v>0</v>
      </c>
      <c r="U105" s="25">
        <f t="shared" si="18"/>
        <v>0</v>
      </c>
      <c r="V105" s="25">
        <f t="shared" si="18"/>
        <v>1</v>
      </c>
      <c r="W105" s="25">
        <f t="shared" si="14"/>
        <v>1</v>
      </c>
      <c r="X105" s="25">
        <f t="shared" si="14"/>
        <v>0</v>
      </c>
      <c r="Y105" s="25">
        <f t="shared" si="14"/>
        <v>1</v>
      </c>
      <c r="Z105" s="25">
        <f t="shared" si="14"/>
        <v>1</v>
      </c>
      <c r="AA105" s="25">
        <f t="shared" si="14"/>
        <v>1</v>
      </c>
      <c r="AB105" s="3">
        <f>SUM(R105:AA105)/COUNT(R105:AA105)</f>
        <v>0.6</v>
      </c>
      <c r="AC105" s="3">
        <f t="shared" si="16"/>
        <v>0.4</v>
      </c>
      <c r="AD105" s="3">
        <f t="shared" si="17"/>
        <v>0.24</v>
      </c>
      <c r="AE105" s="20"/>
    </row>
    <row r="106" spans="1:31" ht="28" x14ac:dyDescent="0.3">
      <c r="A106" s="31"/>
      <c r="B106" s="35" t="s">
        <v>105</v>
      </c>
      <c r="C106" s="35" t="s">
        <v>105</v>
      </c>
      <c r="D106" s="35" t="s">
        <v>105</v>
      </c>
      <c r="E106" s="35" t="s">
        <v>105</v>
      </c>
      <c r="F106" s="35" t="s">
        <v>105</v>
      </c>
      <c r="G106" s="35" t="s">
        <v>104</v>
      </c>
      <c r="H106" s="35" t="s">
        <v>104</v>
      </c>
      <c r="I106" s="35" t="s">
        <v>104</v>
      </c>
      <c r="J106" s="35" t="s">
        <v>104</v>
      </c>
      <c r="K106" s="35" t="s">
        <v>104</v>
      </c>
      <c r="L106" s="36"/>
      <c r="M106" s="45">
        <f>COUNTIF(M5:M104,"mudah")</f>
        <v>15</v>
      </c>
      <c r="N106" s="20"/>
      <c r="O106" s="20"/>
      <c r="P106" s="33"/>
      <c r="Q106" s="36" t="s">
        <v>112</v>
      </c>
      <c r="R106" s="36">
        <f>SUM(R6:R105)</f>
        <v>46</v>
      </c>
      <c r="S106" s="36">
        <f t="shared" ref="S106:AA106" si="20">SUM(S6:S105)</f>
        <v>60</v>
      </c>
      <c r="T106" s="36">
        <f t="shared" si="20"/>
        <v>59</v>
      </c>
      <c r="U106" s="36">
        <f t="shared" si="20"/>
        <v>55</v>
      </c>
      <c r="V106" s="36">
        <f t="shared" si="20"/>
        <v>58</v>
      </c>
      <c r="W106" s="36">
        <f t="shared" si="20"/>
        <v>54</v>
      </c>
      <c r="X106" s="36">
        <f t="shared" si="20"/>
        <v>50</v>
      </c>
      <c r="Y106" s="36">
        <f t="shared" si="20"/>
        <v>51</v>
      </c>
      <c r="Z106" s="36">
        <f t="shared" si="20"/>
        <v>48</v>
      </c>
      <c r="AA106" s="36">
        <f t="shared" si="20"/>
        <v>41</v>
      </c>
      <c r="AB106" s="36"/>
      <c r="AC106" s="36"/>
      <c r="AD106" s="10">
        <f>SUM(AD6:AD105)</f>
        <v>21.839999999999986</v>
      </c>
      <c r="AE106" s="36" t="s">
        <v>111</v>
      </c>
    </row>
    <row r="107" spans="1:31" x14ac:dyDescent="0.3">
      <c r="A107" s="31"/>
      <c r="B107" s="31"/>
      <c r="C107" s="31"/>
      <c r="D107" s="31"/>
      <c r="E107" s="31"/>
      <c r="F107" s="31"/>
      <c r="G107" s="31"/>
      <c r="H107" s="31"/>
      <c r="I107" s="31"/>
      <c r="J107" s="31"/>
      <c r="K107" s="31"/>
      <c r="L107" s="20"/>
      <c r="M107" s="45">
        <f>COUNTIF(M5:M104,"sedang")</f>
        <v>73</v>
      </c>
      <c r="N107" s="20"/>
      <c r="O107" s="20"/>
      <c r="P107" s="33"/>
      <c r="Q107" s="20" t="s">
        <v>113</v>
      </c>
      <c r="R107" s="36">
        <f>SUM(R106:AA106)</f>
        <v>522</v>
      </c>
      <c r="S107" s="36"/>
      <c r="T107" s="36"/>
      <c r="U107" s="36"/>
      <c r="V107" s="36"/>
      <c r="W107" s="36"/>
      <c r="X107" s="36"/>
      <c r="Y107" s="36"/>
      <c r="Z107" s="36"/>
      <c r="AA107" s="36"/>
      <c r="AB107" s="20"/>
      <c r="AC107" s="20"/>
      <c r="AD107" s="20"/>
      <c r="AE107" s="20"/>
    </row>
    <row r="108" spans="1:31" ht="24.75" customHeight="1" x14ac:dyDescent="0.3">
      <c r="A108" s="46"/>
      <c r="B108" s="110" t="s">
        <v>630</v>
      </c>
      <c r="C108" s="110"/>
      <c r="D108" s="110"/>
      <c r="E108" s="25">
        <v>40</v>
      </c>
      <c r="F108" s="37"/>
      <c r="G108" s="37"/>
      <c r="H108" s="37"/>
      <c r="I108" s="37"/>
      <c r="J108" s="37"/>
      <c r="K108" s="37"/>
      <c r="L108" s="33"/>
      <c r="M108" s="36">
        <f>100-M106-M107</f>
        <v>12</v>
      </c>
      <c r="N108" s="33"/>
      <c r="O108" s="33"/>
      <c r="P108" s="33"/>
      <c r="Q108" s="20" t="s">
        <v>114</v>
      </c>
      <c r="R108" s="36">
        <f>$R$107/10</f>
        <v>52.2</v>
      </c>
      <c r="S108" s="10">
        <f t="shared" ref="S108:AA108" ca="1" si="21">$R$111/10</f>
        <v>39.203999999999994</v>
      </c>
      <c r="T108" s="10">
        <f t="shared" ca="1" si="21"/>
        <v>39.203999999999994</v>
      </c>
      <c r="U108" s="10">
        <f t="shared" ca="1" si="21"/>
        <v>39.203999999999994</v>
      </c>
      <c r="V108" s="10">
        <f t="shared" ca="1" si="21"/>
        <v>39.203999999999994</v>
      </c>
      <c r="W108" s="10">
        <f t="shared" ca="1" si="21"/>
        <v>39.203999999999994</v>
      </c>
      <c r="X108" s="36">
        <f>$R$107/10</f>
        <v>52.2</v>
      </c>
      <c r="Y108" s="10">
        <f t="shared" ca="1" si="21"/>
        <v>39.203999999999994</v>
      </c>
      <c r="Z108" s="10">
        <f t="shared" ca="1" si="21"/>
        <v>39.203999999999994</v>
      </c>
      <c r="AA108" s="10">
        <f t="shared" ca="1" si="21"/>
        <v>39.203999999999994</v>
      </c>
      <c r="AB108" s="20"/>
      <c r="AC108" s="20"/>
      <c r="AD108" s="20"/>
      <c r="AE108" s="20"/>
    </row>
    <row r="109" spans="1:31" ht="24.75" customHeight="1" x14ac:dyDescent="0.3">
      <c r="A109" s="47"/>
      <c r="B109" s="110" t="s">
        <v>631</v>
      </c>
      <c r="C109" s="110"/>
      <c r="D109" s="110"/>
      <c r="E109" s="25">
        <v>30</v>
      </c>
      <c r="F109" s="37"/>
      <c r="G109" s="37"/>
      <c r="H109" s="37"/>
      <c r="I109" s="37"/>
      <c r="J109" s="37"/>
      <c r="K109" s="37"/>
      <c r="L109" s="33"/>
      <c r="M109" s="33"/>
      <c r="N109" s="33"/>
      <c r="O109" s="33"/>
      <c r="P109" s="33"/>
      <c r="Q109" s="20" t="s">
        <v>115</v>
      </c>
      <c r="R109" s="10">
        <f>R106-R108</f>
        <v>-6.2000000000000028</v>
      </c>
      <c r="S109" s="10">
        <f t="shared" ref="S109:AA109" ca="1" si="22">S106-S108</f>
        <v>-1.2039999999999935</v>
      </c>
      <c r="T109" s="10">
        <f t="shared" ca="1" si="22"/>
        <v>10.796000000000006</v>
      </c>
      <c r="U109" s="10">
        <f t="shared" ca="1" si="22"/>
        <v>4.7960000000000065</v>
      </c>
      <c r="V109" s="10">
        <f t="shared" ca="1" si="22"/>
        <v>7.7960000000000065</v>
      </c>
      <c r="W109" s="10">
        <f t="shared" ca="1" si="22"/>
        <v>35.796000000000006</v>
      </c>
      <c r="X109" s="10">
        <f t="shared" si="22"/>
        <v>-2.2000000000000028</v>
      </c>
      <c r="Y109" s="10">
        <f t="shared" ca="1" si="22"/>
        <v>34.796000000000006</v>
      </c>
      <c r="Z109" s="10">
        <f t="shared" ca="1" si="22"/>
        <v>36.796000000000006</v>
      </c>
      <c r="AA109" s="10">
        <f t="shared" ca="1" si="22"/>
        <v>34.796000000000006</v>
      </c>
      <c r="AB109" s="20"/>
      <c r="AC109" s="20"/>
      <c r="AD109" s="20"/>
      <c r="AE109" s="20"/>
    </row>
    <row r="110" spans="1:31" ht="24.75" customHeight="1" x14ac:dyDescent="0.3">
      <c r="A110" s="48"/>
      <c r="B110" s="110" t="s">
        <v>632</v>
      </c>
      <c r="C110" s="110"/>
      <c r="D110" s="110"/>
      <c r="E110" s="25">
        <v>30</v>
      </c>
      <c r="F110" s="37"/>
      <c r="G110" s="37"/>
      <c r="H110" s="37"/>
      <c r="I110" s="37"/>
      <c r="J110" s="37"/>
      <c r="K110" s="37"/>
      <c r="L110" s="33"/>
      <c r="M110" s="33"/>
      <c r="N110" s="33"/>
      <c r="O110" s="33"/>
      <c r="P110" s="33"/>
      <c r="Q110" s="20" t="s">
        <v>116</v>
      </c>
      <c r="R110" s="11">
        <f>R109^2</f>
        <v>38.440000000000033</v>
      </c>
      <c r="S110" s="10">
        <f t="shared" ref="S110:AA110" ca="1" si="23">S109^2</f>
        <v>1.4496159999999845</v>
      </c>
      <c r="T110" s="10">
        <f t="shared" ca="1" si="23"/>
        <v>116.55361600000013</v>
      </c>
      <c r="U110" s="10">
        <f t="shared" ca="1" si="23"/>
        <v>23.001616000000062</v>
      </c>
      <c r="V110" s="10">
        <f t="shared" ca="1" si="23"/>
        <v>60.777616000000101</v>
      </c>
      <c r="W110" s="10">
        <f t="shared" ca="1" si="23"/>
        <v>1281.3536160000006</v>
      </c>
      <c r="X110" s="11">
        <f t="shared" si="23"/>
        <v>4.8400000000000123</v>
      </c>
      <c r="Y110" s="10">
        <f t="shared" ca="1" si="23"/>
        <v>1210.7616160000005</v>
      </c>
      <c r="Z110" s="10">
        <f t="shared" ca="1" si="23"/>
        <v>1353.9456160000004</v>
      </c>
      <c r="AA110" s="10">
        <f t="shared" ca="1" si="23"/>
        <v>1210.7616160000005</v>
      </c>
      <c r="AB110" s="20"/>
      <c r="AC110" s="20"/>
      <c r="AD110" s="20"/>
      <c r="AE110" s="20"/>
    </row>
    <row r="111" spans="1:31" x14ac:dyDescent="0.3">
      <c r="A111" s="31"/>
      <c r="B111" s="37"/>
      <c r="C111" s="37"/>
      <c r="D111" s="37"/>
      <c r="E111" s="37"/>
      <c r="F111" s="37"/>
      <c r="G111" s="37"/>
      <c r="H111" s="37"/>
      <c r="I111" s="37"/>
      <c r="J111" s="37"/>
      <c r="K111" s="37"/>
      <c r="L111" s="33"/>
      <c r="M111" s="33"/>
      <c r="N111" s="33"/>
      <c r="O111" s="33"/>
      <c r="P111" s="33"/>
      <c r="Q111" s="20" t="s">
        <v>117</v>
      </c>
      <c r="R111" s="10">
        <f ca="1">SUM(R110:AA110)/10</f>
        <v>579.94849280000028</v>
      </c>
      <c r="S111" s="20"/>
      <c r="T111" s="20"/>
      <c r="U111" s="20"/>
      <c r="V111" s="20"/>
      <c r="W111" s="20"/>
      <c r="X111" s="20"/>
      <c r="Y111" s="20"/>
      <c r="Z111" s="20"/>
      <c r="AA111" s="20"/>
      <c r="AB111" s="20"/>
      <c r="AC111" s="20"/>
      <c r="AD111" s="20"/>
      <c r="AE111" s="20"/>
    </row>
    <row r="112" spans="1:31" x14ac:dyDescent="0.3">
      <c r="A112" s="31"/>
      <c r="B112" s="37"/>
      <c r="C112" s="37"/>
      <c r="D112" s="37"/>
      <c r="E112" s="37"/>
      <c r="F112" s="37"/>
      <c r="G112" s="37"/>
      <c r="H112" s="37"/>
      <c r="I112" s="37"/>
      <c r="J112" s="37"/>
      <c r="K112" s="37"/>
      <c r="L112" s="33"/>
      <c r="M112" s="33"/>
      <c r="N112" s="33"/>
      <c r="O112" s="33"/>
      <c r="P112" s="33"/>
      <c r="Q112" s="20" t="s">
        <v>118</v>
      </c>
      <c r="R112" s="10">
        <f ca="1">SQRT(R111)</f>
        <v>24.082119773807293</v>
      </c>
      <c r="S112" s="20"/>
      <c r="T112" s="20"/>
      <c r="U112" s="20"/>
      <c r="V112" s="20"/>
      <c r="W112" s="20"/>
      <c r="X112" s="20"/>
      <c r="Y112" s="20"/>
      <c r="Z112" s="20"/>
      <c r="AA112" s="20"/>
      <c r="AB112" s="20"/>
      <c r="AC112" s="20"/>
      <c r="AD112" s="20"/>
      <c r="AE112" s="20"/>
    </row>
    <row r="113" spans="1:31" x14ac:dyDescent="0.3">
      <c r="A113" s="31"/>
      <c r="B113" s="37"/>
      <c r="C113" s="37"/>
      <c r="D113" s="37"/>
      <c r="E113" s="37"/>
      <c r="F113" s="37"/>
      <c r="G113" s="37"/>
      <c r="H113" s="37"/>
      <c r="I113" s="37"/>
      <c r="J113" s="37"/>
      <c r="K113" s="37"/>
      <c r="L113" s="33"/>
      <c r="M113" s="33"/>
      <c r="N113" s="33"/>
      <c r="O113" s="33"/>
      <c r="P113" s="33"/>
      <c r="Q113" s="41" t="s">
        <v>106</v>
      </c>
      <c r="R113" s="42">
        <f ca="1">100/(100-1)*(1-AD106/R111)</f>
        <v>0.9764512088558478</v>
      </c>
      <c r="S113" s="41" t="s">
        <v>119</v>
      </c>
      <c r="T113" s="20"/>
      <c r="U113" s="20"/>
      <c r="V113" s="20"/>
      <c r="W113" s="20"/>
      <c r="X113" s="20"/>
      <c r="Y113" s="20"/>
      <c r="Z113" s="20"/>
      <c r="AA113" s="20"/>
      <c r="AB113" s="20"/>
      <c r="AC113" s="20"/>
      <c r="AD113" s="20"/>
      <c r="AE113" s="20"/>
    </row>
    <row r="115" spans="1:31" customFormat="1" ht="14.5" x14ac:dyDescent="0.35">
      <c r="A115" s="2"/>
      <c r="B115" s="1"/>
      <c r="C115" s="1"/>
      <c r="D115" s="1"/>
      <c r="E115" s="1"/>
      <c r="F115" s="1"/>
      <c r="G115" s="1"/>
      <c r="H115" s="1"/>
      <c r="I115" s="1"/>
      <c r="J115" s="1"/>
      <c r="K115" s="1"/>
    </row>
    <row r="116" spans="1:31" customFormat="1" ht="14.5" x14ac:dyDescent="0.35">
      <c r="A116" s="2"/>
      <c r="B116" s="1"/>
      <c r="C116" s="1"/>
      <c r="D116" s="1"/>
      <c r="E116" s="1"/>
      <c r="F116" s="1"/>
      <c r="G116" s="1"/>
      <c r="H116" s="1"/>
      <c r="I116" s="1"/>
      <c r="J116" s="1"/>
      <c r="K116" s="1"/>
    </row>
  </sheetData>
  <mergeCells count="14">
    <mergeCell ref="A1:O1"/>
    <mergeCell ref="B3:K3"/>
    <mergeCell ref="A3:A4"/>
    <mergeCell ref="L3:L4"/>
    <mergeCell ref="M3:M4"/>
    <mergeCell ref="N3:N4"/>
    <mergeCell ref="AC4:AC5"/>
    <mergeCell ref="AD4:AD5"/>
    <mergeCell ref="B108:D108"/>
    <mergeCell ref="B109:D109"/>
    <mergeCell ref="B110:D110"/>
    <mergeCell ref="R4:AA4"/>
    <mergeCell ref="Q4:Q5"/>
    <mergeCell ref="AB4:AB5"/>
  </mergeCells>
  <conditionalFormatting sqref="M5:M104 Q3 O4">
    <cfRule type="containsText" dxfId="13" priority="9" operator="containsText" text="sedang">
      <formula>NOT(ISERROR(SEARCH("sedang",M3)))</formula>
    </cfRule>
  </conditionalFormatting>
  <conditionalFormatting sqref="M5:M104">
    <cfRule type="containsText" dxfId="12" priority="8" operator="containsText" text="sukar">
      <formula>NOT(ISERROR(SEARCH("sukar",M5)))</formula>
    </cfRule>
  </conditionalFormatting>
  <conditionalFormatting sqref="M106:M107">
    <cfRule type="containsText" dxfId="11" priority="2" operator="containsText" text="sukar">
      <formula>NOT(ISERROR(SEARCH("sukar",M106)))</formula>
    </cfRule>
    <cfRule type="containsText" dxfId="10" priority="3" operator="containsText" text="sedang">
      <formula>NOT(ISERROR(SEARCH("sedang",M106)))</formula>
    </cfRule>
    <cfRule type="containsText" dxfId="9" priority="4" operator="containsText" text="mudah">
      <formula>NOT(ISERROR(SEARCH("mudah",M106)))</formula>
    </cfRule>
  </conditionalFormatting>
  <conditionalFormatting sqref="O5:O106">
    <cfRule type="containsText" dxfId="8" priority="7" operator="containsText" text="soal dibuang">
      <formula>NOT(ISERROR(SEARCH("soal dibuang",O5)))</formula>
    </cfRule>
  </conditionalFormatting>
  <conditionalFormatting sqref="Q3 O4 M5:M104">
    <cfRule type="containsText" dxfId="7" priority="10" operator="containsText" text="mudah">
      <formula>NOT(ISERROR(SEARCH("mudah",M3)))</formula>
    </cfRule>
  </conditionalFormatting>
  <pageMargins left="0.2" right="0.22" top="0.47244094488188981" bottom="0.32" header="0.31496062992125984" footer="0.17"/>
  <pageSetup paperSize="9" scale="70"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8571E-9EBA-4D85-8D39-A80AB9E816B3}">
  <dimension ref="A1:AC112"/>
  <sheetViews>
    <sheetView view="pageBreakPreview" zoomScale="48" zoomScaleNormal="48" zoomScaleSheetLayoutView="48" workbookViewId="0">
      <selection activeCell="L21" sqref="L21"/>
    </sheetView>
  </sheetViews>
  <sheetFormatPr defaultRowHeight="14.5" x14ac:dyDescent="0.35"/>
  <cols>
    <col min="1" max="1" width="34.81640625" customWidth="1"/>
    <col min="2" max="11" width="5.7265625" style="1" customWidth="1"/>
    <col min="12" max="12" width="5.36328125" style="1" bestFit="1" customWidth="1"/>
    <col min="13" max="13" width="5.453125" bestFit="1" customWidth="1"/>
    <col min="14" max="14" width="11.26953125" customWidth="1"/>
    <col min="15" max="15" width="5.81640625" customWidth="1"/>
    <col min="16" max="16" width="8.36328125" customWidth="1"/>
    <col min="17" max="17" width="8" customWidth="1"/>
    <col min="18" max="18" width="10.36328125" customWidth="1"/>
    <col min="19" max="19" width="8.81640625" customWidth="1"/>
    <col min="20" max="20" width="7.7265625" customWidth="1"/>
    <col min="21" max="21" width="7.453125" customWidth="1"/>
    <col min="22" max="22" width="6.08984375" bestFit="1" customWidth="1"/>
    <col min="23" max="23" width="6.1796875" bestFit="1" customWidth="1"/>
    <col min="24" max="24" width="7.81640625" customWidth="1"/>
    <col min="25" max="25" width="9.08984375" customWidth="1"/>
    <col min="26" max="26" width="5.54296875" bestFit="1" customWidth="1"/>
    <col min="27" max="27" width="10.6328125" customWidth="1"/>
    <col min="28" max="28" width="12.26953125" style="1" customWidth="1"/>
    <col min="29" max="29" width="35.1796875" customWidth="1"/>
  </cols>
  <sheetData>
    <row r="1" spans="1:29" ht="15.5" x14ac:dyDescent="0.35">
      <c r="A1" s="122" t="s">
        <v>797</v>
      </c>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row>
    <row r="2" spans="1:29" x14ac:dyDescent="0.35">
      <c r="A2" s="76"/>
      <c r="B2" s="77"/>
      <c r="C2" s="77"/>
      <c r="D2" s="77"/>
      <c r="E2" s="77"/>
      <c r="F2" s="77"/>
      <c r="G2" s="77"/>
      <c r="H2" s="77"/>
      <c r="I2" s="77"/>
      <c r="J2" s="77"/>
      <c r="K2" s="77"/>
      <c r="L2" s="77"/>
      <c r="M2" s="76"/>
      <c r="N2" s="76"/>
      <c r="O2" s="76"/>
      <c r="P2" s="76"/>
      <c r="Q2" s="76"/>
      <c r="R2" s="76"/>
      <c r="S2" s="76"/>
      <c r="T2" s="76"/>
      <c r="U2" s="76"/>
      <c r="V2" s="76"/>
      <c r="W2" s="76"/>
      <c r="X2" s="76"/>
      <c r="Y2" s="76"/>
      <c r="Z2" s="76"/>
      <c r="AA2" s="76"/>
      <c r="AB2" s="77"/>
      <c r="AC2" s="76"/>
    </row>
    <row r="3" spans="1:29" ht="14.5" customHeight="1" x14ac:dyDescent="0.35">
      <c r="A3" s="79" t="s">
        <v>759</v>
      </c>
      <c r="B3" s="87">
        <v>0.5</v>
      </c>
      <c r="C3" s="86"/>
      <c r="D3" s="86"/>
      <c r="E3" s="86"/>
      <c r="F3" s="86"/>
      <c r="G3" s="86"/>
      <c r="H3" s="86"/>
      <c r="I3" s="86"/>
      <c r="J3" s="93" t="s">
        <v>763</v>
      </c>
      <c r="K3" s="93"/>
      <c r="L3" s="93"/>
      <c r="M3" s="93"/>
      <c r="N3" s="92"/>
      <c r="O3" s="91"/>
      <c r="P3" s="127" t="s">
        <v>767</v>
      </c>
      <c r="Q3" s="127"/>
      <c r="R3" s="127"/>
      <c r="S3" s="127"/>
      <c r="T3" s="91"/>
      <c r="U3" s="76"/>
      <c r="V3" s="76"/>
      <c r="W3" s="76"/>
      <c r="X3" s="76"/>
      <c r="Y3" s="76"/>
      <c r="Z3" s="76"/>
      <c r="AA3" s="76"/>
      <c r="AB3" s="77"/>
      <c r="AC3" s="76"/>
    </row>
    <row r="4" spans="1:29" ht="14.5" customHeight="1" x14ac:dyDescent="0.35">
      <c r="A4" s="79" t="s">
        <v>760</v>
      </c>
      <c r="B4" s="87">
        <v>1</v>
      </c>
      <c r="C4" s="86"/>
      <c r="D4" s="86"/>
      <c r="E4" s="86"/>
      <c r="F4" s="86"/>
      <c r="G4" s="86"/>
      <c r="H4" s="86"/>
      <c r="I4" s="86"/>
      <c r="J4" s="85"/>
      <c r="K4" s="120" t="s">
        <v>764</v>
      </c>
      <c r="L4" s="120"/>
      <c r="M4" s="120"/>
      <c r="N4" s="90">
        <f>COUNTIF($AA$11:$AA$110,"DIF Besar - review")</f>
        <v>0</v>
      </c>
      <c r="O4" s="81"/>
      <c r="P4" s="119" t="s">
        <v>768</v>
      </c>
      <c r="Q4" s="119"/>
      <c r="R4" s="119"/>
      <c r="S4" s="89"/>
      <c r="T4" s="88">
        <f>COUNTIF($AB$11:$AB$110,"Berpotensi Bias - Tinjau Konten")</f>
        <v>0</v>
      </c>
      <c r="U4" s="76"/>
      <c r="V4" s="76"/>
      <c r="W4" s="76"/>
      <c r="X4" s="76"/>
      <c r="Y4" s="76"/>
      <c r="Z4" s="76"/>
      <c r="AA4" s="76"/>
      <c r="AB4" s="77"/>
      <c r="AC4" s="76"/>
    </row>
    <row r="5" spans="1:29" ht="14.5" customHeight="1" x14ac:dyDescent="0.35">
      <c r="A5" s="79" t="s">
        <v>761</v>
      </c>
      <c r="B5" s="87">
        <v>2</v>
      </c>
      <c r="C5" s="86"/>
      <c r="D5" s="86"/>
      <c r="E5" s="86"/>
      <c r="F5" s="86"/>
      <c r="G5" s="86"/>
      <c r="H5" s="86"/>
      <c r="I5" s="86"/>
      <c r="J5" s="85"/>
      <c r="K5" s="120" t="s">
        <v>765</v>
      </c>
      <c r="L5" s="120"/>
      <c r="M5" s="120"/>
      <c r="N5" s="84">
        <f>COUNTIF($AA$11:$AA$110,"DIF Moderat - cek")</f>
        <v>0</v>
      </c>
      <c r="O5" s="81"/>
      <c r="P5" s="119" t="s">
        <v>769</v>
      </c>
      <c r="Q5" s="119"/>
      <c r="R5" s="119"/>
      <c r="S5" s="119"/>
      <c r="T5" s="84">
        <f>COUNTIF($AB$11:$AB$110,"Indikasi Ringan - Pantau")</f>
        <v>0</v>
      </c>
      <c r="U5" s="76"/>
      <c r="V5" s="76"/>
      <c r="W5" s="76"/>
      <c r="X5" s="76"/>
      <c r="Y5" s="76"/>
      <c r="Z5" s="76"/>
      <c r="AA5" s="76"/>
      <c r="AB5" s="77"/>
      <c r="AC5" s="76"/>
    </row>
    <row r="6" spans="1:29" ht="14.5" customHeight="1" x14ac:dyDescent="0.35">
      <c r="A6" s="79" t="s">
        <v>762</v>
      </c>
      <c r="B6" s="83">
        <f>_xlfn.AGGREGATE(14,6,ABS(X11:X110),1)</f>
        <v>0</v>
      </c>
      <c r="C6" s="78"/>
      <c r="D6" s="78"/>
      <c r="E6" s="78"/>
      <c r="F6" s="78"/>
      <c r="G6" s="78"/>
      <c r="H6" s="78"/>
      <c r="I6" s="78"/>
      <c r="J6" s="82"/>
      <c r="K6" s="120" t="s">
        <v>766</v>
      </c>
      <c r="L6" s="120"/>
      <c r="M6" s="120"/>
      <c r="N6" s="80">
        <f>COUNTIF($AA$11:$AA$110,"Negligible")</f>
        <v>100</v>
      </c>
      <c r="O6" s="81"/>
      <c r="P6" s="119" t="s">
        <v>770</v>
      </c>
      <c r="Q6" s="119"/>
      <c r="R6" s="119"/>
      <c r="S6" s="119"/>
      <c r="T6" s="80">
        <f>COUNTIF($AB$11:$AB$110,"Tidak Ada Indikasi Bias")</f>
        <v>100</v>
      </c>
      <c r="U6" s="76"/>
      <c r="V6" s="76"/>
      <c r="W6" s="76"/>
      <c r="X6" s="76"/>
      <c r="Y6" s="76"/>
      <c r="Z6" s="76"/>
      <c r="AA6" s="76"/>
      <c r="AB6" s="77"/>
      <c r="AC6" s="76"/>
    </row>
    <row r="7" spans="1:29" ht="34.5" customHeight="1" x14ac:dyDescent="0.35">
      <c r="A7" s="79"/>
      <c r="B7" s="78"/>
      <c r="C7" s="78"/>
      <c r="D7" s="78"/>
      <c r="E7" s="78"/>
      <c r="F7" s="78"/>
      <c r="G7" s="78"/>
      <c r="H7" s="78"/>
      <c r="I7" s="78"/>
      <c r="J7" s="121" t="s">
        <v>803</v>
      </c>
      <c r="K7" s="121"/>
      <c r="L7" s="121"/>
      <c r="M7" s="121"/>
      <c r="N7" s="121"/>
      <c r="O7" s="121"/>
      <c r="P7" s="121"/>
      <c r="Q7" s="121"/>
      <c r="R7" s="121"/>
      <c r="S7" s="121"/>
      <c r="T7" s="121"/>
      <c r="U7" s="121"/>
      <c r="V7" s="121"/>
      <c r="W7" s="121"/>
      <c r="X7" s="121"/>
      <c r="Y7" s="121"/>
      <c r="Z7" s="121"/>
      <c r="AA7" s="121"/>
      <c r="AB7" s="77"/>
      <c r="AC7" s="76"/>
    </row>
    <row r="8" spans="1:29" s="73" customFormat="1" ht="27.5" customHeight="1" x14ac:dyDescent="0.35">
      <c r="A8" s="97" t="s">
        <v>756</v>
      </c>
      <c r="B8" s="96" t="str">
        <f>AUI!B2</f>
        <v>Laki-Laki</v>
      </c>
      <c r="C8" s="96" t="str">
        <f>AUI!C2</f>
        <v>Laki-Laki</v>
      </c>
      <c r="D8" s="96" t="str">
        <f>AUI!D2</f>
        <v>Perempuan</v>
      </c>
      <c r="E8" s="96" t="str">
        <f>AUI!E2</f>
        <v>Perempuan</v>
      </c>
      <c r="F8" s="96" t="str">
        <f>AUI!F2</f>
        <v>Perempuan</v>
      </c>
      <c r="G8" s="96" t="str">
        <f>AUI!G2</f>
        <v>Laki-Laki</v>
      </c>
      <c r="H8" s="96" t="str">
        <f>AUI!H2</f>
        <v>Laki-Laki</v>
      </c>
      <c r="I8" s="96" t="str">
        <f>AUI!I2</f>
        <v>Laki-Laki</v>
      </c>
      <c r="J8" s="96" t="str">
        <f>AUI!J2</f>
        <v>Perempuan</v>
      </c>
      <c r="K8" s="96" t="str">
        <f>AUI!K2</f>
        <v>Perempuan</v>
      </c>
      <c r="L8" s="96"/>
      <c r="M8" s="96"/>
      <c r="N8" s="96"/>
      <c r="O8" s="96"/>
      <c r="P8" s="96"/>
      <c r="Q8" s="96"/>
      <c r="R8" s="96"/>
      <c r="S8" s="96"/>
      <c r="T8" s="96"/>
      <c r="U8" s="96"/>
      <c r="V8" s="96"/>
      <c r="W8" s="96"/>
      <c r="X8" s="96"/>
      <c r="Y8" s="96"/>
      <c r="Z8" s="96"/>
      <c r="AA8" s="96"/>
      <c r="AB8" s="96"/>
    </row>
    <row r="9" spans="1:29" s="72" customFormat="1" ht="23" customHeight="1" x14ac:dyDescent="0.35">
      <c r="A9" s="117" t="s">
        <v>0</v>
      </c>
      <c r="B9" s="124" t="s">
        <v>633</v>
      </c>
      <c r="C9" s="125"/>
      <c r="D9" s="125"/>
      <c r="E9" s="125"/>
      <c r="F9" s="125"/>
      <c r="G9" s="125"/>
      <c r="H9" s="125"/>
      <c r="I9" s="125"/>
      <c r="J9" s="125"/>
      <c r="K9" s="126"/>
      <c r="L9" s="117" t="s">
        <v>771</v>
      </c>
      <c r="M9" s="117" t="s">
        <v>772</v>
      </c>
      <c r="N9" s="117" t="s">
        <v>773</v>
      </c>
      <c r="O9" s="117" t="s">
        <v>774</v>
      </c>
      <c r="P9" s="117" t="s">
        <v>775</v>
      </c>
      <c r="Q9" s="117" t="s">
        <v>776</v>
      </c>
      <c r="R9" s="117" t="s">
        <v>777</v>
      </c>
      <c r="S9" s="117" t="s">
        <v>778</v>
      </c>
      <c r="T9" s="117" t="s">
        <v>779</v>
      </c>
      <c r="U9" s="117" t="s">
        <v>780</v>
      </c>
      <c r="V9" s="117" t="s">
        <v>781</v>
      </c>
      <c r="W9" s="117" t="s">
        <v>782</v>
      </c>
      <c r="X9" s="117" t="s">
        <v>783</v>
      </c>
      <c r="Y9" s="117" t="s">
        <v>784</v>
      </c>
      <c r="Z9" s="117" t="s">
        <v>785</v>
      </c>
      <c r="AA9" s="117" t="s">
        <v>786</v>
      </c>
      <c r="AB9" s="117" t="s">
        <v>787</v>
      </c>
    </row>
    <row r="10" spans="1:29" s="72" customFormat="1" ht="23" customHeight="1" x14ac:dyDescent="0.35">
      <c r="A10" s="118"/>
      <c r="B10" s="69">
        <v>1</v>
      </c>
      <c r="C10" s="69">
        <v>2</v>
      </c>
      <c r="D10" s="69">
        <v>3</v>
      </c>
      <c r="E10" s="69">
        <v>4</v>
      </c>
      <c r="F10" s="69">
        <v>5</v>
      </c>
      <c r="G10" s="69">
        <v>6</v>
      </c>
      <c r="H10" s="69">
        <v>7</v>
      </c>
      <c r="I10" s="69">
        <v>8</v>
      </c>
      <c r="J10" s="69">
        <v>9</v>
      </c>
      <c r="K10" s="69">
        <v>10</v>
      </c>
      <c r="L10" s="118"/>
      <c r="M10" s="118"/>
      <c r="N10" s="118"/>
      <c r="O10" s="118"/>
      <c r="P10" s="118"/>
      <c r="Q10" s="118"/>
      <c r="R10" s="118"/>
      <c r="S10" s="118"/>
      <c r="T10" s="118"/>
      <c r="U10" s="118"/>
      <c r="V10" s="118"/>
      <c r="W10" s="118"/>
      <c r="X10" s="118"/>
      <c r="Y10" s="118"/>
      <c r="Z10" s="118"/>
      <c r="AA10" s="118"/>
      <c r="AB10" s="118"/>
    </row>
    <row r="11" spans="1:29" ht="38.5" x14ac:dyDescent="0.35">
      <c r="A11" s="95" t="str">
        <f>AUI!A5</f>
        <v>1. Prinsip-prinsip dasar apa yang harus diikuti dalam melaksanakan audit sesuai ISO 19011</v>
      </c>
      <c r="B11" s="69">
        <f>AUI!B5</f>
        <v>0</v>
      </c>
      <c r="C11" s="69">
        <f>AUI!C5</f>
        <v>0</v>
      </c>
      <c r="D11" s="69">
        <f>AUI!D5</f>
        <v>0</v>
      </c>
      <c r="E11" s="69">
        <f>AUI!E5</f>
        <v>1</v>
      </c>
      <c r="F11" s="69">
        <f>AUI!F5</f>
        <v>0</v>
      </c>
      <c r="G11" s="69">
        <f>AUI!G5</f>
        <v>1</v>
      </c>
      <c r="H11" s="69">
        <f>AUI!H5</f>
        <v>1</v>
      </c>
      <c r="I11" s="69">
        <f>AUI!I5</f>
        <v>1</v>
      </c>
      <c r="J11" s="69">
        <f>AUI!J5</f>
        <v>1</v>
      </c>
      <c r="K11" s="69">
        <f>AUI!K5</f>
        <v>1</v>
      </c>
      <c r="L11" s="69">
        <f t="shared" ref="L11:L42" si="0">COUNTIF($B$8:$K$8,"Laki-Laki")</f>
        <v>5</v>
      </c>
      <c r="M11" s="69">
        <f t="shared" ref="M11:M42" si="1">COUNTIF($B$8:$K$8,"Perempuan")</f>
        <v>5</v>
      </c>
      <c r="N11" s="69">
        <f t="shared" ref="N11:N42" si="2">SUMIF($B$8:$K$8,"Laki-Laki",B11:K11)</f>
        <v>3</v>
      </c>
      <c r="O11" s="69">
        <f t="shared" ref="O11:O42" si="3">SUMIF($B$8:$K$8,"Perempuan",B11:K11)</f>
        <v>3</v>
      </c>
      <c r="P11" s="69">
        <f t="shared" ref="P11:P42" si="4">IF(N11=0,0.3,IF(N11=L11,L11-0.3,N11))</f>
        <v>3</v>
      </c>
      <c r="Q11" s="69">
        <f t="shared" ref="Q11:Q42" si="5">IF(O11=0,0.3,IF(O11=M11,M11-0.3,O11))</f>
        <v>3</v>
      </c>
      <c r="R11" s="70">
        <f t="shared" ref="R11:R42" si="6">LN((L11-P11)/P11)</f>
        <v>-0.40546510810816444</v>
      </c>
      <c r="S11" s="70">
        <f t="shared" ref="S11:S42" si="7">LN((M11-Q11)/Q11)</f>
        <v>-0.40546510810816444</v>
      </c>
      <c r="T11" s="70">
        <f t="shared" ref="T11:T42" si="8">R11-AVERAGE($R$11:$R$110)</f>
        <v>-0.3111658132205064</v>
      </c>
      <c r="U11" s="70">
        <f t="shared" ref="U11:U42" si="9">S11-AVERAGE($S$11:$S$110)</f>
        <v>-0.3111658132205064</v>
      </c>
      <c r="V11" s="70">
        <f t="shared" ref="V11:V42" si="10">SQRT(1/P11+1/(L11-P11))</f>
        <v>0.91287092917527679</v>
      </c>
      <c r="W11" s="70">
        <f t="shared" ref="W11:W42" si="11">SQRT(1/Q11+1/(M11-Q11))</f>
        <v>0.91287092917527679</v>
      </c>
      <c r="X11" s="70">
        <f t="shared" ref="X11:X42" si="12">T11-U11</f>
        <v>0</v>
      </c>
      <c r="Y11" s="70">
        <f t="shared" ref="Y11:Y42" si="13">SQRT(V11^2+W11^2)</f>
        <v>1.2909944487358056</v>
      </c>
      <c r="Z11" s="70">
        <f t="shared" ref="Z11:Z42" si="14">X11/Y11</f>
        <v>0</v>
      </c>
      <c r="AA11" s="69" t="str">
        <f t="shared" ref="AA11:AA42" si="15">IF(AND(ABS(X11)&gt;=$B$4,ABS(Z11)&gt;=$B$5),"DIF Besar - review",IF(AND(ABS(X11)&gt;=$B$3,ABS(Z11)&gt;=$B$5),"DIF Moderat - cek","Negligible"))</f>
        <v>Negligible</v>
      </c>
      <c r="AB11" s="69" t="str">
        <f t="shared" ref="AB11:AB42" si="16">IF(ABS(X11)&gt;=$B$4,"Berpotensi Bias - Tinjau Konten",IF(ABS(X11)&gt;=$B$3,"Indikasi Ringan - Pantau","Tidak Ada Indikasi Bias"))</f>
        <v>Tidak Ada Indikasi Bias</v>
      </c>
    </row>
    <row r="12" spans="1:29" ht="25" x14ac:dyDescent="0.35">
      <c r="A12" s="95" t="str">
        <f>AUI!A6</f>
        <v>2. Apa yang dimaksud dengan audit mutu</v>
      </c>
      <c r="B12" s="69">
        <f>AUI!B6</f>
        <v>1</v>
      </c>
      <c r="C12" s="69">
        <f>AUI!C6</f>
        <v>1</v>
      </c>
      <c r="D12" s="69">
        <f>AUI!D6</f>
        <v>1</v>
      </c>
      <c r="E12" s="69">
        <f>AUI!E6</f>
        <v>1</v>
      </c>
      <c r="F12" s="69">
        <f>AUI!F6</f>
        <v>1</v>
      </c>
      <c r="G12" s="69">
        <f>AUI!G6</f>
        <v>0</v>
      </c>
      <c r="H12" s="69">
        <f>AUI!H6</f>
        <v>1</v>
      </c>
      <c r="I12" s="69">
        <f>AUI!I6</f>
        <v>0</v>
      </c>
      <c r="J12" s="69">
        <f>AUI!J6</f>
        <v>0</v>
      </c>
      <c r="K12" s="69">
        <f>AUI!K6</f>
        <v>0</v>
      </c>
      <c r="L12" s="69">
        <f t="shared" si="0"/>
        <v>5</v>
      </c>
      <c r="M12" s="69">
        <f t="shared" si="1"/>
        <v>5</v>
      </c>
      <c r="N12" s="69">
        <f t="shared" si="2"/>
        <v>3</v>
      </c>
      <c r="O12" s="69">
        <f t="shared" si="3"/>
        <v>3</v>
      </c>
      <c r="P12" s="69">
        <f t="shared" si="4"/>
        <v>3</v>
      </c>
      <c r="Q12" s="69">
        <f t="shared" si="5"/>
        <v>3</v>
      </c>
      <c r="R12" s="70">
        <f t="shared" si="6"/>
        <v>-0.40546510810816444</v>
      </c>
      <c r="S12" s="70">
        <f t="shared" si="7"/>
        <v>-0.40546510810816444</v>
      </c>
      <c r="T12" s="70">
        <f t="shared" si="8"/>
        <v>-0.3111658132205064</v>
      </c>
      <c r="U12" s="70">
        <f t="shared" si="9"/>
        <v>-0.3111658132205064</v>
      </c>
      <c r="V12" s="70">
        <f t="shared" si="10"/>
        <v>0.91287092917527679</v>
      </c>
      <c r="W12" s="70">
        <f t="shared" si="11"/>
        <v>0.91287092917527679</v>
      </c>
      <c r="X12" s="70">
        <f t="shared" si="12"/>
        <v>0</v>
      </c>
      <c r="Y12" s="70">
        <f t="shared" si="13"/>
        <v>1.2909944487358056</v>
      </c>
      <c r="Z12" s="70">
        <f t="shared" si="14"/>
        <v>0</v>
      </c>
      <c r="AA12" s="69" t="str">
        <f t="shared" si="15"/>
        <v>Negligible</v>
      </c>
      <c r="AB12" s="69" t="str">
        <f t="shared" si="16"/>
        <v>Tidak Ada Indikasi Bias</v>
      </c>
    </row>
    <row r="13" spans="1:29" ht="25" x14ac:dyDescent="0.35">
      <c r="A13" s="95" t="str">
        <f>AUI!A7</f>
        <v>3. Salah satu prinsip dasar audit adalah</v>
      </c>
      <c r="B13" s="69">
        <f>AUI!B7</f>
        <v>1</v>
      </c>
      <c r="C13" s="69">
        <f>AUI!C7</f>
        <v>1</v>
      </c>
      <c r="D13" s="69">
        <f>AUI!D7</f>
        <v>1</v>
      </c>
      <c r="E13" s="69">
        <f>AUI!E7</f>
        <v>0</v>
      </c>
      <c r="F13" s="69">
        <f>AUI!F7</f>
        <v>0</v>
      </c>
      <c r="G13" s="69">
        <f>AUI!G7</f>
        <v>0</v>
      </c>
      <c r="H13" s="69">
        <f>AUI!H7</f>
        <v>0</v>
      </c>
      <c r="I13" s="69">
        <f>AUI!I7</f>
        <v>0</v>
      </c>
      <c r="J13" s="69">
        <f>AUI!J7</f>
        <v>1</v>
      </c>
      <c r="K13" s="69">
        <f>AUI!K7</f>
        <v>0</v>
      </c>
      <c r="L13" s="69">
        <f t="shared" si="0"/>
        <v>5</v>
      </c>
      <c r="M13" s="69">
        <f t="shared" si="1"/>
        <v>5</v>
      </c>
      <c r="N13" s="69">
        <f t="shared" si="2"/>
        <v>2</v>
      </c>
      <c r="O13" s="69">
        <f t="shared" si="3"/>
        <v>2</v>
      </c>
      <c r="P13" s="69">
        <f t="shared" si="4"/>
        <v>2</v>
      </c>
      <c r="Q13" s="69">
        <f t="shared" si="5"/>
        <v>2</v>
      </c>
      <c r="R13" s="70">
        <f t="shared" si="6"/>
        <v>0.40546510810816438</v>
      </c>
      <c r="S13" s="70">
        <f t="shared" si="7"/>
        <v>0.40546510810816438</v>
      </c>
      <c r="T13" s="70">
        <f t="shared" si="8"/>
        <v>0.49976440299582248</v>
      </c>
      <c r="U13" s="70">
        <f t="shared" si="9"/>
        <v>0.49976440299582248</v>
      </c>
      <c r="V13" s="70">
        <f t="shared" si="10"/>
        <v>0.91287092917527679</v>
      </c>
      <c r="W13" s="70">
        <f t="shared" si="11"/>
        <v>0.91287092917527679</v>
      </c>
      <c r="X13" s="70">
        <f t="shared" si="12"/>
        <v>0</v>
      </c>
      <c r="Y13" s="70">
        <f t="shared" si="13"/>
        <v>1.2909944487358056</v>
      </c>
      <c r="Z13" s="70">
        <f t="shared" si="14"/>
        <v>0</v>
      </c>
      <c r="AA13" s="69" t="str">
        <f t="shared" si="15"/>
        <v>Negligible</v>
      </c>
      <c r="AB13" s="69" t="str">
        <f t="shared" si="16"/>
        <v>Tidak Ada Indikasi Bias</v>
      </c>
    </row>
    <row r="14" spans="1:29" ht="26" x14ac:dyDescent="0.35">
      <c r="A14" s="95" t="str">
        <f>AUI!A8</f>
        <v>4. Perbedaan utama antara audit internal dan eksternal adalah</v>
      </c>
      <c r="B14" s="69">
        <f>AUI!B8</f>
        <v>1</v>
      </c>
      <c r="C14" s="69">
        <f>AUI!C8</f>
        <v>1</v>
      </c>
      <c r="D14" s="69">
        <f>AUI!D8</f>
        <v>1</v>
      </c>
      <c r="E14" s="69">
        <f>AUI!E8</f>
        <v>1</v>
      </c>
      <c r="F14" s="69">
        <f>AUI!F8</f>
        <v>1</v>
      </c>
      <c r="G14" s="69">
        <f>AUI!G8</f>
        <v>0</v>
      </c>
      <c r="H14" s="69">
        <f>AUI!H8</f>
        <v>1</v>
      </c>
      <c r="I14" s="69">
        <f>AUI!I8</f>
        <v>1</v>
      </c>
      <c r="J14" s="69">
        <f>AUI!J8</f>
        <v>1</v>
      </c>
      <c r="K14" s="69">
        <f>AUI!K8</f>
        <v>0</v>
      </c>
      <c r="L14" s="69">
        <f t="shared" si="0"/>
        <v>5</v>
      </c>
      <c r="M14" s="69">
        <f t="shared" si="1"/>
        <v>5</v>
      </c>
      <c r="N14" s="69">
        <f t="shared" si="2"/>
        <v>4</v>
      </c>
      <c r="O14" s="69">
        <f t="shared" si="3"/>
        <v>4</v>
      </c>
      <c r="P14" s="69">
        <f t="shared" si="4"/>
        <v>4</v>
      </c>
      <c r="Q14" s="69">
        <f t="shared" si="5"/>
        <v>4</v>
      </c>
      <c r="R14" s="70">
        <f t="shared" si="6"/>
        <v>-1.3862943611198906</v>
      </c>
      <c r="S14" s="70">
        <f t="shared" si="7"/>
        <v>-1.3862943611198906</v>
      </c>
      <c r="T14" s="70">
        <f t="shared" si="8"/>
        <v>-1.2919950662322326</v>
      </c>
      <c r="U14" s="70">
        <f t="shared" si="9"/>
        <v>-1.2919950662322326</v>
      </c>
      <c r="V14" s="70">
        <f t="shared" si="10"/>
        <v>1.1180339887498949</v>
      </c>
      <c r="W14" s="70">
        <f t="shared" si="11"/>
        <v>1.1180339887498949</v>
      </c>
      <c r="X14" s="70">
        <f t="shared" si="12"/>
        <v>0</v>
      </c>
      <c r="Y14" s="70">
        <f t="shared" si="13"/>
        <v>1.5811388300841898</v>
      </c>
      <c r="Z14" s="70">
        <f t="shared" si="14"/>
        <v>0</v>
      </c>
      <c r="AA14" s="69" t="str">
        <f t="shared" si="15"/>
        <v>Negligible</v>
      </c>
      <c r="AB14" s="69" t="str">
        <f t="shared" si="16"/>
        <v>Tidak Ada Indikasi Bias</v>
      </c>
    </row>
    <row r="15" spans="1:29" ht="51" x14ac:dyDescent="0.35">
      <c r="A15" s="95" t="str">
        <f>AUI!A9</f>
        <v>5. Bukti audit sebaiknya dapat diverifikasi, didasarkan pada sampel dari informasi yang didapatkan selama pelaksanaan audit adalah prinsip</v>
      </c>
      <c r="B15" s="69">
        <f>AUI!B9</f>
        <v>0</v>
      </c>
      <c r="C15" s="69">
        <f>AUI!C9</f>
        <v>1</v>
      </c>
      <c r="D15" s="69">
        <f>AUI!D9</f>
        <v>0</v>
      </c>
      <c r="E15" s="69">
        <f>AUI!E9</f>
        <v>0</v>
      </c>
      <c r="F15" s="69">
        <f>AUI!F9</f>
        <v>1</v>
      </c>
      <c r="G15" s="69">
        <f>AUI!G9</f>
        <v>1</v>
      </c>
      <c r="H15" s="69">
        <f>AUI!H9</f>
        <v>1</v>
      </c>
      <c r="I15" s="69">
        <f>AUI!I9</f>
        <v>0</v>
      </c>
      <c r="J15" s="69">
        <f>AUI!J9</f>
        <v>1</v>
      </c>
      <c r="K15" s="69">
        <f>AUI!K9</f>
        <v>1</v>
      </c>
      <c r="L15" s="69">
        <f t="shared" si="0"/>
        <v>5</v>
      </c>
      <c r="M15" s="69">
        <f t="shared" si="1"/>
        <v>5</v>
      </c>
      <c r="N15" s="69">
        <f t="shared" si="2"/>
        <v>3</v>
      </c>
      <c r="O15" s="69">
        <f t="shared" si="3"/>
        <v>3</v>
      </c>
      <c r="P15" s="69">
        <f t="shared" si="4"/>
        <v>3</v>
      </c>
      <c r="Q15" s="69">
        <f t="shared" si="5"/>
        <v>3</v>
      </c>
      <c r="R15" s="70">
        <f t="shared" si="6"/>
        <v>-0.40546510810816444</v>
      </c>
      <c r="S15" s="70">
        <f t="shared" si="7"/>
        <v>-0.40546510810816444</v>
      </c>
      <c r="T15" s="70">
        <f t="shared" si="8"/>
        <v>-0.3111658132205064</v>
      </c>
      <c r="U15" s="70">
        <f t="shared" si="9"/>
        <v>-0.3111658132205064</v>
      </c>
      <c r="V15" s="70">
        <f t="shared" si="10"/>
        <v>0.91287092917527679</v>
      </c>
      <c r="W15" s="70">
        <f t="shared" si="11"/>
        <v>0.91287092917527679</v>
      </c>
      <c r="X15" s="70">
        <f t="shared" si="12"/>
        <v>0</v>
      </c>
      <c r="Y15" s="70">
        <f t="shared" si="13"/>
        <v>1.2909944487358056</v>
      </c>
      <c r="Z15" s="70">
        <f t="shared" si="14"/>
        <v>0</v>
      </c>
      <c r="AA15" s="69" t="str">
        <f t="shared" si="15"/>
        <v>Negligible</v>
      </c>
      <c r="AB15" s="69" t="str">
        <f t="shared" si="16"/>
        <v>Tidak Ada Indikasi Bias</v>
      </c>
    </row>
    <row r="16" spans="1:29" ht="37.5" customHeight="1" x14ac:dyDescent="0.35">
      <c r="A16" s="95" t="str">
        <f>AUI!A10</f>
        <v>6. Auditor bertindak dengan yang bebas dari bias dan konflik kepentingan adalah prinsip</v>
      </c>
      <c r="B16" s="69">
        <f>AUI!B10</f>
        <v>1</v>
      </c>
      <c r="C16" s="69">
        <f>AUI!C10</f>
        <v>1</v>
      </c>
      <c r="D16" s="69">
        <f>AUI!D10</f>
        <v>0</v>
      </c>
      <c r="E16" s="69">
        <f>AUI!E10</f>
        <v>1</v>
      </c>
      <c r="F16" s="69">
        <f>AUI!F10</f>
        <v>1</v>
      </c>
      <c r="G16" s="69">
        <f>AUI!G10</f>
        <v>0</v>
      </c>
      <c r="H16" s="69">
        <f>AUI!H10</f>
        <v>1</v>
      </c>
      <c r="I16" s="69">
        <f>AUI!I10</f>
        <v>0</v>
      </c>
      <c r="J16" s="69">
        <f>AUI!J10</f>
        <v>0</v>
      </c>
      <c r="K16" s="69">
        <f>AUI!K10</f>
        <v>1</v>
      </c>
      <c r="L16" s="69">
        <f t="shared" si="0"/>
        <v>5</v>
      </c>
      <c r="M16" s="69">
        <f t="shared" si="1"/>
        <v>5</v>
      </c>
      <c r="N16" s="69">
        <f t="shared" si="2"/>
        <v>3</v>
      </c>
      <c r="O16" s="69">
        <f t="shared" si="3"/>
        <v>3</v>
      </c>
      <c r="P16" s="69">
        <f t="shared" si="4"/>
        <v>3</v>
      </c>
      <c r="Q16" s="69">
        <f t="shared" si="5"/>
        <v>3</v>
      </c>
      <c r="R16" s="70">
        <f t="shared" si="6"/>
        <v>-0.40546510810816444</v>
      </c>
      <c r="S16" s="70">
        <f t="shared" si="7"/>
        <v>-0.40546510810816444</v>
      </c>
      <c r="T16" s="70">
        <f t="shared" si="8"/>
        <v>-0.3111658132205064</v>
      </c>
      <c r="U16" s="70">
        <f t="shared" si="9"/>
        <v>-0.3111658132205064</v>
      </c>
      <c r="V16" s="70">
        <f t="shared" si="10"/>
        <v>0.91287092917527679</v>
      </c>
      <c r="W16" s="70">
        <f t="shared" si="11"/>
        <v>0.91287092917527679</v>
      </c>
      <c r="X16" s="70">
        <f t="shared" si="12"/>
        <v>0</v>
      </c>
      <c r="Y16" s="70">
        <f t="shared" si="13"/>
        <v>1.2909944487358056</v>
      </c>
      <c r="Z16" s="70">
        <f t="shared" si="14"/>
        <v>0</v>
      </c>
      <c r="AA16" s="69" t="str">
        <f t="shared" si="15"/>
        <v>Negligible</v>
      </c>
      <c r="AB16" s="69" t="str">
        <f t="shared" si="16"/>
        <v>Tidak Ada Indikasi Bias</v>
      </c>
    </row>
    <row r="17" spans="1:28" ht="37.5" customHeight="1" x14ac:dyDescent="0.35">
      <c r="A17" s="95" t="str">
        <f>AUI!A11</f>
        <v>7. Melindungi informasi yang diperoleh, penanganan yang tepat atas informasi sensitif atau rahasia adalah prinsip</v>
      </c>
      <c r="B17" s="69">
        <f>AUI!B11</f>
        <v>1</v>
      </c>
      <c r="C17" s="69">
        <f>AUI!C11</f>
        <v>1</v>
      </c>
      <c r="D17" s="69">
        <f>AUI!D11</f>
        <v>0</v>
      </c>
      <c r="E17" s="69">
        <f>AUI!E11</f>
        <v>0</v>
      </c>
      <c r="F17" s="69">
        <f>AUI!F11</f>
        <v>1</v>
      </c>
      <c r="G17" s="69">
        <f>AUI!G11</f>
        <v>0</v>
      </c>
      <c r="H17" s="69">
        <f>AUI!H11</f>
        <v>0</v>
      </c>
      <c r="I17" s="69">
        <f>AUI!I11</f>
        <v>0</v>
      </c>
      <c r="J17" s="69">
        <f>AUI!J11</f>
        <v>1</v>
      </c>
      <c r="K17" s="69">
        <f>AUI!K11</f>
        <v>0</v>
      </c>
      <c r="L17" s="69">
        <f t="shared" si="0"/>
        <v>5</v>
      </c>
      <c r="M17" s="69">
        <f t="shared" si="1"/>
        <v>5</v>
      </c>
      <c r="N17" s="69">
        <f t="shared" si="2"/>
        <v>2</v>
      </c>
      <c r="O17" s="69">
        <f t="shared" si="3"/>
        <v>2</v>
      </c>
      <c r="P17" s="69">
        <f t="shared" si="4"/>
        <v>2</v>
      </c>
      <c r="Q17" s="69">
        <f t="shared" si="5"/>
        <v>2</v>
      </c>
      <c r="R17" s="70">
        <f t="shared" si="6"/>
        <v>0.40546510810816438</v>
      </c>
      <c r="S17" s="70">
        <f t="shared" si="7"/>
        <v>0.40546510810816438</v>
      </c>
      <c r="T17" s="70">
        <f t="shared" si="8"/>
        <v>0.49976440299582248</v>
      </c>
      <c r="U17" s="70">
        <f t="shared" si="9"/>
        <v>0.49976440299582248</v>
      </c>
      <c r="V17" s="70">
        <f t="shared" si="10"/>
        <v>0.91287092917527679</v>
      </c>
      <c r="W17" s="70">
        <f t="shared" si="11"/>
        <v>0.91287092917527679</v>
      </c>
      <c r="X17" s="70">
        <f t="shared" si="12"/>
        <v>0</v>
      </c>
      <c r="Y17" s="70">
        <f t="shared" si="13"/>
        <v>1.2909944487358056</v>
      </c>
      <c r="Z17" s="70">
        <f t="shared" si="14"/>
        <v>0</v>
      </c>
      <c r="AA17" s="69" t="str">
        <f t="shared" si="15"/>
        <v>Negligible</v>
      </c>
      <c r="AB17" s="69" t="str">
        <f t="shared" si="16"/>
        <v>Tidak Ada Indikasi Bias</v>
      </c>
    </row>
    <row r="18" spans="1:28" ht="51" x14ac:dyDescent="0.35">
      <c r="A18" s="95" t="str">
        <f>AUI!A12</f>
        <v>8. Menerapkan ketekunan dan pertimbangan dalam audit, kemampuan untuk mengambil bertimbangan secara ilmiah adalah prinsip</v>
      </c>
      <c r="B18" s="69">
        <f>AUI!B12</f>
        <v>0</v>
      </c>
      <c r="C18" s="69">
        <f>AUI!C12</f>
        <v>0</v>
      </c>
      <c r="D18" s="69">
        <f>AUI!D12</f>
        <v>0</v>
      </c>
      <c r="E18" s="69">
        <f>AUI!E12</f>
        <v>0</v>
      </c>
      <c r="F18" s="69">
        <f>AUI!F12</f>
        <v>0</v>
      </c>
      <c r="G18" s="69">
        <f>AUI!G12</f>
        <v>1</v>
      </c>
      <c r="H18" s="69">
        <f>AUI!H12</f>
        <v>0</v>
      </c>
      <c r="I18" s="69">
        <f>AUI!I12</f>
        <v>0</v>
      </c>
      <c r="J18" s="69">
        <f>AUI!J12</f>
        <v>0</v>
      </c>
      <c r="K18" s="69">
        <f>AUI!K12</f>
        <v>1</v>
      </c>
      <c r="L18" s="69">
        <f t="shared" si="0"/>
        <v>5</v>
      </c>
      <c r="M18" s="69">
        <f t="shared" si="1"/>
        <v>5</v>
      </c>
      <c r="N18" s="69">
        <f t="shared" si="2"/>
        <v>1</v>
      </c>
      <c r="O18" s="69">
        <f t="shared" si="3"/>
        <v>1</v>
      </c>
      <c r="P18" s="69">
        <f t="shared" si="4"/>
        <v>1</v>
      </c>
      <c r="Q18" s="69">
        <f t="shared" si="5"/>
        <v>1</v>
      </c>
      <c r="R18" s="70">
        <f t="shared" si="6"/>
        <v>1.3862943611198906</v>
      </c>
      <c r="S18" s="70">
        <f t="shared" si="7"/>
        <v>1.3862943611198906</v>
      </c>
      <c r="T18" s="70">
        <f t="shared" si="8"/>
        <v>1.4805936560075486</v>
      </c>
      <c r="U18" s="70">
        <f t="shared" si="9"/>
        <v>1.4805936560075486</v>
      </c>
      <c r="V18" s="70">
        <f t="shared" si="10"/>
        <v>1.1180339887498949</v>
      </c>
      <c r="W18" s="70">
        <f t="shared" si="11"/>
        <v>1.1180339887498949</v>
      </c>
      <c r="X18" s="70">
        <f t="shared" si="12"/>
        <v>0</v>
      </c>
      <c r="Y18" s="70">
        <f t="shared" si="13"/>
        <v>1.5811388300841898</v>
      </c>
      <c r="Z18" s="70">
        <f t="shared" si="14"/>
        <v>0</v>
      </c>
      <c r="AA18" s="69" t="str">
        <f t="shared" si="15"/>
        <v>Negligible</v>
      </c>
      <c r="AB18" s="69" t="str">
        <f t="shared" si="16"/>
        <v>Tidak Ada Indikasi Bias</v>
      </c>
    </row>
    <row r="19" spans="1:28" ht="26" x14ac:dyDescent="0.35">
      <c r="A19" s="95" t="str">
        <f>AUI!A13</f>
        <v>9. Apa yang dimaksud dengan program audit menurut ISO 19011</v>
      </c>
      <c r="B19" s="69">
        <f>AUI!B13</f>
        <v>1</v>
      </c>
      <c r="C19" s="69">
        <f>AUI!C13</f>
        <v>1</v>
      </c>
      <c r="D19" s="69">
        <f>AUI!D13</f>
        <v>0</v>
      </c>
      <c r="E19" s="69">
        <f>AUI!E13</f>
        <v>0</v>
      </c>
      <c r="F19" s="69">
        <f>AUI!F13</f>
        <v>1</v>
      </c>
      <c r="G19" s="69">
        <f>AUI!G13</f>
        <v>0</v>
      </c>
      <c r="H19" s="69">
        <f>AUI!H13</f>
        <v>0</v>
      </c>
      <c r="I19" s="69">
        <f>AUI!I13</f>
        <v>0</v>
      </c>
      <c r="J19" s="69">
        <f>AUI!J13</f>
        <v>0</v>
      </c>
      <c r="K19" s="69">
        <f>AUI!K13</f>
        <v>1</v>
      </c>
      <c r="L19" s="69">
        <f t="shared" si="0"/>
        <v>5</v>
      </c>
      <c r="M19" s="69">
        <f t="shared" si="1"/>
        <v>5</v>
      </c>
      <c r="N19" s="69">
        <f t="shared" si="2"/>
        <v>2</v>
      </c>
      <c r="O19" s="69">
        <f t="shared" si="3"/>
        <v>2</v>
      </c>
      <c r="P19" s="69">
        <f t="shared" si="4"/>
        <v>2</v>
      </c>
      <c r="Q19" s="69">
        <f t="shared" si="5"/>
        <v>2</v>
      </c>
      <c r="R19" s="70">
        <f t="shared" si="6"/>
        <v>0.40546510810816438</v>
      </c>
      <c r="S19" s="70">
        <f t="shared" si="7"/>
        <v>0.40546510810816438</v>
      </c>
      <c r="T19" s="70">
        <f t="shared" si="8"/>
        <v>0.49976440299582248</v>
      </c>
      <c r="U19" s="70">
        <f t="shared" si="9"/>
        <v>0.49976440299582248</v>
      </c>
      <c r="V19" s="70">
        <f t="shared" si="10"/>
        <v>0.91287092917527679</v>
      </c>
      <c r="W19" s="70">
        <f t="shared" si="11"/>
        <v>0.91287092917527679</v>
      </c>
      <c r="X19" s="70">
        <f t="shared" si="12"/>
        <v>0</v>
      </c>
      <c r="Y19" s="70">
        <f t="shared" si="13"/>
        <v>1.2909944487358056</v>
      </c>
      <c r="Z19" s="70">
        <f t="shared" si="14"/>
        <v>0</v>
      </c>
      <c r="AA19" s="69" t="str">
        <f t="shared" si="15"/>
        <v>Negligible</v>
      </c>
      <c r="AB19" s="69" t="str">
        <f t="shared" si="16"/>
        <v>Tidak Ada Indikasi Bias</v>
      </c>
    </row>
    <row r="20" spans="1:28" ht="26" x14ac:dyDescent="0.35">
      <c r="A20" s="95" t="str">
        <f>AUI!A14</f>
        <v>10. Apa yang termasuk dalam elemen-elemen utama dari program audit</v>
      </c>
      <c r="B20" s="69">
        <f>AUI!B14</f>
        <v>1</v>
      </c>
      <c r="C20" s="69">
        <f>AUI!C14</f>
        <v>1</v>
      </c>
      <c r="D20" s="69">
        <f>AUI!D14</f>
        <v>1</v>
      </c>
      <c r="E20" s="69">
        <f>AUI!E14</f>
        <v>1</v>
      </c>
      <c r="F20" s="69">
        <f>AUI!F14</f>
        <v>1</v>
      </c>
      <c r="G20" s="69">
        <f>AUI!G14</f>
        <v>1</v>
      </c>
      <c r="H20" s="69">
        <f>AUI!H14</f>
        <v>0</v>
      </c>
      <c r="I20" s="69">
        <f>AUI!I14</f>
        <v>0</v>
      </c>
      <c r="J20" s="69">
        <f>AUI!J14</f>
        <v>0</v>
      </c>
      <c r="K20" s="69">
        <f>AUI!K14</f>
        <v>0</v>
      </c>
      <c r="L20" s="69">
        <f t="shared" si="0"/>
        <v>5</v>
      </c>
      <c r="M20" s="69">
        <f t="shared" si="1"/>
        <v>5</v>
      </c>
      <c r="N20" s="69">
        <f t="shared" si="2"/>
        <v>3</v>
      </c>
      <c r="O20" s="69">
        <f t="shared" si="3"/>
        <v>3</v>
      </c>
      <c r="P20" s="69">
        <f t="shared" si="4"/>
        <v>3</v>
      </c>
      <c r="Q20" s="69">
        <f t="shared" si="5"/>
        <v>3</v>
      </c>
      <c r="R20" s="70">
        <f t="shared" si="6"/>
        <v>-0.40546510810816444</v>
      </c>
      <c r="S20" s="70">
        <f t="shared" si="7"/>
        <v>-0.40546510810816444</v>
      </c>
      <c r="T20" s="70">
        <f t="shared" si="8"/>
        <v>-0.3111658132205064</v>
      </c>
      <c r="U20" s="70">
        <f t="shared" si="9"/>
        <v>-0.3111658132205064</v>
      </c>
      <c r="V20" s="70">
        <f t="shared" si="10"/>
        <v>0.91287092917527679</v>
      </c>
      <c r="W20" s="70">
        <f t="shared" si="11"/>
        <v>0.91287092917527679</v>
      </c>
      <c r="X20" s="70">
        <f t="shared" si="12"/>
        <v>0</v>
      </c>
      <c r="Y20" s="70">
        <f t="shared" si="13"/>
        <v>1.2909944487358056</v>
      </c>
      <c r="Z20" s="70">
        <f t="shared" si="14"/>
        <v>0</v>
      </c>
      <c r="AA20" s="69" t="str">
        <f t="shared" si="15"/>
        <v>Negligible</v>
      </c>
      <c r="AB20" s="69" t="str">
        <f t="shared" si="16"/>
        <v>Tidak Ada Indikasi Bias</v>
      </c>
    </row>
    <row r="21" spans="1:28" ht="26" x14ac:dyDescent="0.35">
      <c r="A21" s="95" t="str">
        <f>AUI!A15</f>
        <v>11. Manfaat utama dari memiliki program audit yang terstruktur adalah</v>
      </c>
      <c r="B21" s="69">
        <f>AUI!B15</f>
        <v>1</v>
      </c>
      <c r="C21" s="69">
        <f>AUI!C15</f>
        <v>1</v>
      </c>
      <c r="D21" s="69">
        <f>AUI!D15</f>
        <v>1</v>
      </c>
      <c r="E21" s="69">
        <f>AUI!E15</f>
        <v>1</v>
      </c>
      <c r="F21" s="69">
        <f>AUI!F15</f>
        <v>1</v>
      </c>
      <c r="G21" s="69">
        <f>AUI!G15</f>
        <v>1</v>
      </c>
      <c r="H21" s="69">
        <f>AUI!H15</f>
        <v>1</v>
      </c>
      <c r="I21" s="69">
        <f>AUI!I15</f>
        <v>0</v>
      </c>
      <c r="J21" s="69">
        <f>AUI!J15</f>
        <v>1</v>
      </c>
      <c r="K21" s="69">
        <f>AUI!K15</f>
        <v>0</v>
      </c>
      <c r="L21" s="69">
        <f t="shared" si="0"/>
        <v>5</v>
      </c>
      <c r="M21" s="69">
        <f t="shared" si="1"/>
        <v>5</v>
      </c>
      <c r="N21" s="69">
        <f t="shared" si="2"/>
        <v>4</v>
      </c>
      <c r="O21" s="69">
        <f t="shared" si="3"/>
        <v>4</v>
      </c>
      <c r="P21" s="69">
        <f t="shared" si="4"/>
        <v>4</v>
      </c>
      <c r="Q21" s="69">
        <f t="shared" si="5"/>
        <v>4</v>
      </c>
      <c r="R21" s="70">
        <f t="shared" si="6"/>
        <v>-1.3862943611198906</v>
      </c>
      <c r="S21" s="70">
        <f t="shared" si="7"/>
        <v>-1.3862943611198906</v>
      </c>
      <c r="T21" s="70">
        <f t="shared" si="8"/>
        <v>-1.2919950662322326</v>
      </c>
      <c r="U21" s="70">
        <f t="shared" si="9"/>
        <v>-1.2919950662322326</v>
      </c>
      <c r="V21" s="70">
        <f t="shared" si="10"/>
        <v>1.1180339887498949</v>
      </c>
      <c r="W21" s="70">
        <f t="shared" si="11"/>
        <v>1.1180339887498949</v>
      </c>
      <c r="X21" s="70">
        <f t="shared" si="12"/>
        <v>0</v>
      </c>
      <c r="Y21" s="70">
        <f t="shared" si="13"/>
        <v>1.5811388300841898</v>
      </c>
      <c r="Z21" s="70">
        <f t="shared" si="14"/>
        <v>0</v>
      </c>
      <c r="AA21" s="69" t="str">
        <f t="shared" si="15"/>
        <v>Negligible</v>
      </c>
      <c r="AB21" s="69" t="str">
        <f t="shared" si="16"/>
        <v>Tidak Ada Indikasi Bias</v>
      </c>
    </row>
    <row r="22" spans="1:28" ht="26" x14ac:dyDescent="0.35">
      <c r="A22" s="95" t="str">
        <f>AUI!A16</f>
        <v>12. Siapa yang bertanggung jawab atas penyusunan program audit</v>
      </c>
      <c r="B22" s="69">
        <f>AUI!B16</f>
        <v>0</v>
      </c>
      <c r="C22" s="69">
        <f>AUI!C16</f>
        <v>0</v>
      </c>
      <c r="D22" s="69">
        <f>AUI!D16</f>
        <v>0</v>
      </c>
      <c r="E22" s="69">
        <f>AUI!E16</f>
        <v>0</v>
      </c>
      <c r="F22" s="69">
        <f>AUI!F16</f>
        <v>0</v>
      </c>
      <c r="G22" s="69">
        <f>AUI!G16</f>
        <v>1</v>
      </c>
      <c r="H22" s="69">
        <f>AUI!H16</f>
        <v>0</v>
      </c>
      <c r="I22" s="69">
        <f>AUI!I16</f>
        <v>1</v>
      </c>
      <c r="J22" s="69">
        <f>AUI!J16</f>
        <v>1</v>
      </c>
      <c r="K22" s="69">
        <f>AUI!K16</f>
        <v>1</v>
      </c>
      <c r="L22" s="69">
        <f t="shared" si="0"/>
        <v>5</v>
      </c>
      <c r="M22" s="69">
        <f t="shared" si="1"/>
        <v>5</v>
      </c>
      <c r="N22" s="69">
        <f t="shared" si="2"/>
        <v>2</v>
      </c>
      <c r="O22" s="69">
        <f t="shared" si="3"/>
        <v>2</v>
      </c>
      <c r="P22" s="69">
        <f t="shared" si="4"/>
        <v>2</v>
      </c>
      <c r="Q22" s="69">
        <f t="shared" si="5"/>
        <v>2</v>
      </c>
      <c r="R22" s="70">
        <f t="shared" si="6"/>
        <v>0.40546510810816438</v>
      </c>
      <c r="S22" s="70">
        <f t="shared" si="7"/>
        <v>0.40546510810816438</v>
      </c>
      <c r="T22" s="70">
        <f t="shared" si="8"/>
        <v>0.49976440299582248</v>
      </c>
      <c r="U22" s="70">
        <f t="shared" si="9"/>
        <v>0.49976440299582248</v>
      </c>
      <c r="V22" s="70">
        <f t="shared" si="10"/>
        <v>0.91287092917527679</v>
      </c>
      <c r="W22" s="70">
        <f t="shared" si="11"/>
        <v>0.91287092917527679</v>
      </c>
      <c r="X22" s="70">
        <f t="shared" si="12"/>
        <v>0</v>
      </c>
      <c r="Y22" s="70">
        <f t="shared" si="13"/>
        <v>1.2909944487358056</v>
      </c>
      <c r="Z22" s="70">
        <f t="shared" si="14"/>
        <v>0</v>
      </c>
      <c r="AA22" s="69" t="str">
        <f t="shared" si="15"/>
        <v>Negligible</v>
      </c>
      <c r="AB22" s="69" t="str">
        <f t="shared" si="16"/>
        <v>Tidak Ada Indikasi Bias</v>
      </c>
    </row>
    <row r="23" spans="1:28" ht="38.5" x14ac:dyDescent="0.35">
      <c r="A23" s="95" t="str">
        <f>AUI!A17</f>
        <v>13. Bagaimana cara menentukan sumber daya yang dibutuhkan dalam program audit</v>
      </c>
      <c r="B23" s="69">
        <f>AUI!B17</f>
        <v>0</v>
      </c>
      <c r="C23" s="69">
        <f>AUI!C17</f>
        <v>1</v>
      </c>
      <c r="D23" s="69">
        <f>AUI!D17</f>
        <v>0</v>
      </c>
      <c r="E23" s="69">
        <f>AUI!E17</f>
        <v>1</v>
      </c>
      <c r="F23" s="69">
        <f>AUI!F17</f>
        <v>1</v>
      </c>
      <c r="G23" s="69">
        <f>AUI!G17</f>
        <v>1</v>
      </c>
      <c r="H23" s="69">
        <f>AUI!H17</f>
        <v>1</v>
      </c>
      <c r="I23" s="69">
        <f>AUI!I17</f>
        <v>1</v>
      </c>
      <c r="J23" s="69">
        <f>AUI!J17</f>
        <v>1</v>
      </c>
      <c r="K23" s="69">
        <f>AUI!K17</f>
        <v>1</v>
      </c>
      <c r="L23" s="69">
        <f t="shared" si="0"/>
        <v>5</v>
      </c>
      <c r="M23" s="69">
        <f t="shared" si="1"/>
        <v>5</v>
      </c>
      <c r="N23" s="69">
        <f t="shared" si="2"/>
        <v>4</v>
      </c>
      <c r="O23" s="69">
        <f t="shared" si="3"/>
        <v>4</v>
      </c>
      <c r="P23" s="69">
        <f t="shared" si="4"/>
        <v>4</v>
      </c>
      <c r="Q23" s="69">
        <f t="shared" si="5"/>
        <v>4</v>
      </c>
      <c r="R23" s="70">
        <f t="shared" si="6"/>
        <v>-1.3862943611198906</v>
      </c>
      <c r="S23" s="70">
        <f t="shared" si="7"/>
        <v>-1.3862943611198906</v>
      </c>
      <c r="T23" s="70">
        <f t="shared" si="8"/>
        <v>-1.2919950662322326</v>
      </c>
      <c r="U23" s="70">
        <f t="shared" si="9"/>
        <v>-1.2919950662322326</v>
      </c>
      <c r="V23" s="70">
        <f t="shared" si="10"/>
        <v>1.1180339887498949</v>
      </c>
      <c r="W23" s="70">
        <f t="shared" si="11"/>
        <v>1.1180339887498949</v>
      </c>
      <c r="X23" s="70">
        <f t="shared" si="12"/>
        <v>0</v>
      </c>
      <c r="Y23" s="70">
        <f t="shared" si="13"/>
        <v>1.5811388300841898</v>
      </c>
      <c r="Z23" s="70">
        <f t="shared" si="14"/>
        <v>0</v>
      </c>
      <c r="AA23" s="69" t="str">
        <f t="shared" si="15"/>
        <v>Negligible</v>
      </c>
      <c r="AB23" s="69" t="str">
        <f t="shared" si="16"/>
        <v>Tidak Ada Indikasi Bias</v>
      </c>
    </row>
    <row r="24" spans="1:28" ht="26" x14ac:dyDescent="0.35">
      <c r="A24" s="95" t="str">
        <f>AUI!A18</f>
        <v>14. Tujuan utama dari program audit adalah</v>
      </c>
      <c r="B24" s="69">
        <f>AUI!B18</f>
        <v>1</v>
      </c>
      <c r="C24" s="69">
        <f>AUI!C18</f>
        <v>1</v>
      </c>
      <c r="D24" s="69">
        <f>AUI!D18</f>
        <v>0</v>
      </c>
      <c r="E24" s="69">
        <f>AUI!E18</f>
        <v>1</v>
      </c>
      <c r="F24" s="69">
        <f>AUI!F18</f>
        <v>0</v>
      </c>
      <c r="G24" s="69">
        <f>AUI!G18</f>
        <v>0</v>
      </c>
      <c r="H24" s="69">
        <f>AUI!H18</f>
        <v>0</v>
      </c>
      <c r="I24" s="69">
        <f>AUI!I18</f>
        <v>0</v>
      </c>
      <c r="J24" s="69">
        <f>AUI!J18</f>
        <v>0</v>
      </c>
      <c r="K24" s="69">
        <f>AUI!K18</f>
        <v>1</v>
      </c>
      <c r="L24" s="69">
        <f t="shared" si="0"/>
        <v>5</v>
      </c>
      <c r="M24" s="69">
        <f t="shared" si="1"/>
        <v>5</v>
      </c>
      <c r="N24" s="69">
        <f t="shared" si="2"/>
        <v>2</v>
      </c>
      <c r="O24" s="69">
        <f t="shared" si="3"/>
        <v>2</v>
      </c>
      <c r="P24" s="69">
        <f t="shared" si="4"/>
        <v>2</v>
      </c>
      <c r="Q24" s="69">
        <f t="shared" si="5"/>
        <v>2</v>
      </c>
      <c r="R24" s="70">
        <f t="shared" si="6"/>
        <v>0.40546510810816438</v>
      </c>
      <c r="S24" s="70">
        <f t="shared" si="7"/>
        <v>0.40546510810816438</v>
      </c>
      <c r="T24" s="70">
        <f t="shared" si="8"/>
        <v>0.49976440299582248</v>
      </c>
      <c r="U24" s="70">
        <f t="shared" si="9"/>
        <v>0.49976440299582248</v>
      </c>
      <c r="V24" s="70">
        <f t="shared" si="10"/>
        <v>0.91287092917527679</v>
      </c>
      <c r="W24" s="70">
        <f t="shared" si="11"/>
        <v>0.91287092917527679</v>
      </c>
      <c r="X24" s="70">
        <f t="shared" si="12"/>
        <v>0</v>
      </c>
      <c r="Y24" s="70">
        <f t="shared" si="13"/>
        <v>1.2909944487358056</v>
      </c>
      <c r="Z24" s="70">
        <f t="shared" si="14"/>
        <v>0</v>
      </c>
      <c r="AA24" s="69" t="str">
        <f t="shared" si="15"/>
        <v>Negligible</v>
      </c>
      <c r="AB24" s="69" t="str">
        <f t="shared" si="16"/>
        <v>Tidak Ada Indikasi Bias</v>
      </c>
    </row>
    <row r="25" spans="1:28" ht="75" customHeight="1" x14ac:dyDescent="0.35">
      <c r="A25" s="95" t="str">
        <f>AUI!A19</f>
        <v>15. Bagaimana cara menentukan cakupan audit</v>
      </c>
      <c r="B25" s="69">
        <f>AUI!B19</f>
        <v>0</v>
      </c>
      <c r="C25" s="69">
        <f>AUI!C19</f>
        <v>0</v>
      </c>
      <c r="D25" s="69">
        <f>AUI!D19</f>
        <v>0</v>
      </c>
      <c r="E25" s="69">
        <f>AUI!E19</f>
        <v>1</v>
      </c>
      <c r="F25" s="69">
        <f>AUI!F19</f>
        <v>1</v>
      </c>
      <c r="G25" s="69">
        <f>AUI!G19</f>
        <v>1</v>
      </c>
      <c r="H25" s="69">
        <f>AUI!H19</f>
        <v>1</v>
      </c>
      <c r="I25" s="69">
        <f>AUI!I19</f>
        <v>1</v>
      </c>
      <c r="J25" s="69">
        <f>AUI!J19</f>
        <v>0</v>
      </c>
      <c r="K25" s="69">
        <f>AUI!K19</f>
        <v>1</v>
      </c>
      <c r="L25" s="69">
        <f t="shared" si="0"/>
        <v>5</v>
      </c>
      <c r="M25" s="69">
        <f t="shared" si="1"/>
        <v>5</v>
      </c>
      <c r="N25" s="69">
        <f t="shared" si="2"/>
        <v>3</v>
      </c>
      <c r="O25" s="69">
        <f t="shared" si="3"/>
        <v>3</v>
      </c>
      <c r="P25" s="69">
        <f t="shared" si="4"/>
        <v>3</v>
      </c>
      <c r="Q25" s="69">
        <f t="shared" si="5"/>
        <v>3</v>
      </c>
      <c r="R25" s="70">
        <f t="shared" si="6"/>
        <v>-0.40546510810816444</v>
      </c>
      <c r="S25" s="70">
        <f t="shared" si="7"/>
        <v>-0.40546510810816444</v>
      </c>
      <c r="T25" s="70">
        <f t="shared" si="8"/>
        <v>-0.3111658132205064</v>
      </c>
      <c r="U25" s="70">
        <f t="shared" si="9"/>
        <v>-0.3111658132205064</v>
      </c>
      <c r="V25" s="70">
        <f t="shared" si="10"/>
        <v>0.91287092917527679</v>
      </c>
      <c r="W25" s="70">
        <f t="shared" si="11"/>
        <v>0.91287092917527679</v>
      </c>
      <c r="X25" s="70">
        <f t="shared" si="12"/>
        <v>0</v>
      </c>
      <c r="Y25" s="70">
        <f t="shared" si="13"/>
        <v>1.2909944487358056</v>
      </c>
      <c r="Z25" s="70">
        <f t="shared" si="14"/>
        <v>0</v>
      </c>
      <c r="AA25" s="69" t="str">
        <f t="shared" si="15"/>
        <v>Negligible</v>
      </c>
      <c r="AB25" s="69" t="str">
        <f t="shared" si="16"/>
        <v>Tidak Ada Indikasi Bias</v>
      </c>
    </row>
    <row r="26" spans="1:28" ht="26" x14ac:dyDescent="0.35">
      <c r="A26" s="95" t="str">
        <f>AUI!A20</f>
        <v>16. Mengapa penting untuk menentukan ruang lingkup audit</v>
      </c>
      <c r="B26" s="69">
        <f>AUI!B20</f>
        <v>0</v>
      </c>
      <c r="C26" s="69">
        <f>AUI!C20</f>
        <v>0</v>
      </c>
      <c r="D26" s="69">
        <f>AUI!D20</f>
        <v>1</v>
      </c>
      <c r="E26" s="69">
        <f>AUI!E20</f>
        <v>0</v>
      </c>
      <c r="F26" s="69">
        <f>AUI!F20</f>
        <v>0</v>
      </c>
      <c r="G26" s="69">
        <f>AUI!G20</f>
        <v>1</v>
      </c>
      <c r="H26" s="69">
        <f>AUI!H20</f>
        <v>1</v>
      </c>
      <c r="I26" s="69">
        <f>AUI!I20</f>
        <v>1</v>
      </c>
      <c r="J26" s="69">
        <f>AUI!J20</f>
        <v>1</v>
      </c>
      <c r="K26" s="69">
        <f>AUI!K20</f>
        <v>1</v>
      </c>
      <c r="L26" s="69">
        <f t="shared" si="0"/>
        <v>5</v>
      </c>
      <c r="M26" s="69">
        <f t="shared" si="1"/>
        <v>5</v>
      </c>
      <c r="N26" s="69">
        <f t="shared" si="2"/>
        <v>3</v>
      </c>
      <c r="O26" s="69">
        <f t="shared" si="3"/>
        <v>3</v>
      </c>
      <c r="P26" s="69">
        <f t="shared" si="4"/>
        <v>3</v>
      </c>
      <c r="Q26" s="69">
        <f t="shared" si="5"/>
        <v>3</v>
      </c>
      <c r="R26" s="70">
        <f t="shared" si="6"/>
        <v>-0.40546510810816444</v>
      </c>
      <c r="S26" s="70">
        <f t="shared" si="7"/>
        <v>-0.40546510810816444</v>
      </c>
      <c r="T26" s="70">
        <f t="shared" si="8"/>
        <v>-0.3111658132205064</v>
      </c>
      <c r="U26" s="70">
        <f t="shared" si="9"/>
        <v>-0.3111658132205064</v>
      </c>
      <c r="V26" s="70">
        <f t="shared" si="10"/>
        <v>0.91287092917527679</v>
      </c>
      <c r="W26" s="70">
        <f t="shared" si="11"/>
        <v>0.91287092917527679</v>
      </c>
      <c r="X26" s="70">
        <f t="shared" si="12"/>
        <v>0</v>
      </c>
      <c r="Y26" s="70">
        <f t="shared" si="13"/>
        <v>1.2909944487358056</v>
      </c>
      <c r="Z26" s="70">
        <f t="shared" si="14"/>
        <v>0</v>
      </c>
      <c r="AA26" s="69" t="str">
        <f t="shared" si="15"/>
        <v>Negligible</v>
      </c>
      <c r="AB26" s="69" t="str">
        <f t="shared" si="16"/>
        <v>Tidak Ada Indikasi Bias</v>
      </c>
    </row>
    <row r="27" spans="1:28" ht="75" customHeight="1" x14ac:dyDescent="0.35">
      <c r="A27" s="95" t="str">
        <f>AUI!A21</f>
        <v>17. Apa yang dimaksud dengan lingkup audit menurut ISO 19011</v>
      </c>
      <c r="B27" s="69">
        <f>AUI!B21</f>
        <v>0</v>
      </c>
      <c r="C27" s="69">
        <f>AUI!C21</f>
        <v>1</v>
      </c>
      <c r="D27" s="69">
        <f>AUI!D21</f>
        <v>0</v>
      </c>
      <c r="E27" s="69">
        <f>AUI!E21</f>
        <v>1</v>
      </c>
      <c r="F27" s="69">
        <f>AUI!F21</f>
        <v>1</v>
      </c>
      <c r="G27" s="69">
        <f>AUI!G21</f>
        <v>1</v>
      </c>
      <c r="H27" s="69">
        <f>AUI!H21</f>
        <v>0</v>
      </c>
      <c r="I27" s="69">
        <f>AUI!I21</f>
        <v>0</v>
      </c>
      <c r="J27" s="69">
        <f>AUI!J21</f>
        <v>0</v>
      </c>
      <c r="K27" s="69">
        <f>AUI!K21</f>
        <v>0</v>
      </c>
      <c r="L27" s="69">
        <f t="shared" si="0"/>
        <v>5</v>
      </c>
      <c r="M27" s="69">
        <f t="shared" si="1"/>
        <v>5</v>
      </c>
      <c r="N27" s="69">
        <f t="shared" si="2"/>
        <v>2</v>
      </c>
      <c r="O27" s="69">
        <f t="shared" si="3"/>
        <v>2</v>
      </c>
      <c r="P27" s="69">
        <f t="shared" si="4"/>
        <v>2</v>
      </c>
      <c r="Q27" s="69">
        <f t="shared" si="5"/>
        <v>2</v>
      </c>
      <c r="R27" s="70">
        <f t="shared" si="6"/>
        <v>0.40546510810816438</v>
      </c>
      <c r="S27" s="70">
        <f t="shared" si="7"/>
        <v>0.40546510810816438</v>
      </c>
      <c r="T27" s="70">
        <f t="shared" si="8"/>
        <v>0.49976440299582248</v>
      </c>
      <c r="U27" s="70">
        <f t="shared" si="9"/>
        <v>0.49976440299582248</v>
      </c>
      <c r="V27" s="70">
        <f t="shared" si="10"/>
        <v>0.91287092917527679</v>
      </c>
      <c r="W27" s="70">
        <f t="shared" si="11"/>
        <v>0.91287092917527679</v>
      </c>
      <c r="X27" s="70">
        <f t="shared" si="12"/>
        <v>0</v>
      </c>
      <c r="Y27" s="70">
        <f t="shared" si="13"/>
        <v>1.2909944487358056</v>
      </c>
      <c r="Z27" s="70">
        <f t="shared" si="14"/>
        <v>0</v>
      </c>
      <c r="AA27" s="69" t="str">
        <f t="shared" si="15"/>
        <v>Negligible</v>
      </c>
      <c r="AB27" s="69" t="str">
        <f t="shared" si="16"/>
        <v>Tidak Ada Indikasi Bias</v>
      </c>
    </row>
    <row r="28" spans="1:28" ht="25" x14ac:dyDescent="0.35">
      <c r="A28" s="95" t="str">
        <f>AUI!A22</f>
        <v>18. Lingkup audit dapat mencakup</v>
      </c>
      <c r="B28" s="69">
        <f>AUI!B22</f>
        <v>0</v>
      </c>
      <c r="C28" s="69">
        <f>AUI!C22</f>
        <v>0</v>
      </c>
      <c r="D28" s="69">
        <f>AUI!D22</f>
        <v>0</v>
      </c>
      <c r="E28" s="69">
        <f>AUI!E22</f>
        <v>0</v>
      </c>
      <c r="F28" s="69">
        <f>AUI!F22</f>
        <v>0</v>
      </c>
      <c r="G28" s="69">
        <f>AUI!G22</f>
        <v>1</v>
      </c>
      <c r="H28" s="69">
        <f>AUI!H22</f>
        <v>1</v>
      </c>
      <c r="I28" s="69">
        <f>AUI!I22</f>
        <v>0</v>
      </c>
      <c r="J28" s="69">
        <f>AUI!J22</f>
        <v>1</v>
      </c>
      <c r="K28" s="69">
        <f>AUI!K22</f>
        <v>1</v>
      </c>
      <c r="L28" s="69">
        <f t="shared" si="0"/>
        <v>5</v>
      </c>
      <c r="M28" s="69">
        <f t="shared" si="1"/>
        <v>5</v>
      </c>
      <c r="N28" s="69">
        <f t="shared" si="2"/>
        <v>2</v>
      </c>
      <c r="O28" s="69">
        <f t="shared" si="3"/>
        <v>2</v>
      </c>
      <c r="P28" s="69">
        <f t="shared" si="4"/>
        <v>2</v>
      </c>
      <c r="Q28" s="69">
        <f t="shared" si="5"/>
        <v>2</v>
      </c>
      <c r="R28" s="70">
        <f t="shared" si="6"/>
        <v>0.40546510810816438</v>
      </c>
      <c r="S28" s="70">
        <f t="shared" si="7"/>
        <v>0.40546510810816438</v>
      </c>
      <c r="T28" s="70">
        <f t="shared" si="8"/>
        <v>0.49976440299582248</v>
      </c>
      <c r="U28" s="70">
        <f t="shared" si="9"/>
        <v>0.49976440299582248</v>
      </c>
      <c r="V28" s="70">
        <f t="shared" si="10"/>
        <v>0.91287092917527679</v>
      </c>
      <c r="W28" s="70">
        <f t="shared" si="11"/>
        <v>0.91287092917527679</v>
      </c>
      <c r="X28" s="70">
        <f t="shared" si="12"/>
        <v>0</v>
      </c>
      <c r="Y28" s="70">
        <f t="shared" si="13"/>
        <v>1.2909944487358056</v>
      </c>
      <c r="Z28" s="70">
        <f t="shared" si="14"/>
        <v>0</v>
      </c>
      <c r="AA28" s="69" t="str">
        <f t="shared" si="15"/>
        <v>Negligible</v>
      </c>
      <c r="AB28" s="69" t="str">
        <f t="shared" si="16"/>
        <v>Tidak Ada Indikasi Bias</v>
      </c>
    </row>
    <row r="29" spans="1:28" ht="26" x14ac:dyDescent="0.35">
      <c r="A29" s="95" t="str">
        <f>AUI!A23</f>
        <v>19. Apa yang dimaksud dengan kriteria audit dalam menentukan lingkup audit</v>
      </c>
      <c r="B29" s="69">
        <f>AUI!B23</f>
        <v>0</v>
      </c>
      <c r="C29" s="69">
        <f>AUI!C23</f>
        <v>1</v>
      </c>
      <c r="D29" s="69">
        <f>AUI!D23</f>
        <v>1</v>
      </c>
      <c r="E29" s="69">
        <f>AUI!E23</f>
        <v>0</v>
      </c>
      <c r="F29" s="69">
        <f>AUI!F23</f>
        <v>0</v>
      </c>
      <c r="G29" s="69">
        <f>AUI!G23</f>
        <v>0</v>
      </c>
      <c r="H29" s="69">
        <f>AUI!H23</f>
        <v>0</v>
      </c>
      <c r="I29" s="69">
        <f>AUI!I23</f>
        <v>0</v>
      </c>
      <c r="J29" s="69">
        <f>AUI!J23</f>
        <v>0</v>
      </c>
      <c r="K29" s="69">
        <f>AUI!K23</f>
        <v>0</v>
      </c>
      <c r="L29" s="69">
        <f t="shared" si="0"/>
        <v>5</v>
      </c>
      <c r="M29" s="69">
        <f t="shared" si="1"/>
        <v>5</v>
      </c>
      <c r="N29" s="69">
        <f t="shared" si="2"/>
        <v>1</v>
      </c>
      <c r="O29" s="69">
        <f t="shared" si="3"/>
        <v>1</v>
      </c>
      <c r="P29" s="69">
        <f t="shared" si="4"/>
        <v>1</v>
      </c>
      <c r="Q29" s="69">
        <f t="shared" si="5"/>
        <v>1</v>
      </c>
      <c r="R29" s="70">
        <f t="shared" si="6"/>
        <v>1.3862943611198906</v>
      </c>
      <c r="S29" s="70">
        <f t="shared" si="7"/>
        <v>1.3862943611198906</v>
      </c>
      <c r="T29" s="70">
        <f t="shared" si="8"/>
        <v>1.4805936560075486</v>
      </c>
      <c r="U29" s="70">
        <f t="shared" si="9"/>
        <v>1.4805936560075486</v>
      </c>
      <c r="V29" s="70">
        <f t="shared" si="10"/>
        <v>1.1180339887498949</v>
      </c>
      <c r="W29" s="70">
        <f t="shared" si="11"/>
        <v>1.1180339887498949</v>
      </c>
      <c r="X29" s="70">
        <f t="shared" si="12"/>
        <v>0</v>
      </c>
      <c r="Y29" s="70">
        <f t="shared" si="13"/>
        <v>1.5811388300841898</v>
      </c>
      <c r="Z29" s="70">
        <f t="shared" si="14"/>
        <v>0</v>
      </c>
      <c r="AA29" s="69" t="str">
        <f t="shared" si="15"/>
        <v>Negligible</v>
      </c>
      <c r="AB29" s="69" t="str">
        <f t="shared" si="16"/>
        <v>Tidak Ada Indikasi Bias</v>
      </c>
    </row>
    <row r="30" spans="1:28" ht="26" x14ac:dyDescent="0.35">
      <c r="A30" s="95" t="str">
        <f>AUI!A24</f>
        <v>20. Bagaimana proses penentuan lingkup audit biasanya dilakukan</v>
      </c>
      <c r="B30" s="69">
        <f>AUI!B24</f>
        <v>0</v>
      </c>
      <c r="C30" s="69">
        <f>AUI!C24</f>
        <v>0</v>
      </c>
      <c r="D30" s="69">
        <f>AUI!D24</f>
        <v>1</v>
      </c>
      <c r="E30" s="69">
        <f>AUI!E24</f>
        <v>0</v>
      </c>
      <c r="F30" s="69">
        <f>AUI!F24</f>
        <v>1</v>
      </c>
      <c r="G30" s="69">
        <f>AUI!G24</f>
        <v>1</v>
      </c>
      <c r="H30" s="69">
        <f>AUI!H24</f>
        <v>1</v>
      </c>
      <c r="I30" s="69">
        <f>AUI!I24</f>
        <v>1</v>
      </c>
      <c r="J30" s="69">
        <f>AUI!J24</f>
        <v>1</v>
      </c>
      <c r="K30" s="69">
        <f>AUI!K24</f>
        <v>0</v>
      </c>
      <c r="L30" s="69">
        <f t="shared" si="0"/>
        <v>5</v>
      </c>
      <c r="M30" s="69">
        <f t="shared" si="1"/>
        <v>5</v>
      </c>
      <c r="N30" s="69">
        <f t="shared" si="2"/>
        <v>3</v>
      </c>
      <c r="O30" s="69">
        <f t="shared" si="3"/>
        <v>3</v>
      </c>
      <c r="P30" s="69">
        <f t="shared" si="4"/>
        <v>3</v>
      </c>
      <c r="Q30" s="69">
        <f t="shared" si="5"/>
        <v>3</v>
      </c>
      <c r="R30" s="70">
        <f t="shared" si="6"/>
        <v>-0.40546510810816444</v>
      </c>
      <c r="S30" s="70">
        <f t="shared" si="7"/>
        <v>-0.40546510810816444</v>
      </c>
      <c r="T30" s="70">
        <f t="shared" si="8"/>
        <v>-0.3111658132205064</v>
      </c>
      <c r="U30" s="70">
        <f t="shared" si="9"/>
        <v>-0.3111658132205064</v>
      </c>
      <c r="V30" s="70">
        <f t="shared" si="10"/>
        <v>0.91287092917527679</v>
      </c>
      <c r="W30" s="70">
        <f t="shared" si="11"/>
        <v>0.91287092917527679</v>
      </c>
      <c r="X30" s="70">
        <f t="shared" si="12"/>
        <v>0</v>
      </c>
      <c r="Y30" s="70">
        <f t="shared" si="13"/>
        <v>1.2909944487358056</v>
      </c>
      <c r="Z30" s="70">
        <f t="shared" si="14"/>
        <v>0</v>
      </c>
      <c r="AA30" s="69" t="str">
        <f t="shared" si="15"/>
        <v>Negligible</v>
      </c>
      <c r="AB30" s="69" t="str">
        <f t="shared" si="16"/>
        <v>Tidak Ada Indikasi Bias</v>
      </c>
    </row>
    <row r="31" spans="1:28" ht="25" x14ac:dyDescent="0.35">
      <c r="A31" s="95" t="str">
        <f>AUI!A25</f>
        <v>21. Apa yang dimaksud dengan risiko audit</v>
      </c>
      <c r="B31" s="69">
        <f>AUI!B25</f>
        <v>0</v>
      </c>
      <c r="C31" s="69">
        <f>AUI!C25</f>
        <v>1</v>
      </c>
      <c r="D31" s="69">
        <f>AUI!D25</f>
        <v>0</v>
      </c>
      <c r="E31" s="69">
        <f>AUI!E25</f>
        <v>0</v>
      </c>
      <c r="F31" s="69">
        <f>AUI!F25</f>
        <v>1</v>
      </c>
      <c r="G31" s="69">
        <f>AUI!G25</f>
        <v>0</v>
      </c>
      <c r="H31" s="69">
        <f>AUI!H25</f>
        <v>0</v>
      </c>
      <c r="I31" s="69">
        <f>AUI!I25</f>
        <v>0</v>
      </c>
      <c r="J31" s="69">
        <f>AUI!J25</f>
        <v>0</v>
      </c>
      <c r="K31" s="69">
        <f>AUI!K25</f>
        <v>0</v>
      </c>
      <c r="L31" s="69">
        <f t="shared" si="0"/>
        <v>5</v>
      </c>
      <c r="M31" s="69">
        <f t="shared" si="1"/>
        <v>5</v>
      </c>
      <c r="N31" s="69">
        <f t="shared" si="2"/>
        <v>1</v>
      </c>
      <c r="O31" s="69">
        <f t="shared" si="3"/>
        <v>1</v>
      </c>
      <c r="P31" s="69">
        <f t="shared" si="4"/>
        <v>1</v>
      </c>
      <c r="Q31" s="69">
        <f t="shared" si="5"/>
        <v>1</v>
      </c>
      <c r="R31" s="70">
        <f t="shared" si="6"/>
        <v>1.3862943611198906</v>
      </c>
      <c r="S31" s="70">
        <f t="shared" si="7"/>
        <v>1.3862943611198906</v>
      </c>
      <c r="T31" s="70">
        <f t="shared" si="8"/>
        <v>1.4805936560075486</v>
      </c>
      <c r="U31" s="70">
        <f t="shared" si="9"/>
        <v>1.4805936560075486</v>
      </c>
      <c r="V31" s="70">
        <f t="shared" si="10"/>
        <v>1.1180339887498949</v>
      </c>
      <c r="W31" s="70">
        <f t="shared" si="11"/>
        <v>1.1180339887498949</v>
      </c>
      <c r="X31" s="70">
        <f t="shared" si="12"/>
        <v>0</v>
      </c>
      <c r="Y31" s="70">
        <f t="shared" si="13"/>
        <v>1.5811388300841898</v>
      </c>
      <c r="Z31" s="70">
        <f t="shared" si="14"/>
        <v>0</v>
      </c>
      <c r="AA31" s="69" t="str">
        <f t="shared" si="15"/>
        <v>Negligible</v>
      </c>
      <c r="AB31" s="69" t="str">
        <f t="shared" si="16"/>
        <v>Tidak Ada Indikasi Bias</v>
      </c>
    </row>
    <row r="32" spans="1:28" ht="37.5" customHeight="1" x14ac:dyDescent="0.35">
      <c r="A32" s="95" t="str">
        <f>AUI!A26</f>
        <v>22. Apa yang dilakukan jika terjadi perubahan signifikan dalam lingkup audit</v>
      </c>
      <c r="B32" s="69">
        <f>AUI!B26</f>
        <v>1</v>
      </c>
      <c r="C32" s="69">
        <f>AUI!C26</f>
        <v>1</v>
      </c>
      <c r="D32" s="69">
        <f>AUI!D26</f>
        <v>1</v>
      </c>
      <c r="E32" s="69">
        <f>AUI!E26</f>
        <v>0</v>
      </c>
      <c r="F32" s="69">
        <f>AUI!F26</f>
        <v>1</v>
      </c>
      <c r="G32" s="69">
        <f>AUI!G26</f>
        <v>0</v>
      </c>
      <c r="H32" s="69">
        <f>AUI!H26</f>
        <v>0</v>
      </c>
      <c r="I32" s="69">
        <f>AUI!I26</f>
        <v>0</v>
      </c>
      <c r="J32" s="69">
        <f>AUI!J26</f>
        <v>0</v>
      </c>
      <c r="K32" s="69">
        <f>AUI!K26</f>
        <v>0</v>
      </c>
      <c r="L32" s="69">
        <f t="shared" si="0"/>
        <v>5</v>
      </c>
      <c r="M32" s="69">
        <f t="shared" si="1"/>
        <v>5</v>
      </c>
      <c r="N32" s="69">
        <f t="shared" si="2"/>
        <v>2</v>
      </c>
      <c r="O32" s="69">
        <f t="shared" si="3"/>
        <v>2</v>
      </c>
      <c r="P32" s="69">
        <f t="shared" si="4"/>
        <v>2</v>
      </c>
      <c r="Q32" s="69">
        <f t="shared" si="5"/>
        <v>2</v>
      </c>
      <c r="R32" s="70">
        <f t="shared" si="6"/>
        <v>0.40546510810816438</v>
      </c>
      <c r="S32" s="70">
        <f t="shared" si="7"/>
        <v>0.40546510810816438</v>
      </c>
      <c r="T32" s="70">
        <f t="shared" si="8"/>
        <v>0.49976440299582248</v>
      </c>
      <c r="U32" s="70">
        <f t="shared" si="9"/>
        <v>0.49976440299582248</v>
      </c>
      <c r="V32" s="70">
        <f t="shared" si="10"/>
        <v>0.91287092917527679</v>
      </c>
      <c r="W32" s="70">
        <f t="shared" si="11"/>
        <v>0.91287092917527679</v>
      </c>
      <c r="X32" s="70">
        <f t="shared" si="12"/>
        <v>0</v>
      </c>
      <c r="Y32" s="70">
        <f t="shared" si="13"/>
        <v>1.2909944487358056</v>
      </c>
      <c r="Z32" s="70">
        <f t="shared" si="14"/>
        <v>0</v>
      </c>
      <c r="AA32" s="69" t="str">
        <f t="shared" si="15"/>
        <v>Negligible</v>
      </c>
      <c r="AB32" s="69" t="str">
        <f t="shared" si="16"/>
        <v>Tidak Ada Indikasi Bias</v>
      </c>
    </row>
    <row r="33" spans="1:28" ht="37.5" customHeight="1" x14ac:dyDescent="0.35">
      <c r="A33" s="95" t="str">
        <f>AUI!A27</f>
        <v>23. Apa yang dimaksud dengan manajemen risiko audit</v>
      </c>
      <c r="B33" s="69">
        <f>AUI!B27</f>
        <v>1</v>
      </c>
      <c r="C33" s="69">
        <f>AUI!C27</f>
        <v>1</v>
      </c>
      <c r="D33" s="69">
        <f>AUI!D27</f>
        <v>1</v>
      </c>
      <c r="E33" s="69">
        <f>AUI!E27</f>
        <v>1</v>
      </c>
      <c r="F33" s="69">
        <f>AUI!F27</f>
        <v>1</v>
      </c>
      <c r="G33" s="69">
        <f>AUI!G27</f>
        <v>0</v>
      </c>
      <c r="H33" s="69">
        <f>AUI!H27</f>
        <v>0</v>
      </c>
      <c r="I33" s="69">
        <f>AUI!I27</f>
        <v>1</v>
      </c>
      <c r="J33" s="69">
        <f>AUI!J27</f>
        <v>0</v>
      </c>
      <c r="K33" s="69">
        <f>AUI!K27</f>
        <v>0</v>
      </c>
      <c r="L33" s="69">
        <f t="shared" si="0"/>
        <v>5</v>
      </c>
      <c r="M33" s="69">
        <f t="shared" si="1"/>
        <v>5</v>
      </c>
      <c r="N33" s="69">
        <f t="shared" si="2"/>
        <v>3</v>
      </c>
      <c r="O33" s="69">
        <f t="shared" si="3"/>
        <v>3</v>
      </c>
      <c r="P33" s="69">
        <f t="shared" si="4"/>
        <v>3</v>
      </c>
      <c r="Q33" s="69">
        <f t="shared" si="5"/>
        <v>3</v>
      </c>
      <c r="R33" s="70">
        <f t="shared" si="6"/>
        <v>-0.40546510810816444</v>
      </c>
      <c r="S33" s="70">
        <f t="shared" si="7"/>
        <v>-0.40546510810816444</v>
      </c>
      <c r="T33" s="70">
        <f t="shared" si="8"/>
        <v>-0.3111658132205064</v>
      </c>
      <c r="U33" s="70">
        <f t="shared" si="9"/>
        <v>-0.3111658132205064</v>
      </c>
      <c r="V33" s="70">
        <f t="shared" si="10"/>
        <v>0.91287092917527679</v>
      </c>
      <c r="W33" s="70">
        <f t="shared" si="11"/>
        <v>0.91287092917527679</v>
      </c>
      <c r="X33" s="70">
        <f t="shared" si="12"/>
        <v>0</v>
      </c>
      <c r="Y33" s="70">
        <f t="shared" si="13"/>
        <v>1.2909944487358056</v>
      </c>
      <c r="Z33" s="70">
        <f t="shared" si="14"/>
        <v>0</v>
      </c>
      <c r="AA33" s="69" t="str">
        <f t="shared" si="15"/>
        <v>Negligible</v>
      </c>
      <c r="AB33" s="69" t="str">
        <f t="shared" si="16"/>
        <v>Tidak Ada Indikasi Bias</v>
      </c>
    </row>
    <row r="34" spans="1:28" ht="26" x14ac:dyDescent="0.35">
      <c r="A34" s="95" t="str">
        <f>AUI!A28</f>
        <v>24. Mengapa manajemen risiko audit penting dalam proses audit</v>
      </c>
      <c r="B34" s="69">
        <f>AUI!B28</f>
        <v>0</v>
      </c>
      <c r="C34" s="69">
        <f>AUI!C28</f>
        <v>1</v>
      </c>
      <c r="D34" s="69">
        <f>AUI!D28</f>
        <v>0</v>
      </c>
      <c r="E34" s="69">
        <f>AUI!E28</f>
        <v>1</v>
      </c>
      <c r="F34" s="69">
        <f>AUI!F28</f>
        <v>0</v>
      </c>
      <c r="G34" s="69">
        <f>AUI!G28</f>
        <v>0</v>
      </c>
      <c r="H34" s="69">
        <f>AUI!H28</f>
        <v>0</v>
      </c>
      <c r="I34" s="69">
        <f>AUI!I28</f>
        <v>0</v>
      </c>
      <c r="J34" s="69">
        <f>AUI!J28</f>
        <v>0</v>
      </c>
      <c r="K34" s="69">
        <f>AUI!K28</f>
        <v>0</v>
      </c>
      <c r="L34" s="69">
        <f t="shared" si="0"/>
        <v>5</v>
      </c>
      <c r="M34" s="69">
        <f t="shared" si="1"/>
        <v>5</v>
      </c>
      <c r="N34" s="69">
        <f t="shared" si="2"/>
        <v>1</v>
      </c>
      <c r="O34" s="69">
        <f t="shared" si="3"/>
        <v>1</v>
      </c>
      <c r="P34" s="69">
        <f t="shared" si="4"/>
        <v>1</v>
      </c>
      <c r="Q34" s="69">
        <f t="shared" si="5"/>
        <v>1</v>
      </c>
      <c r="R34" s="70">
        <f t="shared" si="6"/>
        <v>1.3862943611198906</v>
      </c>
      <c r="S34" s="70">
        <f t="shared" si="7"/>
        <v>1.3862943611198906</v>
      </c>
      <c r="T34" s="70">
        <f t="shared" si="8"/>
        <v>1.4805936560075486</v>
      </c>
      <c r="U34" s="70">
        <f t="shared" si="9"/>
        <v>1.4805936560075486</v>
      </c>
      <c r="V34" s="70">
        <f t="shared" si="10"/>
        <v>1.1180339887498949</v>
      </c>
      <c r="W34" s="70">
        <f t="shared" si="11"/>
        <v>1.1180339887498949</v>
      </c>
      <c r="X34" s="70">
        <f t="shared" si="12"/>
        <v>0</v>
      </c>
      <c r="Y34" s="70">
        <f t="shared" si="13"/>
        <v>1.5811388300841898</v>
      </c>
      <c r="Z34" s="70">
        <f t="shared" si="14"/>
        <v>0</v>
      </c>
      <c r="AA34" s="69" t="str">
        <f t="shared" si="15"/>
        <v>Negligible</v>
      </c>
      <c r="AB34" s="69" t="str">
        <f t="shared" si="16"/>
        <v>Tidak Ada Indikasi Bias</v>
      </c>
    </row>
    <row r="35" spans="1:28" ht="25" x14ac:dyDescent="0.35">
      <c r="A35" s="95" t="str">
        <f>AUI!A29</f>
        <v>25. Apa yang dimaksud dengan risiko audit</v>
      </c>
      <c r="B35" s="69">
        <f>AUI!B29</f>
        <v>0</v>
      </c>
      <c r="C35" s="69">
        <f>AUI!C29</f>
        <v>0</v>
      </c>
      <c r="D35" s="69">
        <f>AUI!D29</f>
        <v>1</v>
      </c>
      <c r="E35" s="69">
        <f>AUI!E29</f>
        <v>0</v>
      </c>
      <c r="F35" s="69">
        <f>AUI!F29</f>
        <v>0</v>
      </c>
      <c r="G35" s="69">
        <f>AUI!G29</f>
        <v>1</v>
      </c>
      <c r="H35" s="69">
        <f>AUI!H29</f>
        <v>1</v>
      </c>
      <c r="I35" s="69">
        <f>AUI!I29</f>
        <v>1</v>
      </c>
      <c r="J35" s="69">
        <f>AUI!J29</f>
        <v>1</v>
      </c>
      <c r="K35" s="69">
        <f>AUI!K29</f>
        <v>1</v>
      </c>
      <c r="L35" s="69">
        <f t="shared" si="0"/>
        <v>5</v>
      </c>
      <c r="M35" s="69">
        <f t="shared" si="1"/>
        <v>5</v>
      </c>
      <c r="N35" s="69">
        <f t="shared" si="2"/>
        <v>3</v>
      </c>
      <c r="O35" s="69">
        <f t="shared" si="3"/>
        <v>3</v>
      </c>
      <c r="P35" s="69">
        <f t="shared" si="4"/>
        <v>3</v>
      </c>
      <c r="Q35" s="69">
        <f t="shared" si="5"/>
        <v>3</v>
      </c>
      <c r="R35" s="70">
        <f t="shared" si="6"/>
        <v>-0.40546510810816444</v>
      </c>
      <c r="S35" s="70">
        <f t="shared" si="7"/>
        <v>-0.40546510810816444</v>
      </c>
      <c r="T35" s="70">
        <f t="shared" si="8"/>
        <v>-0.3111658132205064</v>
      </c>
      <c r="U35" s="70">
        <f t="shared" si="9"/>
        <v>-0.3111658132205064</v>
      </c>
      <c r="V35" s="70">
        <f t="shared" si="10"/>
        <v>0.91287092917527679</v>
      </c>
      <c r="W35" s="70">
        <f t="shared" si="11"/>
        <v>0.91287092917527679</v>
      </c>
      <c r="X35" s="70">
        <f t="shared" si="12"/>
        <v>0</v>
      </c>
      <c r="Y35" s="70">
        <f t="shared" si="13"/>
        <v>1.2909944487358056</v>
      </c>
      <c r="Z35" s="70">
        <f t="shared" si="14"/>
        <v>0</v>
      </c>
      <c r="AA35" s="69" t="str">
        <f t="shared" si="15"/>
        <v>Negligible</v>
      </c>
      <c r="AB35" s="69" t="str">
        <f t="shared" si="16"/>
        <v>Tidak Ada Indikasi Bias</v>
      </c>
    </row>
    <row r="36" spans="1:28" ht="37.5" customHeight="1" x14ac:dyDescent="0.35">
      <c r="A36" s="95" t="str">
        <f>AUI!A30</f>
        <v>26. Siapa yang seharusnya menjadi auditor dalam sebuah laboratorium</v>
      </c>
      <c r="B36" s="69">
        <f>AUI!B30</f>
        <v>1</v>
      </c>
      <c r="C36" s="69">
        <f>AUI!C30</f>
        <v>1</v>
      </c>
      <c r="D36" s="69">
        <f>AUI!D30</f>
        <v>1</v>
      </c>
      <c r="E36" s="69">
        <f>AUI!E30</f>
        <v>0</v>
      </c>
      <c r="F36" s="69">
        <f>AUI!F30</f>
        <v>0</v>
      </c>
      <c r="G36" s="69">
        <f>AUI!G30</f>
        <v>0</v>
      </c>
      <c r="H36" s="69">
        <f>AUI!H30</f>
        <v>0</v>
      </c>
      <c r="I36" s="69">
        <f>AUI!I30</f>
        <v>0</v>
      </c>
      <c r="J36" s="69">
        <f>AUI!J30</f>
        <v>1</v>
      </c>
      <c r="K36" s="69">
        <f>AUI!K30</f>
        <v>0</v>
      </c>
      <c r="L36" s="69">
        <f t="shared" si="0"/>
        <v>5</v>
      </c>
      <c r="M36" s="69">
        <f t="shared" si="1"/>
        <v>5</v>
      </c>
      <c r="N36" s="69">
        <f t="shared" si="2"/>
        <v>2</v>
      </c>
      <c r="O36" s="69">
        <f t="shared" si="3"/>
        <v>2</v>
      </c>
      <c r="P36" s="69">
        <f t="shared" si="4"/>
        <v>2</v>
      </c>
      <c r="Q36" s="69">
        <f t="shared" si="5"/>
        <v>2</v>
      </c>
      <c r="R36" s="70">
        <f t="shared" si="6"/>
        <v>0.40546510810816438</v>
      </c>
      <c r="S36" s="70">
        <f t="shared" si="7"/>
        <v>0.40546510810816438</v>
      </c>
      <c r="T36" s="70">
        <f t="shared" si="8"/>
        <v>0.49976440299582248</v>
      </c>
      <c r="U36" s="70">
        <f t="shared" si="9"/>
        <v>0.49976440299582248</v>
      </c>
      <c r="V36" s="70">
        <f t="shared" si="10"/>
        <v>0.91287092917527679</v>
      </c>
      <c r="W36" s="70">
        <f t="shared" si="11"/>
        <v>0.91287092917527679</v>
      </c>
      <c r="X36" s="70">
        <f t="shared" si="12"/>
        <v>0</v>
      </c>
      <c r="Y36" s="70">
        <f t="shared" si="13"/>
        <v>1.2909944487358056</v>
      </c>
      <c r="Z36" s="70">
        <f t="shared" si="14"/>
        <v>0</v>
      </c>
      <c r="AA36" s="69" t="str">
        <f t="shared" si="15"/>
        <v>Negligible</v>
      </c>
      <c r="AB36" s="69" t="str">
        <f t="shared" si="16"/>
        <v>Tidak Ada Indikasi Bias</v>
      </c>
    </row>
    <row r="37" spans="1:28" ht="37.5" customHeight="1" x14ac:dyDescent="0.35">
      <c r="A37" s="95" t="str">
        <f>AUI!A31</f>
        <v>27. Apa yang harus dilakukan jika auditor yang diinginkan tidak tersedia</v>
      </c>
      <c r="B37" s="69">
        <f>AUI!B31</f>
        <v>0</v>
      </c>
      <c r="C37" s="69">
        <f>AUI!C31</f>
        <v>1</v>
      </c>
      <c r="D37" s="69">
        <f>AUI!D31</f>
        <v>1</v>
      </c>
      <c r="E37" s="69">
        <f>AUI!E31</f>
        <v>1</v>
      </c>
      <c r="F37" s="69">
        <f>AUI!F31</f>
        <v>1</v>
      </c>
      <c r="G37" s="69">
        <f>AUI!G31</f>
        <v>0</v>
      </c>
      <c r="H37" s="69">
        <f>AUI!H31</f>
        <v>1</v>
      </c>
      <c r="I37" s="69">
        <f>AUI!I31</f>
        <v>1</v>
      </c>
      <c r="J37" s="69">
        <f>AUI!J31</f>
        <v>0</v>
      </c>
      <c r="K37" s="69">
        <f>AUI!K31</f>
        <v>0</v>
      </c>
      <c r="L37" s="69">
        <f t="shared" si="0"/>
        <v>5</v>
      </c>
      <c r="M37" s="69">
        <f t="shared" si="1"/>
        <v>5</v>
      </c>
      <c r="N37" s="69">
        <f t="shared" si="2"/>
        <v>3</v>
      </c>
      <c r="O37" s="69">
        <f t="shared" si="3"/>
        <v>3</v>
      </c>
      <c r="P37" s="69">
        <f t="shared" si="4"/>
        <v>3</v>
      </c>
      <c r="Q37" s="69">
        <f t="shared" si="5"/>
        <v>3</v>
      </c>
      <c r="R37" s="70">
        <f t="shared" si="6"/>
        <v>-0.40546510810816444</v>
      </c>
      <c r="S37" s="70">
        <f t="shared" si="7"/>
        <v>-0.40546510810816444</v>
      </c>
      <c r="T37" s="70">
        <f t="shared" si="8"/>
        <v>-0.3111658132205064</v>
      </c>
      <c r="U37" s="70">
        <f t="shared" si="9"/>
        <v>-0.3111658132205064</v>
      </c>
      <c r="V37" s="70">
        <f t="shared" si="10"/>
        <v>0.91287092917527679</v>
      </c>
      <c r="W37" s="70">
        <f t="shared" si="11"/>
        <v>0.91287092917527679</v>
      </c>
      <c r="X37" s="70">
        <f t="shared" si="12"/>
        <v>0</v>
      </c>
      <c r="Y37" s="70">
        <f t="shared" si="13"/>
        <v>1.2909944487358056</v>
      </c>
      <c r="Z37" s="70">
        <f t="shared" si="14"/>
        <v>0</v>
      </c>
      <c r="AA37" s="69" t="str">
        <f t="shared" si="15"/>
        <v>Negligible</v>
      </c>
      <c r="AB37" s="69" t="str">
        <f t="shared" si="16"/>
        <v>Tidak Ada Indikasi Bias</v>
      </c>
    </row>
    <row r="38" spans="1:28" ht="26" x14ac:dyDescent="0.35">
      <c r="A38" s="95" t="str">
        <f>AUI!A32</f>
        <v>28. Apa yang harus diperhatikan saat menilai pengalaman seorang auditor</v>
      </c>
      <c r="B38" s="69">
        <f>AUI!B32</f>
        <v>1</v>
      </c>
      <c r="C38" s="69">
        <f>AUI!C32</f>
        <v>0</v>
      </c>
      <c r="D38" s="69">
        <f>AUI!D32</f>
        <v>1</v>
      </c>
      <c r="E38" s="69">
        <f>AUI!E32</f>
        <v>1</v>
      </c>
      <c r="F38" s="69">
        <f>AUI!F32</f>
        <v>1</v>
      </c>
      <c r="G38" s="69">
        <f>AUI!G32</f>
        <v>1</v>
      </c>
      <c r="H38" s="69">
        <f>AUI!H32</f>
        <v>0</v>
      </c>
      <c r="I38" s="69">
        <f>AUI!I32</f>
        <v>1</v>
      </c>
      <c r="J38" s="69">
        <f>AUI!J32</f>
        <v>0</v>
      </c>
      <c r="K38" s="69">
        <f>AUI!K32</f>
        <v>0</v>
      </c>
      <c r="L38" s="69">
        <f t="shared" si="0"/>
        <v>5</v>
      </c>
      <c r="M38" s="69">
        <f t="shared" si="1"/>
        <v>5</v>
      </c>
      <c r="N38" s="69">
        <f t="shared" si="2"/>
        <v>3</v>
      </c>
      <c r="O38" s="69">
        <f t="shared" si="3"/>
        <v>3</v>
      </c>
      <c r="P38" s="69">
        <f t="shared" si="4"/>
        <v>3</v>
      </c>
      <c r="Q38" s="69">
        <f t="shared" si="5"/>
        <v>3</v>
      </c>
      <c r="R38" s="70">
        <f t="shared" si="6"/>
        <v>-0.40546510810816444</v>
      </c>
      <c r="S38" s="70">
        <f t="shared" si="7"/>
        <v>-0.40546510810816444</v>
      </c>
      <c r="T38" s="70">
        <f t="shared" si="8"/>
        <v>-0.3111658132205064</v>
      </c>
      <c r="U38" s="70">
        <f t="shared" si="9"/>
        <v>-0.3111658132205064</v>
      </c>
      <c r="V38" s="70">
        <f t="shared" si="10"/>
        <v>0.91287092917527679</v>
      </c>
      <c r="W38" s="70">
        <f t="shared" si="11"/>
        <v>0.91287092917527679</v>
      </c>
      <c r="X38" s="70">
        <f t="shared" si="12"/>
        <v>0</v>
      </c>
      <c r="Y38" s="70">
        <f t="shared" si="13"/>
        <v>1.2909944487358056</v>
      </c>
      <c r="Z38" s="70">
        <f t="shared" si="14"/>
        <v>0</v>
      </c>
      <c r="AA38" s="69" t="str">
        <f t="shared" si="15"/>
        <v>Negligible</v>
      </c>
      <c r="AB38" s="69" t="str">
        <f t="shared" si="16"/>
        <v>Tidak Ada Indikasi Bias</v>
      </c>
    </row>
    <row r="39" spans="1:28" ht="26" x14ac:dyDescent="0.35">
      <c r="A39" s="95" t="str">
        <f>AUI!A33</f>
        <v>29. Apa yang harus dipertimbangkan saat memilih auditor internal</v>
      </c>
      <c r="B39" s="69">
        <f>AUI!B33</f>
        <v>0</v>
      </c>
      <c r="C39" s="69">
        <f>AUI!C33</f>
        <v>1</v>
      </c>
      <c r="D39" s="69">
        <f>AUI!D33</f>
        <v>1</v>
      </c>
      <c r="E39" s="69">
        <f>AUI!E33</f>
        <v>1</v>
      </c>
      <c r="F39" s="69">
        <f>AUI!F33</f>
        <v>1</v>
      </c>
      <c r="G39" s="69">
        <f>AUI!G33</f>
        <v>0</v>
      </c>
      <c r="H39" s="69">
        <f>AUI!H33</f>
        <v>1</v>
      </c>
      <c r="I39" s="69">
        <f>AUI!I33</f>
        <v>1</v>
      </c>
      <c r="J39" s="69">
        <f>AUI!J33</f>
        <v>0</v>
      </c>
      <c r="K39" s="69">
        <f>AUI!K33</f>
        <v>0</v>
      </c>
      <c r="L39" s="69">
        <f t="shared" si="0"/>
        <v>5</v>
      </c>
      <c r="M39" s="69">
        <f t="shared" si="1"/>
        <v>5</v>
      </c>
      <c r="N39" s="69">
        <f t="shared" si="2"/>
        <v>3</v>
      </c>
      <c r="O39" s="69">
        <f t="shared" si="3"/>
        <v>3</v>
      </c>
      <c r="P39" s="69">
        <f t="shared" si="4"/>
        <v>3</v>
      </c>
      <c r="Q39" s="69">
        <f t="shared" si="5"/>
        <v>3</v>
      </c>
      <c r="R39" s="70">
        <f t="shared" si="6"/>
        <v>-0.40546510810816444</v>
      </c>
      <c r="S39" s="70">
        <f t="shared" si="7"/>
        <v>-0.40546510810816444</v>
      </c>
      <c r="T39" s="70">
        <f t="shared" si="8"/>
        <v>-0.3111658132205064</v>
      </c>
      <c r="U39" s="70">
        <f t="shared" si="9"/>
        <v>-0.3111658132205064</v>
      </c>
      <c r="V39" s="70">
        <f t="shared" si="10"/>
        <v>0.91287092917527679</v>
      </c>
      <c r="W39" s="70">
        <f t="shared" si="11"/>
        <v>0.91287092917527679</v>
      </c>
      <c r="X39" s="70">
        <f t="shared" si="12"/>
        <v>0</v>
      </c>
      <c r="Y39" s="70">
        <f t="shared" si="13"/>
        <v>1.2909944487358056</v>
      </c>
      <c r="Z39" s="70">
        <f t="shared" si="14"/>
        <v>0</v>
      </c>
      <c r="AA39" s="69" t="str">
        <f t="shared" si="15"/>
        <v>Negligible</v>
      </c>
      <c r="AB39" s="69" t="str">
        <f t="shared" si="16"/>
        <v>Tidak Ada Indikasi Bias</v>
      </c>
    </row>
    <row r="40" spans="1:28" ht="26" x14ac:dyDescent="0.35">
      <c r="A40" s="95" t="str">
        <f>AUI!A34</f>
        <v>30. Kualifikasi yang dipersyaratkan dalam pemilihan auditor internal ... kecuali</v>
      </c>
      <c r="B40" s="69">
        <f>AUI!B34</f>
        <v>1</v>
      </c>
      <c r="C40" s="69">
        <f>AUI!C34</f>
        <v>1</v>
      </c>
      <c r="D40" s="69">
        <f>AUI!D34</f>
        <v>1</v>
      </c>
      <c r="E40" s="69">
        <f>AUI!E34</f>
        <v>1</v>
      </c>
      <c r="F40" s="69">
        <f>AUI!F34</f>
        <v>1</v>
      </c>
      <c r="G40" s="69">
        <f>AUI!G34</f>
        <v>0</v>
      </c>
      <c r="H40" s="69">
        <f>AUI!H34</f>
        <v>1</v>
      </c>
      <c r="I40" s="69">
        <f>AUI!I34</f>
        <v>0</v>
      </c>
      <c r="J40" s="69">
        <f>AUI!J34</f>
        <v>0</v>
      </c>
      <c r="K40" s="69">
        <f>AUI!K34</f>
        <v>0</v>
      </c>
      <c r="L40" s="69">
        <f t="shared" si="0"/>
        <v>5</v>
      </c>
      <c r="M40" s="69">
        <f t="shared" si="1"/>
        <v>5</v>
      </c>
      <c r="N40" s="69">
        <f t="shared" si="2"/>
        <v>3</v>
      </c>
      <c r="O40" s="69">
        <f t="shared" si="3"/>
        <v>3</v>
      </c>
      <c r="P40" s="69">
        <f t="shared" si="4"/>
        <v>3</v>
      </c>
      <c r="Q40" s="69">
        <f t="shared" si="5"/>
        <v>3</v>
      </c>
      <c r="R40" s="70">
        <f t="shared" si="6"/>
        <v>-0.40546510810816444</v>
      </c>
      <c r="S40" s="70">
        <f t="shared" si="7"/>
        <v>-0.40546510810816444</v>
      </c>
      <c r="T40" s="70">
        <f t="shared" si="8"/>
        <v>-0.3111658132205064</v>
      </c>
      <c r="U40" s="70">
        <f t="shared" si="9"/>
        <v>-0.3111658132205064</v>
      </c>
      <c r="V40" s="70">
        <f t="shared" si="10"/>
        <v>0.91287092917527679</v>
      </c>
      <c r="W40" s="70">
        <f t="shared" si="11"/>
        <v>0.91287092917527679</v>
      </c>
      <c r="X40" s="70">
        <f t="shared" si="12"/>
        <v>0</v>
      </c>
      <c r="Y40" s="70">
        <f t="shared" si="13"/>
        <v>1.2909944487358056</v>
      </c>
      <c r="Z40" s="70">
        <f t="shared" si="14"/>
        <v>0</v>
      </c>
      <c r="AA40" s="69" t="str">
        <f t="shared" si="15"/>
        <v>Negligible</v>
      </c>
      <c r="AB40" s="69" t="str">
        <f t="shared" si="16"/>
        <v>Tidak Ada Indikasi Bias</v>
      </c>
    </row>
    <row r="41" spans="1:28" ht="26" x14ac:dyDescent="0.35">
      <c r="A41" s="95" t="str">
        <f>AUI!A35</f>
        <v>31. Apa yang dimaksud dengan audit menurut ISO 19011</v>
      </c>
      <c r="B41" s="69">
        <f>AUI!B35</f>
        <v>0</v>
      </c>
      <c r="C41" s="69">
        <f>AUI!C35</f>
        <v>0</v>
      </c>
      <c r="D41" s="69">
        <f>AUI!D35</f>
        <v>0</v>
      </c>
      <c r="E41" s="69">
        <f>AUI!E35</f>
        <v>0</v>
      </c>
      <c r="F41" s="69">
        <f>AUI!F35</f>
        <v>0</v>
      </c>
      <c r="G41" s="69">
        <f>AUI!G35</f>
        <v>1</v>
      </c>
      <c r="H41" s="69">
        <f>AUI!H35</f>
        <v>0</v>
      </c>
      <c r="I41" s="69">
        <f>AUI!I35</f>
        <v>1</v>
      </c>
      <c r="J41" s="69">
        <f>AUI!J35</f>
        <v>1</v>
      </c>
      <c r="K41" s="69">
        <f>AUI!K35</f>
        <v>1</v>
      </c>
      <c r="L41" s="69">
        <f t="shared" si="0"/>
        <v>5</v>
      </c>
      <c r="M41" s="69">
        <f t="shared" si="1"/>
        <v>5</v>
      </c>
      <c r="N41" s="69">
        <f t="shared" si="2"/>
        <v>2</v>
      </c>
      <c r="O41" s="69">
        <f t="shared" si="3"/>
        <v>2</v>
      </c>
      <c r="P41" s="69">
        <f t="shared" si="4"/>
        <v>2</v>
      </c>
      <c r="Q41" s="69">
        <f t="shared" si="5"/>
        <v>2</v>
      </c>
      <c r="R41" s="70">
        <f t="shared" si="6"/>
        <v>0.40546510810816438</v>
      </c>
      <c r="S41" s="70">
        <f t="shared" si="7"/>
        <v>0.40546510810816438</v>
      </c>
      <c r="T41" s="70">
        <f t="shared" si="8"/>
        <v>0.49976440299582248</v>
      </c>
      <c r="U41" s="70">
        <f t="shared" si="9"/>
        <v>0.49976440299582248</v>
      </c>
      <c r="V41" s="70">
        <f t="shared" si="10"/>
        <v>0.91287092917527679</v>
      </c>
      <c r="W41" s="70">
        <f t="shared" si="11"/>
        <v>0.91287092917527679</v>
      </c>
      <c r="X41" s="70">
        <f t="shared" si="12"/>
        <v>0</v>
      </c>
      <c r="Y41" s="70">
        <f t="shared" si="13"/>
        <v>1.2909944487358056</v>
      </c>
      <c r="Z41" s="70">
        <f t="shared" si="14"/>
        <v>0</v>
      </c>
      <c r="AA41" s="69" t="str">
        <f t="shared" si="15"/>
        <v>Negligible</v>
      </c>
      <c r="AB41" s="69" t="str">
        <f t="shared" si="16"/>
        <v>Tidak Ada Indikasi Bias</v>
      </c>
    </row>
    <row r="42" spans="1:28" ht="26" x14ac:dyDescent="0.35">
      <c r="A42" s="95" t="str">
        <f>AUI!A36</f>
        <v>32. Apa tujuan dari sebuah audit menurut ISO 19011</v>
      </c>
      <c r="B42" s="69">
        <f>AUI!B36</f>
        <v>0</v>
      </c>
      <c r="C42" s="69">
        <f>AUI!C36</f>
        <v>1</v>
      </c>
      <c r="D42" s="69">
        <f>AUI!D36</f>
        <v>1</v>
      </c>
      <c r="E42" s="69">
        <f>AUI!E36</f>
        <v>1</v>
      </c>
      <c r="F42" s="69">
        <f>AUI!F36</f>
        <v>1</v>
      </c>
      <c r="G42" s="69">
        <f>AUI!G36</f>
        <v>1</v>
      </c>
      <c r="H42" s="69">
        <f>AUI!H36</f>
        <v>0</v>
      </c>
      <c r="I42" s="69">
        <f>AUI!I36</f>
        <v>1</v>
      </c>
      <c r="J42" s="69">
        <f>AUI!J36</f>
        <v>0</v>
      </c>
      <c r="K42" s="69">
        <f>AUI!K36</f>
        <v>0</v>
      </c>
      <c r="L42" s="69">
        <f t="shared" si="0"/>
        <v>5</v>
      </c>
      <c r="M42" s="69">
        <f t="shared" si="1"/>
        <v>5</v>
      </c>
      <c r="N42" s="69">
        <f t="shared" si="2"/>
        <v>3</v>
      </c>
      <c r="O42" s="69">
        <f t="shared" si="3"/>
        <v>3</v>
      </c>
      <c r="P42" s="69">
        <f t="shared" si="4"/>
        <v>3</v>
      </c>
      <c r="Q42" s="69">
        <f t="shared" si="5"/>
        <v>3</v>
      </c>
      <c r="R42" s="70">
        <f t="shared" si="6"/>
        <v>-0.40546510810816444</v>
      </c>
      <c r="S42" s="70">
        <f t="shared" si="7"/>
        <v>-0.40546510810816444</v>
      </c>
      <c r="T42" s="70">
        <f t="shared" si="8"/>
        <v>-0.3111658132205064</v>
      </c>
      <c r="U42" s="70">
        <f t="shared" si="9"/>
        <v>-0.3111658132205064</v>
      </c>
      <c r="V42" s="70">
        <f t="shared" si="10"/>
        <v>0.91287092917527679</v>
      </c>
      <c r="W42" s="70">
        <f t="shared" si="11"/>
        <v>0.91287092917527679</v>
      </c>
      <c r="X42" s="70">
        <f t="shared" si="12"/>
        <v>0</v>
      </c>
      <c r="Y42" s="70">
        <f t="shared" si="13"/>
        <v>1.2909944487358056</v>
      </c>
      <c r="Z42" s="70">
        <f t="shared" si="14"/>
        <v>0</v>
      </c>
      <c r="AA42" s="69" t="str">
        <f t="shared" si="15"/>
        <v>Negligible</v>
      </c>
      <c r="AB42" s="69" t="str">
        <f t="shared" si="16"/>
        <v>Tidak Ada Indikasi Bias</v>
      </c>
    </row>
    <row r="43" spans="1:28" ht="63.5" x14ac:dyDescent="0.35">
      <c r="A43" s="95" t="str">
        <f>AUI!A37</f>
        <v>33. Proses yang sistematik, mandiri dan terdokumentasi untuk memperoleh bukti objektif dan mengevaluasi bukti tersebut secara objektif untuk menentukan sejauh mana kriteria audit dipenuhi adalah</v>
      </c>
      <c r="B43" s="69">
        <f>AUI!B37</f>
        <v>1</v>
      </c>
      <c r="C43" s="69">
        <f>AUI!C37</f>
        <v>0</v>
      </c>
      <c r="D43" s="69">
        <f>AUI!D37</f>
        <v>1</v>
      </c>
      <c r="E43" s="69">
        <f>AUI!E37</f>
        <v>0</v>
      </c>
      <c r="F43" s="69">
        <f>AUI!F37</f>
        <v>1</v>
      </c>
      <c r="G43" s="69">
        <f>AUI!G37</f>
        <v>1</v>
      </c>
      <c r="H43" s="69">
        <f>AUI!H37</f>
        <v>1</v>
      </c>
      <c r="I43" s="69">
        <f>AUI!I37</f>
        <v>1</v>
      </c>
      <c r="J43" s="69">
        <f>AUI!J37</f>
        <v>1</v>
      </c>
      <c r="K43" s="69">
        <f>AUI!K37</f>
        <v>1</v>
      </c>
      <c r="L43" s="69">
        <f t="shared" ref="L43:L74" si="17">COUNTIF($B$8:$K$8,"Laki-Laki")</f>
        <v>5</v>
      </c>
      <c r="M43" s="69">
        <f t="shared" ref="M43:M74" si="18">COUNTIF($B$8:$K$8,"Perempuan")</f>
        <v>5</v>
      </c>
      <c r="N43" s="69">
        <f t="shared" ref="N43:N74" si="19">SUMIF($B$8:$K$8,"Laki-Laki",B43:K43)</f>
        <v>4</v>
      </c>
      <c r="O43" s="69">
        <f t="shared" ref="O43:O74" si="20">SUMIF($B$8:$K$8,"Perempuan",B43:K43)</f>
        <v>4</v>
      </c>
      <c r="P43" s="69">
        <f t="shared" ref="P43:P74" si="21">IF(N43=0,0.3,IF(N43=L43,L43-0.3,N43))</f>
        <v>4</v>
      </c>
      <c r="Q43" s="69">
        <f t="shared" ref="Q43:Q74" si="22">IF(O43=0,0.3,IF(O43=M43,M43-0.3,O43))</f>
        <v>4</v>
      </c>
      <c r="R43" s="70">
        <f t="shared" ref="R43:R74" si="23">LN((L43-P43)/P43)</f>
        <v>-1.3862943611198906</v>
      </c>
      <c r="S43" s="70">
        <f t="shared" ref="S43:S74" si="24">LN((M43-Q43)/Q43)</f>
        <v>-1.3862943611198906</v>
      </c>
      <c r="T43" s="70">
        <f t="shared" ref="T43:T74" si="25">R43-AVERAGE($R$11:$R$110)</f>
        <v>-1.2919950662322326</v>
      </c>
      <c r="U43" s="70">
        <f t="shared" ref="U43:U74" si="26">S43-AVERAGE($S$11:$S$110)</f>
        <v>-1.2919950662322326</v>
      </c>
      <c r="V43" s="70">
        <f t="shared" ref="V43:V74" si="27">SQRT(1/P43+1/(L43-P43))</f>
        <v>1.1180339887498949</v>
      </c>
      <c r="W43" s="70">
        <f t="shared" ref="W43:W74" si="28">SQRT(1/Q43+1/(M43-Q43))</f>
        <v>1.1180339887498949</v>
      </c>
      <c r="X43" s="70">
        <f t="shared" ref="X43:X74" si="29">T43-U43</f>
        <v>0</v>
      </c>
      <c r="Y43" s="70">
        <f t="shared" ref="Y43:Y74" si="30">SQRT(V43^2+W43^2)</f>
        <v>1.5811388300841898</v>
      </c>
      <c r="Z43" s="70">
        <f t="shared" ref="Z43:Z74" si="31">X43/Y43</f>
        <v>0</v>
      </c>
      <c r="AA43" s="69" t="str">
        <f t="shared" ref="AA43:AA74" si="32">IF(AND(ABS(X43)&gt;=$B$4,ABS(Z43)&gt;=$B$5),"DIF Besar - review",IF(AND(ABS(X43)&gt;=$B$3,ABS(Z43)&gt;=$B$5),"DIF Moderat - cek","Negligible"))</f>
        <v>Negligible</v>
      </c>
      <c r="AB43" s="69" t="str">
        <f t="shared" ref="AB43:AB74" si="33">IF(ABS(X43)&gt;=$B$4,"Berpotensi Bias - Tinjau Konten",IF(ABS(X43)&gt;=$B$3,"Indikasi Ringan - Pantau","Tidak Ada Indikasi Bias"))</f>
        <v>Tidak Ada Indikasi Bias</v>
      </c>
    </row>
    <row r="44" spans="1:28" ht="38.5" x14ac:dyDescent="0.35">
      <c r="A44" s="95" t="str">
        <f>AUI!A38</f>
        <v>34. Pengaturan satu atau lebih audit yang direncanakan dalam jangka waktu tertentu dan diarahkan untuk tujuan spesifik adalah</v>
      </c>
      <c r="B44" s="69">
        <f>AUI!B38</f>
        <v>1</v>
      </c>
      <c r="C44" s="69">
        <f>AUI!C38</f>
        <v>1</v>
      </c>
      <c r="D44" s="69">
        <f>AUI!D38</f>
        <v>1</v>
      </c>
      <c r="E44" s="69">
        <f>AUI!E38</f>
        <v>1</v>
      </c>
      <c r="F44" s="69">
        <f>AUI!F38</f>
        <v>1</v>
      </c>
      <c r="G44" s="69">
        <f>AUI!G38</f>
        <v>0</v>
      </c>
      <c r="H44" s="69">
        <f>AUI!H38</f>
        <v>1</v>
      </c>
      <c r="I44" s="69">
        <f>AUI!I38</f>
        <v>1</v>
      </c>
      <c r="J44" s="69">
        <f>AUI!J38</f>
        <v>1</v>
      </c>
      <c r="K44" s="69">
        <f>AUI!K38</f>
        <v>0</v>
      </c>
      <c r="L44" s="69">
        <f t="shared" si="17"/>
        <v>5</v>
      </c>
      <c r="M44" s="69">
        <f t="shared" si="18"/>
        <v>5</v>
      </c>
      <c r="N44" s="69">
        <f t="shared" si="19"/>
        <v>4</v>
      </c>
      <c r="O44" s="69">
        <f t="shared" si="20"/>
        <v>4</v>
      </c>
      <c r="P44" s="69">
        <f t="shared" si="21"/>
        <v>4</v>
      </c>
      <c r="Q44" s="69">
        <f t="shared" si="22"/>
        <v>4</v>
      </c>
      <c r="R44" s="70">
        <f t="shared" si="23"/>
        <v>-1.3862943611198906</v>
      </c>
      <c r="S44" s="70">
        <f t="shared" si="24"/>
        <v>-1.3862943611198906</v>
      </c>
      <c r="T44" s="70">
        <f t="shared" si="25"/>
        <v>-1.2919950662322326</v>
      </c>
      <c r="U44" s="70">
        <f t="shared" si="26"/>
        <v>-1.2919950662322326</v>
      </c>
      <c r="V44" s="70">
        <f t="shared" si="27"/>
        <v>1.1180339887498949</v>
      </c>
      <c r="W44" s="70">
        <f t="shared" si="28"/>
        <v>1.1180339887498949</v>
      </c>
      <c r="X44" s="70">
        <f t="shared" si="29"/>
        <v>0</v>
      </c>
      <c r="Y44" s="70">
        <f t="shared" si="30"/>
        <v>1.5811388300841898</v>
      </c>
      <c r="Z44" s="70">
        <f t="shared" si="31"/>
        <v>0</v>
      </c>
      <c r="AA44" s="69" t="str">
        <f t="shared" si="32"/>
        <v>Negligible</v>
      </c>
      <c r="AB44" s="69" t="str">
        <f t="shared" si="33"/>
        <v>Tidak Ada Indikasi Bias</v>
      </c>
    </row>
    <row r="45" spans="1:28" ht="51" x14ac:dyDescent="0.35">
      <c r="A45" s="95" t="str">
        <f>AUI!A39</f>
        <v>35. Kumpulan unsur laboratorium yang saling terkait dan berinteraksi untuk menetapkan kebijakan dan sasaran serta proses untuk mencapai sasaran adalah</v>
      </c>
      <c r="B45" s="69">
        <f>AUI!B39</f>
        <v>1</v>
      </c>
      <c r="C45" s="69">
        <f>AUI!C39</f>
        <v>0</v>
      </c>
      <c r="D45" s="69">
        <f>AUI!D39</f>
        <v>1</v>
      </c>
      <c r="E45" s="69">
        <f>AUI!E39</f>
        <v>1</v>
      </c>
      <c r="F45" s="69">
        <f>AUI!F39</f>
        <v>0</v>
      </c>
      <c r="G45" s="69">
        <f>AUI!G39</f>
        <v>1</v>
      </c>
      <c r="H45" s="69">
        <f>AUI!H39</f>
        <v>1</v>
      </c>
      <c r="I45" s="69">
        <f>AUI!I39</f>
        <v>1</v>
      </c>
      <c r="J45" s="69">
        <f>AUI!J39</f>
        <v>1</v>
      </c>
      <c r="K45" s="69">
        <f>AUI!K39</f>
        <v>1</v>
      </c>
      <c r="L45" s="69">
        <f t="shared" si="17"/>
        <v>5</v>
      </c>
      <c r="M45" s="69">
        <f t="shared" si="18"/>
        <v>5</v>
      </c>
      <c r="N45" s="69">
        <f t="shared" si="19"/>
        <v>4</v>
      </c>
      <c r="O45" s="69">
        <f t="shared" si="20"/>
        <v>4</v>
      </c>
      <c r="P45" s="69">
        <f t="shared" si="21"/>
        <v>4</v>
      </c>
      <c r="Q45" s="69">
        <f t="shared" si="22"/>
        <v>4</v>
      </c>
      <c r="R45" s="70">
        <f t="shared" si="23"/>
        <v>-1.3862943611198906</v>
      </c>
      <c r="S45" s="70">
        <f t="shared" si="24"/>
        <v>-1.3862943611198906</v>
      </c>
      <c r="T45" s="70">
        <f t="shared" si="25"/>
        <v>-1.2919950662322326</v>
      </c>
      <c r="U45" s="70">
        <f t="shared" si="26"/>
        <v>-1.2919950662322326</v>
      </c>
      <c r="V45" s="70">
        <f t="shared" si="27"/>
        <v>1.1180339887498949</v>
      </c>
      <c r="W45" s="70">
        <f t="shared" si="28"/>
        <v>1.1180339887498949</v>
      </c>
      <c r="X45" s="70">
        <f t="shared" si="29"/>
        <v>0</v>
      </c>
      <c r="Y45" s="70">
        <f t="shared" si="30"/>
        <v>1.5811388300841898</v>
      </c>
      <c r="Z45" s="70">
        <f t="shared" si="31"/>
        <v>0</v>
      </c>
      <c r="AA45" s="69" t="str">
        <f t="shared" si="32"/>
        <v>Negligible</v>
      </c>
      <c r="AB45" s="69" t="str">
        <f t="shared" si="33"/>
        <v>Tidak Ada Indikasi Bias</v>
      </c>
    </row>
    <row r="46" spans="1:28" ht="38.5" x14ac:dyDescent="0.35">
      <c r="A46" s="95" t="str">
        <f>AUI!A40</f>
        <v>36. Seperangkat persyaratan yang digunakan sebagai acuan pembanding terhadap bukti objektif adalah</v>
      </c>
      <c r="B46" s="69">
        <f>AUI!B40</f>
        <v>0</v>
      </c>
      <c r="C46" s="69">
        <f>AUI!C40</f>
        <v>1</v>
      </c>
      <c r="D46" s="69">
        <f>AUI!D40</f>
        <v>0</v>
      </c>
      <c r="E46" s="69">
        <f>AUI!E40</f>
        <v>0</v>
      </c>
      <c r="F46" s="69">
        <f>AUI!F40</f>
        <v>1</v>
      </c>
      <c r="G46" s="69">
        <f>AUI!G40</f>
        <v>1</v>
      </c>
      <c r="H46" s="69">
        <f>AUI!H40</f>
        <v>1</v>
      </c>
      <c r="I46" s="69">
        <f>AUI!I40</f>
        <v>0</v>
      </c>
      <c r="J46" s="69">
        <f>AUI!J40</f>
        <v>1</v>
      </c>
      <c r="K46" s="69">
        <f>AUI!K40</f>
        <v>1</v>
      </c>
      <c r="L46" s="69">
        <f t="shared" si="17"/>
        <v>5</v>
      </c>
      <c r="M46" s="69">
        <f t="shared" si="18"/>
        <v>5</v>
      </c>
      <c r="N46" s="69">
        <f t="shared" si="19"/>
        <v>3</v>
      </c>
      <c r="O46" s="69">
        <f t="shared" si="20"/>
        <v>3</v>
      </c>
      <c r="P46" s="69">
        <f t="shared" si="21"/>
        <v>3</v>
      </c>
      <c r="Q46" s="69">
        <f t="shared" si="22"/>
        <v>3</v>
      </c>
      <c r="R46" s="70">
        <f t="shared" si="23"/>
        <v>-0.40546510810816444</v>
      </c>
      <c r="S46" s="70">
        <f t="shared" si="24"/>
        <v>-0.40546510810816444</v>
      </c>
      <c r="T46" s="70">
        <f t="shared" si="25"/>
        <v>-0.3111658132205064</v>
      </c>
      <c r="U46" s="70">
        <f t="shared" si="26"/>
        <v>-0.3111658132205064</v>
      </c>
      <c r="V46" s="70">
        <f t="shared" si="27"/>
        <v>0.91287092917527679</v>
      </c>
      <c r="W46" s="70">
        <f t="shared" si="28"/>
        <v>0.91287092917527679</v>
      </c>
      <c r="X46" s="70">
        <f t="shared" si="29"/>
        <v>0</v>
      </c>
      <c r="Y46" s="70">
        <f t="shared" si="30"/>
        <v>1.2909944487358056</v>
      </c>
      <c r="Z46" s="70">
        <f t="shared" si="31"/>
        <v>0</v>
      </c>
      <c r="AA46" s="69" t="str">
        <f t="shared" si="32"/>
        <v>Negligible</v>
      </c>
      <c r="AB46" s="69" t="str">
        <f t="shared" si="33"/>
        <v>Tidak Ada Indikasi Bias</v>
      </c>
    </row>
    <row r="47" spans="1:28" ht="38.5" x14ac:dyDescent="0.35">
      <c r="A47" s="95" t="str">
        <f>AUI!A41</f>
        <v>37. Sebelum pelaksanaan audit, Ketua tim audit melakukan kontak dilakukan dengan auditi untuk .... kecuali</v>
      </c>
      <c r="B47" s="69">
        <f>AUI!B41</f>
        <v>0</v>
      </c>
      <c r="C47" s="69">
        <f>AUI!C41</f>
        <v>1</v>
      </c>
      <c r="D47" s="69">
        <f>AUI!D41</f>
        <v>1</v>
      </c>
      <c r="E47" s="69">
        <f>AUI!E41</f>
        <v>0</v>
      </c>
      <c r="F47" s="69">
        <f>AUI!F41</f>
        <v>1</v>
      </c>
      <c r="G47" s="69">
        <f>AUI!G41</f>
        <v>1</v>
      </c>
      <c r="H47" s="69">
        <f>AUI!H41</f>
        <v>1</v>
      </c>
      <c r="I47" s="69">
        <f>AUI!I41</f>
        <v>1</v>
      </c>
      <c r="J47" s="69">
        <f>AUI!J41</f>
        <v>1</v>
      </c>
      <c r="K47" s="69">
        <f>AUI!K41</f>
        <v>1</v>
      </c>
      <c r="L47" s="69">
        <f t="shared" si="17"/>
        <v>5</v>
      </c>
      <c r="M47" s="69">
        <f t="shared" si="18"/>
        <v>5</v>
      </c>
      <c r="N47" s="69">
        <f t="shared" si="19"/>
        <v>4</v>
      </c>
      <c r="O47" s="69">
        <f t="shared" si="20"/>
        <v>4</v>
      </c>
      <c r="P47" s="69">
        <f t="shared" si="21"/>
        <v>4</v>
      </c>
      <c r="Q47" s="69">
        <f t="shared" si="22"/>
        <v>4</v>
      </c>
      <c r="R47" s="70">
        <f t="shared" si="23"/>
        <v>-1.3862943611198906</v>
      </c>
      <c r="S47" s="70">
        <f t="shared" si="24"/>
        <v>-1.3862943611198906</v>
      </c>
      <c r="T47" s="70">
        <f t="shared" si="25"/>
        <v>-1.2919950662322326</v>
      </c>
      <c r="U47" s="70">
        <f t="shared" si="26"/>
        <v>-1.2919950662322326</v>
      </c>
      <c r="V47" s="70">
        <f t="shared" si="27"/>
        <v>1.1180339887498949</v>
      </c>
      <c r="W47" s="70">
        <f t="shared" si="28"/>
        <v>1.1180339887498949</v>
      </c>
      <c r="X47" s="70">
        <f t="shared" si="29"/>
        <v>0</v>
      </c>
      <c r="Y47" s="70">
        <f t="shared" si="30"/>
        <v>1.5811388300841898</v>
      </c>
      <c r="Z47" s="70">
        <f t="shared" si="31"/>
        <v>0</v>
      </c>
      <c r="AA47" s="69" t="str">
        <f t="shared" si="32"/>
        <v>Negligible</v>
      </c>
      <c r="AB47" s="69" t="str">
        <f t="shared" si="33"/>
        <v>Tidak Ada Indikasi Bias</v>
      </c>
    </row>
    <row r="48" spans="1:28" ht="63.5" x14ac:dyDescent="0.35">
      <c r="A48" s="95" t="str">
        <f>AUI!A42</f>
        <v>38. Auditor meminta beberapa dokumen dan rekaman untuk tinjauan awal terhadap dokumen-dokumen yang relevan sebelum pelaksanaan audit lapangan.....dikenal dengan istilah</v>
      </c>
      <c r="B48" s="69">
        <f>AUI!B42</f>
        <v>0</v>
      </c>
      <c r="C48" s="69">
        <f>AUI!C42</f>
        <v>1</v>
      </c>
      <c r="D48" s="69">
        <f>AUI!D42</f>
        <v>1</v>
      </c>
      <c r="E48" s="69">
        <f>AUI!E42</f>
        <v>1</v>
      </c>
      <c r="F48" s="69">
        <f>AUI!F42</f>
        <v>1</v>
      </c>
      <c r="G48" s="69">
        <f>AUI!G42</f>
        <v>1</v>
      </c>
      <c r="H48" s="69">
        <f>AUI!H42</f>
        <v>0</v>
      </c>
      <c r="I48" s="69">
        <f>AUI!I42</f>
        <v>1</v>
      </c>
      <c r="J48" s="69">
        <f>AUI!J42</f>
        <v>0</v>
      </c>
      <c r="K48" s="69">
        <f>AUI!K42</f>
        <v>0</v>
      </c>
      <c r="L48" s="69">
        <f t="shared" si="17"/>
        <v>5</v>
      </c>
      <c r="M48" s="69">
        <f t="shared" si="18"/>
        <v>5</v>
      </c>
      <c r="N48" s="69">
        <f t="shared" si="19"/>
        <v>3</v>
      </c>
      <c r="O48" s="69">
        <f t="shared" si="20"/>
        <v>3</v>
      </c>
      <c r="P48" s="69">
        <f t="shared" si="21"/>
        <v>3</v>
      </c>
      <c r="Q48" s="69">
        <f t="shared" si="22"/>
        <v>3</v>
      </c>
      <c r="R48" s="70">
        <f t="shared" si="23"/>
        <v>-0.40546510810816444</v>
      </c>
      <c r="S48" s="70">
        <f t="shared" si="24"/>
        <v>-0.40546510810816444</v>
      </c>
      <c r="T48" s="70">
        <f t="shared" si="25"/>
        <v>-0.3111658132205064</v>
      </c>
      <c r="U48" s="70">
        <f t="shared" si="26"/>
        <v>-0.3111658132205064</v>
      </c>
      <c r="V48" s="70">
        <f t="shared" si="27"/>
        <v>0.91287092917527679</v>
      </c>
      <c r="W48" s="70">
        <f t="shared" si="28"/>
        <v>0.91287092917527679</v>
      </c>
      <c r="X48" s="70">
        <f t="shared" si="29"/>
        <v>0</v>
      </c>
      <c r="Y48" s="70">
        <f t="shared" si="30"/>
        <v>1.2909944487358056</v>
      </c>
      <c r="Z48" s="70">
        <f t="shared" si="31"/>
        <v>0</v>
      </c>
      <c r="AA48" s="69" t="str">
        <f t="shared" si="32"/>
        <v>Negligible</v>
      </c>
      <c r="AB48" s="69" t="str">
        <f t="shared" si="33"/>
        <v>Tidak Ada Indikasi Bias</v>
      </c>
    </row>
    <row r="49" spans="1:28" ht="26" x14ac:dyDescent="0.35">
      <c r="A49" s="95" t="str">
        <f>AUI!A43</f>
        <v>39. Apa yang dimaksud dengan menentukan kelayakan audit</v>
      </c>
      <c r="B49" s="69">
        <f>AUI!B43</f>
        <v>0</v>
      </c>
      <c r="C49" s="69">
        <f>AUI!C43</f>
        <v>0</v>
      </c>
      <c r="D49" s="69">
        <f>AUI!D43</f>
        <v>1</v>
      </c>
      <c r="E49" s="69">
        <f>AUI!E43</f>
        <v>1</v>
      </c>
      <c r="F49" s="69">
        <f>AUI!F43</f>
        <v>0</v>
      </c>
      <c r="G49" s="69">
        <f>AUI!G43</f>
        <v>1</v>
      </c>
      <c r="H49" s="69">
        <f>AUI!H43</f>
        <v>1</v>
      </c>
      <c r="I49" s="69">
        <f>AUI!I43</f>
        <v>1</v>
      </c>
      <c r="J49" s="69">
        <f>AUI!J43</f>
        <v>1</v>
      </c>
      <c r="K49" s="69">
        <f>AUI!K43</f>
        <v>0</v>
      </c>
      <c r="L49" s="69">
        <f t="shared" si="17"/>
        <v>5</v>
      </c>
      <c r="M49" s="69">
        <f t="shared" si="18"/>
        <v>5</v>
      </c>
      <c r="N49" s="69">
        <f t="shared" si="19"/>
        <v>3</v>
      </c>
      <c r="O49" s="69">
        <f t="shared" si="20"/>
        <v>3</v>
      </c>
      <c r="P49" s="69">
        <f t="shared" si="21"/>
        <v>3</v>
      </c>
      <c r="Q49" s="69">
        <f t="shared" si="22"/>
        <v>3</v>
      </c>
      <c r="R49" s="70">
        <f t="shared" si="23"/>
        <v>-0.40546510810816444</v>
      </c>
      <c r="S49" s="70">
        <f t="shared" si="24"/>
        <v>-0.40546510810816444</v>
      </c>
      <c r="T49" s="70">
        <f t="shared" si="25"/>
        <v>-0.3111658132205064</v>
      </c>
      <c r="U49" s="70">
        <f t="shared" si="26"/>
        <v>-0.3111658132205064</v>
      </c>
      <c r="V49" s="70">
        <f t="shared" si="27"/>
        <v>0.91287092917527679</v>
      </c>
      <c r="W49" s="70">
        <f t="shared" si="28"/>
        <v>0.91287092917527679</v>
      </c>
      <c r="X49" s="70">
        <f t="shared" si="29"/>
        <v>0</v>
      </c>
      <c r="Y49" s="70">
        <f t="shared" si="30"/>
        <v>1.2909944487358056</v>
      </c>
      <c r="Z49" s="70">
        <f t="shared" si="31"/>
        <v>0</v>
      </c>
      <c r="AA49" s="69" t="str">
        <f t="shared" si="32"/>
        <v>Negligible</v>
      </c>
      <c r="AB49" s="69" t="str">
        <f t="shared" si="33"/>
        <v>Tidak Ada Indikasi Bias</v>
      </c>
    </row>
    <row r="50" spans="1:28" ht="26" x14ac:dyDescent="0.35">
      <c r="A50" s="95" t="str">
        <f>AUI!A44</f>
        <v>40. Apa yang harus dilakukan jika kelayakan audit diragukan</v>
      </c>
      <c r="B50" s="69">
        <f>AUI!B44</f>
        <v>0</v>
      </c>
      <c r="C50" s="69">
        <f>AUI!C44</f>
        <v>0</v>
      </c>
      <c r="D50" s="69">
        <f>AUI!D44</f>
        <v>1</v>
      </c>
      <c r="E50" s="69">
        <f>AUI!E44</f>
        <v>0</v>
      </c>
      <c r="F50" s="69">
        <f>AUI!F44</f>
        <v>1</v>
      </c>
      <c r="G50" s="69">
        <f>AUI!G44</f>
        <v>1</v>
      </c>
      <c r="H50" s="69">
        <f>AUI!H44</f>
        <v>1</v>
      </c>
      <c r="I50" s="69">
        <f>AUI!I44</f>
        <v>1</v>
      </c>
      <c r="J50" s="69">
        <f>AUI!J44</f>
        <v>0</v>
      </c>
      <c r="K50" s="69">
        <f>AUI!K44</f>
        <v>1</v>
      </c>
      <c r="L50" s="69">
        <f t="shared" si="17"/>
        <v>5</v>
      </c>
      <c r="M50" s="69">
        <f t="shared" si="18"/>
        <v>5</v>
      </c>
      <c r="N50" s="69">
        <f t="shared" si="19"/>
        <v>3</v>
      </c>
      <c r="O50" s="69">
        <f t="shared" si="20"/>
        <v>3</v>
      </c>
      <c r="P50" s="69">
        <f t="shared" si="21"/>
        <v>3</v>
      </c>
      <c r="Q50" s="69">
        <f t="shared" si="22"/>
        <v>3</v>
      </c>
      <c r="R50" s="70">
        <f t="shared" si="23"/>
        <v>-0.40546510810816444</v>
      </c>
      <c r="S50" s="70">
        <f t="shared" si="24"/>
        <v>-0.40546510810816444</v>
      </c>
      <c r="T50" s="70">
        <f t="shared" si="25"/>
        <v>-0.3111658132205064</v>
      </c>
      <c r="U50" s="70">
        <f t="shared" si="26"/>
        <v>-0.3111658132205064</v>
      </c>
      <c r="V50" s="70">
        <f t="shared" si="27"/>
        <v>0.91287092917527679</v>
      </c>
      <c r="W50" s="70">
        <f t="shared" si="28"/>
        <v>0.91287092917527679</v>
      </c>
      <c r="X50" s="70">
        <f t="shared" si="29"/>
        <v>0</v>
      </c>
      <c r="Y50" s="70">
        <f t="shared" si="30"/>
        <v>1.2909944487358056</v>
      </c>
      <c r="Z50" s="70">
        <f t="shared" si="31"/>
        <v>0</v>
      </c>
      <c r="AA50" s="69" t="str">
        <f t="shared" si="32"/>
        <v>Negligible</v>
      </c>
      <c r="AB50" s="69" t="str">
        <f t="shared" si="33"/>
        <v>Tidak Ada Indikasi Bias</v>
      </c>
    </row>
    <row r="51" spans="1:28" ht="38.5" x14ac:dyDescent="0.35">
      <c r="A51" s="95" t="str">
        <f>AUI!A45</f>
        <v>41. Mengapa penting untuk memastikan kelayakan audit sebelum pelaksanaan audit</v>
      </c>
      <c r="B51" s="69">
        <f>AUI!B45</f>
        <v>1</v>
      </c>
      <c r="C51" s="69">
        <f>AUI!C45</f>
        <v>1</v>
      </c>
      <c r="D51" s="69">
        <f>AUI!D45</f>
        <v>1</v>
      </c>
      <c r="E51" s="69">
        <f>AUI!E45</f>
        <v>1</v>
      </c>
      <c r="F51" s="69">
        <f>AUI!F45</f>
        <v>1</v>
      </c>
      <c r="G51" s="69">
        <f>AUI!G45</f>
        <v>0</v>
      </c>
      <c r="H51" s="69">
        <f>AUI!H45</f>
        <v>1</v>
      </c>
      <c r="I51" s="69">
        <f>AUI!I45</f>
        <v>1</v>
      </c>
      <c r="J51" s="69">
        <f>AUI!J45</f>
        <v>0</v>
      </c>
      <c r="K51" s="69">
        <f>AUI!K45</f>
        <v>1</v>
      </c>
      <c r="L51" s="69">
        <f t="shared" si="17"/>
        <v>5</v>
      </c>
      <c r="M51" s="69">
        <f t="shared" si="18"/>
        <v>5</v>
      </c>
      <c r="N51" s="69">
        <f t="shared" si="19"/>
        <v>4</v>
      </c>
      <c r="O51" s="69">
        <f t="shared" si="20"/>
        <v>4</v>
      </c>
      <c r="P51" s="69">
        <f t="shared" si="21"/>
        <v>4</v>
      </c>
      <c r="Q51" s="69">
        <f t="shared" si="22"/>
        <v>4</v>
      </c>
      <c r="R51" s="70">
        <f t="shared" si="23"/>
        <v>-1.3862943611198906</v>
      </c>
      <c r="S51" s="70">
        <f t="shared" si="24"/>
        <v>-1.3862943611198906</v>
      </c>
      <c r="T51" s="70">
        <f t="shared" si="25"/>
        <v>-1.2919950662322326</v>
      </c>
      <c r="U51" s="70">
        <f t="shared" si="26"/>
        <v>-1.2919950662322326</v>
      </c>
      <c r="V51" s="70">
        <f t="shared" si="27"/>
        <v>1.1180339887498949</v>
      </c>
      <c r="W51" s="70">
        <f t="shared" si="28"/>
        <v>1.1180339887498949</v>
      </c>
      <c r="X51" s="70">
        <f t="shared" si="29"/>
        <v>0</v>
      </c>
      <c r="Y51" s="70">
        <f t="shared" si="30"/>
        <v>1.5811388300841898</v>
      </c>
      <c r="Z51" s="70">
        <f t="shared" si="31"/>
        <v>0</v>
      </c>
      <c r="AA51" s="69" t="str">
        <f t="shared" si="32"/>
        <v>Negligible</v>
      </c>
      <c r="AB51" s="69" t="str">
        <f t="shared" si="33"/>
        <v>Tidak Ada Indikasi Bias</v>
      </c>
    </row>
    <row r="52" spans="1:28" ht="26" x14ac:dyDescent="0.35">
      <c r="A52" s="95" t="str">
        <f>AUI!A46</f>
        <v>42. Siapa yang bertanggung jawab untuk menugaskan pekerjaan ke tim audit</v>
      </c>
      <c r="B52" s="69">
        <f>AUI!B46</f>
        <v>1</v>
      </c>
      <c r="C52" s="69">
        <f>AUI!C46</f>
        <v>0</v>
      </c>
      <c r="D52" s="69">
        <f>AUI!D46</f>
        <v>1</v>
      </c>
      <c r="E52" s="69">
        <f>AUI!E46</f>
        <v>1</v>
      </c>
      <c r="F52" s="69">
        <f>AUI!F46</f>
        <v>1</v>
      </c>
      <c r="G52" s="69">
        <f>AUI!G46</f>
        <v>1</v>
      </c>
      <c r="H52" s="69">
        <f>AUI!H46</f>
        <v>0</v>
      </c>
      <c r="I52" s="69">
        <f>AUI!I46</f>
        <v>1</v>
      </c>
      <c r="J52" s="69">
        <f>AUI!J46</f>
        <v>0</v>
      </c>
      <c r="K52" s="69">
        <f>AUI!K46</f>
        <v>0</v>
      </c>
      <c r="L52" s="69">
        <f t="shared" si="17"/>
        <v>5</v>
      </c>
      <c r="M52" s="69">
        <f t="shared" si="18"/>
        <v>5</v>
      </c>
      <c r="N52" s="69">
        <f t="shared" si="19"/>
        <v>3</v>
      </c>
      <c r="O52" s="69">
        <f t="shared" si="20"/>
        <v>3</v>
      </c>
      <c r="P52" s="69">
        <f t="shared" si="21"/>
        <v>3</v>
      </c>
      <c r="Q52" s="69">
        <f t="shared" si="22"/>
        <v>3</v>
      </c>
      <c r="R52" s="70">
        <f t="shared" si="23"/>
        <v>-0.40546510810816444</v>
      </c>
      <c r="S52" s="70">
        <f t="shared" si="24"/>
        <v>-0.40546510810816444</v>
      </c>
      <c r="T52" s="70">
        <f t="shared" si="25"/>
        <v>-0.3111658132205064</v>
      </c>
      <c r="U52" s="70">
        <f t="shared" si="26"/>
        <v>-0.3111658132205064</v>
      </c>
      <c r="V52" s="70">
        <f t="shared" si="27"/>
        <v>0.91287092917527679</v>
      </c>
      <c r="W52" s="70">
        <f t="shared" si="28"/>
        <v>0.91287092917527679</v>
      </c>
      <c r="X52" s="70">
        <f t="shared" si="29"/>
        <v>0</v>
      </c>
      <c r="Y52" s="70">
        <f t="shared" si="30"/>
        <v>1.2909944487358056</v>
      </c>
      <c r="Z52" s="70">
        <f t="shared" si="31"/>
        <v>0</v>
      </c>
      <c r="AA52" s="69" t="str">
        <f t="shared" si="32"/>
        <v>Negligible</v>
      </c>
      <c r="AB52" s="69" t="str">
        <f t="shared" si="33"/>
        <v>Tidak Ada Indikasi Bias</v>
      </c>
    </row>
    <row r="53" spans="1:28" ht="62.5" customHeight="1" x14ac:dyDescent="0.35">
      <c r="A53" s="95" t="str">
        <f>AUI!A47</f>
        <v>43. Apa yang harus dipertimbangkan saat menugaskan pekerjaan ke tim audit</v>
      </c>
      <c r="B53" s="69">
        <f>AUI!B47</f>
        <v>0</v>
      </c>
      <c r="C53" s="69">
        <f>AUI!C47</f>
        <v>1</v>
      </c>
      <c r="D53" s="69">
        <f>AUI!D47</f>
        <v>1</v>
      </c>
      <c r="E53" s="69">
        <f>AUI!E47</f>
        <v>1</v>
      </c>
      <c r="F53" s="69">
        <f>AUI!F47</f>
        <v>1</v>
      </c>
      <c r="G53" s="69">
        <f>AUI!G47</f>
        <v>0</v>
      </c>
      <c r="H53" s="69">
        <f>AUI!H47</f>
        <v>1</v>
      </c>
      <c r="I53" s="69">
        <f>AUI!I47</f>
        <v>1</v>
      </c>
      <c r="J53" s="69">
        <f>AUI!J47</f>
        <v>0</v>
      </c>
      <c r="K53" s="69">
        <f>AUI!K47</f>
        <v>0</v>
      </c>
      <c r="L53" s="69">
        <f t="shared" si="17"/>
        <v>5</v>
      </c>
      <c r="M53" s="69">
        <f t="shared" si="18"/>
        <v>5</v>
      </c>
      <c r="N53" s="69">
        <f t="shared" si="19"/>
        <v>3</v>
      </c>
      <c r="O53" s="69">
        <f t="shared" si="20"/>
        <v>3</v>
      </c>
      <c r="P53" s="69">
        <f t="shared" si="21"/>
        <v>3</v>
      </c>
      <c r="Q53" s="69">
        <f t="shared" si="22"/>
        <v>3</v>
      </c>
      <c r="R53" s="70">
        <f t="shared" si="23"/>
        <v>-0.40546510810816444</v>
      </c>
      <c r="S53" s="70">
        <f t="shared" si="24"/>
        <v>-0.40546510810816444</v>
      </c>
      <c r="T53" s="70">
        <f t="shared" si="25"/>
        <v>-0.3111658132205064</v>
      </c>
      <c r="U53" s="70">
        <f t="shared" si="26"/>
        <v>-0.3111658132205064</v>
      </c>
      <c r="V53" s="70">
        <f t="shared" si="27"/>
        <v>0.91287092917527679</v>
      </c>
      <c r="W53" s="70">
        <f t="shared" si="28"/>
        <v>0.91287092917527679</v>
      </c>
      <c r="X53" s="70">
        <f t="shared" si="29"/>
        <v>0</v>
      </c>
      <c r="Y53" s="70">
        <f t="shared" si="30"/>
        <v>1.2909944487358056</v>
      </c>
      <c r="Z53" s="70">
        <f t="shared" si="31"/>
        <v>0</v>
      </c>
      <c r="AA53" s="69" t="str">
        <f t="shared" si="32"/>
        <v>Negligible</v>
      </c>
      <c r="AB53" s="69" t="str">
        <f t="shared" si="33"/>
        <v>Tidak Ada Indikasi Bias</v>
      </c>
    </row>
    <row r="54" spans="1:28" ht="26" x14ac:dyDescent="0.35">
      <c r="A54" s="95" t="str">
        <f>AUI!A48</f>
        <v>44. Apa yang dimaksud dengan menugaskan pekerjaan ke tim audit</v>
      </c>
      <c r="B54" s="69">
        <f>AUI!B48</f>
        <v>1</v>
      </c>
      <c r="C54" s="69">
        <f>AUI!C48</f>
        <v>1</v>
      </c>
      <c r="D54" s="69">
        <f>AUI!D48</f>
        <v>1</v>
      </c>
      <c r="E54" s="69">
        <f>AUI!E48</f>
        <v>1</v>
      </c>
      <c r="F54" s="69">
        <f>AUI!F48</f>
        <v>1</v>
      </c>
      <c r="G54" s="69">
        <f>AUI!G48</f>
        <v>1</v>
      </c>
      <c r="H54" s="69">
        <f>AUI!H48</f>
        <v>0</v>
      </c>
      <c r="I54" s="69">
        <f>AUI!I48</f>
        <v>0</v>
      </c>
      <c r="J54" s="69">
        <f>AUI!J48</f>
        <v>0</v>
      </c>
      <c r="K54" s="69">
        <f>AUI!K48</f>
        <v>0</v>
      </c>
      <c r="L54" s="69">
        <f t="shared" si="17"/>
        <v>5</v>
      </c>
      <c r="M54" s="69">
        <f t="shared" si="18"/>
        <v>5</v>
      </c>
      <c r="N54" s="69">
        <f t="shared" si="19"/>
        <v>3</v>
      </c>
      <c r="O54" s="69">
        <f t="shared" si="20"/>
        <v>3</v>
      </c>
      <c r="P54" s="69">
        <f t="shared" si="21"/>
        <v>3</v>
      </c>
      <c r="Q54" s="69">
        <f t="shared" si="22"/>
        <v>3</v>
      </c>
      <c r="R54" s="70">
        <f t="shared" si="23"/>
        <v>-0.40546510810816444</v>
      </c>
      <c r="S54" s="70">
        <f t="shared" si="24"/>
        <v>-0.40546510810816444</v>
      </c>
      <c r="T54" s="70">
        <f t="shared" si="25"/>
        <v>-0.3111658132205064</v>
      </c>
      <c r="U54" s="70">
        <f t="shared" si="26"/>
        <v>-0.3111658132205064</v>
      </c>
      <c r="V54" s="70">
        <f t="shared" si="27"/>
        <v>0.91287092917527679</v>
      </c>
      <c r="W54" s="70">
        <f t="shared" si="28"/>
        <v>0.91287092917527679</v>
      </c>
      <c r="X54" s="70">
        <f t="shared" si="29"/>
        <v>0</v>
      </c>
      <c r="Y54" s="70">
        <f t="shared" si="30"/>
        <v>1.2909944487358056</v>
      </c>
      <c r="Z54" s="70">
        <f t="shared" si="31"/>
        <v>0</v>
      </c>
      <c r="AA54" s="69" t="str">
        <f t="shared" si="32"/>
        <v>Negligible</v>
      </c>
      <c r="AB54" s="69" t="str">
        <f t="shared" si="33"/>
        <v>Tidak Ada Indikasi Bias</v>
      </c>
    </row>
    <row r="55" spans="1:28" ht="37.5" customHeight="1" x14ac:dyDescent="0.35">
      <c r="A55" s="95" t="str">
        <f>AUI!A49</f>
        <v>45. Tujuan utama dari melakukan tinjauan terhadap informasi terdokumentasi adalah</v>
      </c>
      <c r="B55" s="69">
        <f>AUI!B49</f>
        <v>1</v>
      </c>
      <c r="C55" s="69">
        <f>AUI!C49</f>
        <v>1</v>
      </c>
      <c r="D55" s="69">
        <f>AUI!D49</f>
        <v>1</v>
      </c>
      <c r="E55" s="69">
        <f>AUI!E49</f>
        <v>1</v>
      </c>
      <c r="F55" s="69">
        <f>AUI!F49</f>
        <v>0</v>
      </c>
      <c r="G55" s="69">
        <f>AUI!G49</f>
        <v>0</v>
      </c>
      <c r="H55" s="69">
        <f>AUI!H49</f>
        <v>1</v>
      </c>
      <c r="I55" s="69">
        <f>AUI!I49</f>
        <v>0</v>
      </c>
      <c r="J55" s="69">
        <f>AUI!J49</f>
        <v>0</v>
      </c>
      <c r="K55" s="69">
        <f>AUI!K49</f>
        <v>1</v>
      </c>
      <c r="L55" s="69">
        <f t="shared" si="17"/>
        <v>5</v>
      </c>
      <c r="M55" s="69">
        <f t="shared" si="18"/>
        <v>5</v>
      </c>
      <c r="N55" s="69">
        <f t="shared" si="19"/>
        <v>3</v>
      </c>
      <c r="O55" s="69">
        <f t="shared" si="20"/>
        <v>3</v>
      </c>
      <c r="P55" s="69">
        <f t="shared" si="21"/>
        <v>3</v>
      </c>
      <c r="Q55" s="69">
        <f t="shared" si="22"/>
        <v>3</v>
      </c>
      <c r="R55" s="70">
        <f t="shared" si="23"/>
        <v>-0.40546510810816444</v>
      </c>
      <c r="S55" s="70">
        <f t="shared" si="24"/>
        <v>-0.40546510810816444</v>
      </c>
      <c r="T55" s="70">
        <f t="shared" si="25"/>
        <v>-0.3111658132205064</v>
      </c>
      <c r="U55" s="70">
        <f t="shared" si="26"/>
        <v>-0.3111658132205064</v>
      </c>
      <c r="V55" s="70">
        <f t="shared" si="27"/>
        <v>0.91287092917527679</v>
      </c>
      <c r="W55" s="70">
        <f t="shared" si="28"/>
        <v>0.91287092917527679</v>
      </c>
      <c r="X55" s="70">
        <f t="shared" si="29"/>
        <v>0</v>
      </c>
      <c r="Y55" s="70">
        <f t="shared" si="30"/>
        <v>1.2909944487358056</v>
      </c>
      <c r="Z55" s="70">
        <f t="shared" si="31"/>
        <v>0</v>
      </c>
      <c r="AA55" s="69" t="str">
        <f t="shared" si="32"/>
        <v>Negligible</v>
      </c>
      <c r="AB55" s="69" t="str">
        <f t="shared" si="33"/>
        <v>Tidak Ada Indikasi Bias</v>
      </c>
    </row>
    <row r="56" spans="1:28" ht="38.5" x14ac:dyDescent="0.35">
      <c r="A56" s="95" t="str">
        <f>AUI!A50</f>
        <v>46. Apa yang harus dipertimbangkan saat melakukan tinjauan terhadap informasi terdokumentasi</v>
      </c>
      <c r="B56" s="69">
        <f>AUI!B50</f>
        <v>1</v>
      </c>
      <c r="C56" s="69">
        <f>AUI!C50</f>
        <v>0</v>
      </c>
      <c r="D56" s="69">
        <f>AUI!D50</f>
        <v>1</v>
      </c>
      <c r="E56" s="69">
        <f>AUI!E50</f>
        <v>1</v>
      </c>
      <c r="F56" s="69">
        <f>AUI!F50</f>
        <v>1</v>
      </c>
      <c r="G56" s="69">
        <f>AUI!G50</f>
        <v>1</v>
      </c>
      <c r="H56" s="69">
        <f>AUI!H50</f>
        <v>1</v>
      </c>
      <c r="I56" s="69">
        <f>AUI!I50</f>
        <v>0</v>
      </c>
      <c r="J56" s="69">
        <f>AUI!J50</f>
        <v>0</v>
      </c>
      <c r="K56" s="69">
        <f>AUI!K50</f>
        <v>0</v>
      </c>
      <c r="L56" s="69">
        <f t="shared" si="17"/>
        <v>5</v>
      </c>
      <c r="M56" s="69">
        <f t="shared" si="18"/>
        <v>5</v>
      </c>
      <c r="N56" s="69">
        <f t="shared" si="19"/>
        <v>3</v>
      </c>
      <c r="O56" s="69">
        <f t="shared" si="20"/>
        <v>3</v>
      </c>
      <c r="P56" s="69">
        <f t="shared" si="21"/>
        <v>3</v>
      </c>
      <c r="Q56" s="69">
        <f t="shared" si="22"/>
        <v>3</v>
      </c>
      <c r="R56" s="70">
        <f t="shared" si="23"/>
        <v>-0.40546510810816444</v>
      </c>
      <c r="S56" s="70">
        <f t="shared" si="24"/>
        <v>-0.40546510810816444</v>
      </c>
      <c r="T56" s="70">
        <f t="shared" si="25"/>
        <v>-0.3111658132205064</v>
      </c>
      <c r="U56" s="70">
        <f t="shared" si="26"/>
        <v>-0.3111658132205064</v>
      </c>
      <c r="V56" s="70">
        <f t="shared" si="27"/>
        <v>0.91287092917527679</v>
      </c>
      <c r="W56" s="70">
        <f t="shared" si="28"/>
        <v>0.91287092917527679</v>
      </c>
      <c r="X56" s="70">
        <f t="shared" si="29"/>
        <v>0</v>
      </c>
      <c r="Y56" s="70">
        <f t="shared" si="30"/>
        <v>1.2909944487358056</v>
      </c>
      <c r="Z56" s="70">
        <f t="shared" si="31"/>
        <v>0</v>
      </c>
      <c r="AA56" s="69" t="str">
        <f t="shared" si="32"/>
        <v>Negligible</v>
      </c>
      <c r="AB56" s="69" t="str">
        <f t="shared" si="33"/>
        <v>Tidak Ada Indikasi Bias</v>
      </c>
    </row>
    <row r="57" spans="1:28" ht="50" customHeight="1" x14ac:dyDescent="0.35">
      <c r="A57" s="95" t="str">
        <f>AUI!A51</f>
        <v>47. Apa yang dimaksud dengan pemberitahuan audit kepada auditee</v>
      </c>
      <c r="B57" s="69">
        <f>AUI!B51</f>
        <v>0</v>
      </c>
      <c r="C57" s="69">
        <f>AUI!C51</f>
        <v>0</v>
      </c>
      <c r="D57" s="69">
        <f>AUI!D51</f>
        <v>1</v>
      </c>
      <c r="E57" s="69">
        <f>AUI!E51</f>
        <v>0</v>
      </c>
      <c r="F57" s="69">
        <f>AUI!F51</f>
        <v>0</v>
      </c>
      <c r="G57" s="69">
        <f>AUI!G51</f>
        <v>1</v>
      </c>
      <c r="H57" s="69">
        <f>AUI!H51</f>
        <v>1</v>
      </c>
      <c r="I57" s="69">
        <f>AUI!I51</f>
        <v>1</v>
      </c>
      <c r="J57" s="69">
        <f>AUI!J51</f>
        <v>1</v>
      </c>
      <c r="K57" s="69">
        <f>AUI!K51</f>
        <v>1</v>
      </c>
      <c r="L57" s="69">
        <f t="shared" si="17"/>
        <v>5</v>
      </c>
      <c r="M57" s="69">
        <f t="shared" si="18"/>
        <v>5</v>
      </c>
      <c r="N57" s="69">
        <f t="shared" si="19"/>
        <v>3</v>
      </c>
      <c r="O57" s="69">
        <f t="shared" si="20"/>
        <v>3</v>
      </c>
      <c r="P57" s="69">
        <f t="shared" si="21"/>
        <v>3</v>
      </c>
      <c r="Q57" s="69">
        <f t="shared" si="22"/>
        <v>3</v>
      </c>
      <c r="R57" s="70">
        <f t="shared" si="23"/>
        <v>-0.40546510810816444</v>
      </c>
      <c r="S57" s="70">
        <f t="shared" si="24"/>
        <v>-0.40546510810816444</v>
      </c>
      <c r="T57" s="70">
        <f t="shared" si="25"/>
        <v>-0.3111658132205064</v>
      </c>
      <c r="U57" s="70">
        <f t="shared" si="26"/>
        <v>-0.3111658132205064</v>
      </c>
      <c r="V57" s="70">
        <f t="shared" si="27"/>
        <v>0.91287092917527679</v>
      </c>
      <c r="W57" s="70">
        <f t="shared" si="28"/>
        <v>0.91287092917527679</v>
      </c>
      <c r="X57" s="70">
        <f t="shared" si="29"/>
        <v>0</v>
      </c>
      <c r="Y57" s="70">
        <f t="shared" si="30"/>
        <v>1.2909944487358056</v>
      </c>
      <c r="Z57" s="70">
        <f t="shared" si="31"/>
        <v>0</v>
      </c>
      <c r="AA57" s="69" t="str">
        <f t="shared" si="32"/>
        <v>Negligible</v>
      </c>
      <c r="AB57" s="69" t="str">
        <f t="shared" si="33"/>
        <v>Tidak Ada Indikasi Bias</v>
      </c>
    </row>
    <row r="58" spans="1:28" ht="50" customHeight="1" x14ac:dyDescent="0.35">
      <c r="A58" s="95" t="str">
        <f>AUI!A52</f>
        <v>48. Mengapa penting untuk memberikan pemberitahuan audit kepada auditee sebelum pelaksanaan audit</v>
      </c>
      <c r="B58" s="69">
        <f>AUI!B52</f>
        <v>0</v>
      </c>
      <c r="C58" s="69">
        <f>AUI!C52</f>
        <v>0</v>
      </c>
      <c r="D58" s="69">
        <f>AUI!D52</f>
        <v>1</v>
      </c>
      <c r="E58" s="69">
        <f>AUI!E52</f>
        <v>0</v>
      </c>
      <c r="F58" s="69">
        <f>AUI!F52</f>
        <v>0</v>
      </c>
      <c r="G58" s="69">
        <f>AUI!G52</f>
        <v>0</v>
      </c>
      <c r="H58" s="69">
        <f>AUI!H52</f>
        <v>1</v>
      </c>
      <c r="I58" s="69">
        <f>AUI!I52</f>
        <v>1</v>
      </c>
      <c r="J58" s="69">
        <f>AUI!J52</f>
        <v>0</v>
      </c>
      <c r="K58" s="69">
        <f>AUI!K52</f>
        <v>1</v>
      </c>
      <c r="L58" s="69">
        <f t="shared" si="17"/>
        <v>5</v>
      </c>
      <c r="M58" s="69">
        <f t="shared" si="18"/>
        <v>5</v>
      </c>
      <c r="N58" s="69">
        <f t="shared" si="19"/>
        <v>2</v>
      </c>
      <c r="O58" s="69">
        <f t="shared" si="20"/>
        <v>2</v>
      </c>
      <c r="P58" s="69">
        <f t="shared" si="21"/>
        <v>2</v>
      </c>
      <c r="Q58" s="69">
        <f t="shared" si="22"/>
        <v>2</v>
      </c>
      <c r="R58" s="70">
        <f t="shared" si="23"/>
        <v>0.40546510810816438</v>
      </c>
      <c r="S58" s="70">
        <f t="shared" si="24"/>
        <v>0.40546510810816438</v>
      </c>
      <c r="T58" s="70">
        <f t="shared" si="25"/>
        <v>0.49976440299582248</v>
      </c>
      <c r="U58" s="70">
        <f t="shared" si="26"/>
        <v>0.49976440299582248</v>
      </c>
      <c r="V58" s="70">
        <f t="shared" si="27"/>
        <v>0.91287092917527679</v>
      </c>
      <c r="W58" s="70">
        <f t="shared" si="28"/>
        <v>0.91287092917527679</v>
      </c>
      <c r="X58" s="70">
        <f t="shared" si="29"/>
        <v>0</v>
      </c>
      <c r="Y58" s="70">
        <f t="shared" si="30"/>
        <v>1.2909944487358056</v>
      </c>
      <c r="Z58" s="70">
        <f t="shared" si="31"/>
        <v>0</v>
      </c>
      <c r="AA58" s="69" t="str">
        <f t="shared" si="32"/>
        <v>Negligible</v>
      </c>
      <c r="AB58" s="69" t="str">
        <f t="shared" si="33"/>
        <v>Tidak Ada Indikasi Bias</v>
      </c>
    </row>
    <row r="59" spans="1:28" ht="50" customHeight="1" x14ac:dyDescent="0.35">
      <c r="A59" s="95" t="str">
        <f>AUI!A53</f>
        <v>49. Kapan sebaiknya pemberitahuan audit disampaikan kepada auditee</v>
      </c>
      <c r="B59" s="69">
        <f>AUI!B53</f>
        <v>1</v>
      </c>
      <c r="C59" s="69">
        <f>AUI!C53</f>
        <v>1</v>
      </c>
      <c r="D59" s="69">
        <f>AUI!D53</f>
        <v>1</v>
      </c>
      <c r="E59" s="69">
        <f>AUI!E53</f>
        <v>1</v>
      </c>
      <c r="F59" s="69">
        <f>AUI!F53</f>
        <v>1</v>
      </c>
      <c r="G59" s="69">
        <f>AUI!G53</f>
        <v>1</v>
      </c>
      <c r="H59" s="69">
        <f>AUI!H53</f>
        <v>0</v>
      </c>
      <c r="I59" s="69">
        <f>AUI!I53</f>
        <v>1</v>
      </c>
      <c r="J59" s="69">
        <f>AUI!J53</f>
        <v>1</v>
      </c>
      <c r="K59" s="69">
        <f>AUI!K53</f>
        <v>0</v>
      </c>
      <c r="L59" s="69">
        <f t="shared" si="17"/>
        <v>5</v>
      </c>
      <c r="M59" s="69">
        <f t="shared" si="18"/>
        <v>5</v>
      </c>
      <c r="N59" s="69">
        <f t="shared" si="19"/>
        <v>4</v>
      </c>
      <c r="O59" s="69">
        <f t="shared" si="20"/>
        <v>4</v>
      </c>
      <c r="P59" s="69">
        <f t="shared" si="21"/>
        <v>4</v>
      </c>
      <c r="Q59" s="69">
        <f t="shared" si="22"/>
        <v>4</v>
      </c>
      <c r="R59" s="70">
        <f t="shared" si="23"/>
        <v>-1.3862943611198906</v>
      </c>
      <c r="S59" s="70">
        <f t="shared" si="24"/>
        <v>-1.3862943611198906</v>
      </c>
      <c r="T59" s="70">
        <f t="shared" si="25"/>
        <v>-1.2919950662322326</v>
      </c>
      <c r="U59" s="70">
        <f t="shared" si="26"/>
        <v>-1.2919950662322326</v>
      </c>
      <c r="V59" s="70">
        <f t="shared" si="27"/>
        <v>1.1180339887498949</v>
      </c>
      <c r="W59" s="70">
        <f t="shared" si="28"/>
        <v>1.1180339887498949</v>
      </c>
      <c r="X59" s="70">
        <f t="shared" si="29"/>
        <v>0</v>
      </c>
      <c r="Y59" s="70">
        <f t="shared" si="30"/>
        <v>1.5811388300841898</v>
      </c>
      <c r="Z59" s="70">
        <f t="shared" si="31"/>
        <v>0</v>
      </c>
      <c r="AA59" s="69" t="str">
        <f t="shared" si="32"/>
        <v>Negligible</v>
      </c>
      <c r="AB59" s="69" t="str">
        <f t="shared" si="33"/>
        <v>Tidak Ada Indikasi Bias</v>
      </c>
    </row>
    <row r="60" spans="1:28" ht="38.5" x14ac:dyDescent="0.35">
      <c r="A60" s="95" t="str">
        <f>AUI!A54</f>
        <v>50. Siapa yang bertanggung jawab untuk memberikan pemberitahuan audit kepada auditee</v>
      </c>
      <c r="B60" s="69">
        <f>AUI!B54</f>
        <v>1</v>
      </c>
      <c r="C60" s="69">
        <f>AUI!C54</f>
        <v>0</v>
      </c>
      <c r="D60" s="69">
        <f>AUI!D54</f>
        <v>1</v>
      </c>
      <c r="E60" s="69">
        <f>AUI!E54</f>
        <v>0</v>
      </c>
      <c r="F60" s="69">
        <f>AUI!F54</f>
        <v>1</v>
      </c>
      <c r="G60" s="69">
        <f>AUI!G54</f>
        <v>0</v>
      </c>
      <c r="H60" s="69">
        <f>AUI!H54</f>
        <v>0</v>
      </c>
      <c r="I60" s="69">
        <f>AUI!I54</f>
        <v>1</v>
      </c>
      <c r="J60" s="69">
        <f>AUI!J54</f>
        <v>0</v>
      </c>
      <c r="K60" s="69">
        <f>AUI!K54</f>
        <v>0</v>
      </c>
      <c r="L60" s="69">
        <f t="shared" si="17"/>
        <v>5</v>
      </c>
      <c r="M60" s="69">
        <f t="shared" si="18"/>
        <v>5</v>
      </c>
      <c r="N60" s="69">
        <f t="shared" si="19"/>
        <v>2</v>
      </c>
      <c r="O60" s="69">
        <f t="shared" si="20"/>
        <v>2</v>
      </c>
      <c r="P60" s="69">
        <f t="shared" si="21"/>
        <v>2</v>
      </c>
      <c r="Q60" s="69">
        <f t="shared" si="22"/>
        <v>2</v>
      </c>
      <c r="R60" s="70">
        <f t="shared" si="23"/>
        <v>0.40546510810816438</v>
      </c>
      <c r="S60" s="70">
        <f t="shared" si="24"/>
        <v>0.40546510810816438</v>
      </c>
      <c r="T60" s="70">
        <f t="shared" si="25"/>
        <v>0.49976440299582248</v>
      </c>
      <c r="U60" s="70">
        <f t="shared" si="26"/>
        <v>0.49976440299582248</v>
      </c>
      <c r="V60" s="70">
        <f t="shared" si="27"/>
        <v>0.91287092917527679</v>
      </c>
      <c r="W60" s="70">
        <f t="shared" si="28"/>
        <v>0.91287092917527679</v>
      </c>
      <c r="X60" s="70">
        <f t="shared" si="29"/>
        <v>0</v>
      </c>
      <c r="Y60" s="70">
        <f t="shared" si="30"/>
        <v>1.2909944487358056</v>
      </c>
      <c r="Z60" s="70">
        <f t="shared" si="31"/>
        <v>0</v>
      </c>
      <c r="AA60" s="69" t="str">
        <f t="shared" si="32"/>
        <v>Negligible</v>
      </c>
      <c r="AB60" s="69" t="str">
        <f t="shared" si="33"/>
        <v>Tidak Ada Indikasi Bias</v>
      </c>
    </row>
    <row r="61" spans="1:28" ht="26" x14ac:dyDescent="0.35">
      <c r="A61" s="95" t="str">
        <f>AUI!A55</f>
        <v>51. Apa yang harus disertakan dalam pemberitahuan audit kepada auditee</v>
      </c>
      <c r="B61" s="69">
        <f>AUI!B55</f>
        <v>1</v>
      </c>
      <c r="C61" s="69">
        <f>AUI!C55</f>
        <v>1</v>
      </c>
      <c r="D61" s="69">
        <f>AUI!D55</f>
        <v>0</v>
      </c>
      <c r="E61" s="69">
        <f>AUI!E55</f>
        <v>1</v>
      </c>
      <c r="F61" s="69">
        <f>AUI!F55</f>
        <v>1</v>
      </c>
      <c r="G61" s="69">
        <f>AUI!G55</f>
        <v>0</v>
      </c>
      <c r="H61" s="69">
        <f>AUI!H55</f>
        <v>0</v>
      </c>
      <c r="I61" s="69">
        <f>AUI!I55</f>
        <v>1</v>
      </c>
      <c r="J61" s="69">
        <f>AUI!J55</f>
        <v>1</v>
      </c>
      <c r="K61" s="69">
        <f>AUI!K55</f>
        <v>0</v>
      </c>
      <c r="L61" s="69">
        <f t="shared" si="17"/>
        <v>5</v>
      </c>
      <c r="M61" s="69">
        <f t="shared" si="18"/>
        <v>5</v>
      </c>
      <c r="N61" s="69">
        <f t="shared" si="19"/>
        <v>3</v>
      </c>
      <c r="O61" s="69">
        <f t="shared" si="20"/>
        <v>3</v>
      </c>
      <c r="P61" s="69">
        <f t="shared" si="21"/>
        <v>3</v>
      </c>
      <c r="Q61" s="69">
        <f t="shared" si="22"/>
        <v>3</v>
      </c>
      <c r="R61" s="70">
        <f t="shared" si="23"/>
        <v>-0.40546510810816444</v>
      </c>
      <c r="S61" s="70">
        <f t="shared" si="24"/>
        <v>-0.40546510810816444</v>
      </c>
      <c r="T61" s="70">
        <f t="shared" si="25"/>
        <v>-0.3111658132205064</v>
      </c>
      <c r="U61" s="70">
        <f t="shared" si="26"/>
        <v>-0.3111658132205064</v>
      </c>
      <c r="V61" s="70">
        <f t="shared" si="27"/>
        <v>0.91287092917527679</v>
      </c>
      <c r="W61" s="70">
        <f t="shared" si="28"/>
        <v>0.91287092917527679</v>
      </c>
      <c r="X61" s="70">
        <f t="shared" si="29"/>
        <v>0</v>
      </c>
      <c r="Y61" s="70">
        <f t="shared" si="30"/>
        <v>1.2909944487358056</v>
      </c>
      <c r="Z61" s="70">
        <f t="shared" si="31"/>
        <v>0</v>
      </c>
      <c r="AA61" s="69" t="str">
        <f t="shared" si="32"/>
        <v>Negligible</v>
      </c>
      <c r="AB61" s="69" t="str">
        <f t="shared" si="33"/>
        <v>Tidak Ada Indikasi Bias</v>
      </c>
    </row>
    <row r="62" spans="1:28" ht="37.5" customHeight="1" x14ac:dyDescent="0.35">
      <c r="A62" s="95" t="str">
        <f>AUI!A56</f>
        <v>52. Rangkaian urutan kegiatan audit dimulai dari rapat pembukaan hingga diakhiri rapat penutupan disebut</v>
      </c>
      <c r="B62" s="69">
        <f>AUI!B56</f>
        <v>1</v>
      </c>
      <c r="C62" s="69">
        <f>AUI!C56</f>
        <v>1</v>
      </c>
      <c r="D62" s="69">
        <f>AUI!D56</f>
        <v>1</v>
      </c>
      <c r="E62" s="69">
        <f>AUI!E56</f>
        <v>0</v>
      </c>
      <c r="F62" s="69">
        <f>AUI!F56</f>
        <v>0</v>
      </c>
      <c r="G62" s="69">
        <f>AUI!G56</f>
        <v>0</v>
      </c>
      <c r="H62" s="69">
        <f>AUI!H56</f>
        <v>0</v>
      </c>
      <c r="I62" s="69">
        <f>AUI!I56</f>
        <v>0</v>
      </c>
      <c r="J62" s="69">
        <f>AUI!J56</f>
        <v>0</v>
      </c>
      <c r="K62" s="69">
        <f>AUI!K56</f>
        <v>1</v>
      </c>
      <c r="L62" s="69">
        <f t="shared" si="17"/>
        <v>5</v>
      </c>
      <c r="M62" s="69">
        <f t="shared" si="18"/>
        <v>5</v>
      </c>
      <c r="N62" s="69">
        <f t="shared" si="19"/>
        <v>2</v>
      </c>
      <c r="O62" s="69">
        <f t="shared" si="20"/>
        <v>2</v>
      </c>
      <c r="P62" s="69">
        <f t="shared" si="21"/>
        <v>2</v>
      </c>
      <c r="Q62" s="69">
        <f t="shared" si="22"/>
        <v>2</v>
      </c>
      <c r="R62" s="70">
        <f t="shared" si="23"/>
        <v>0.40546510810816438</v>
      </c>
      <c r="S62" s="70">
        <f t="shared" si="24"/>
        <v>0.40546510810816438</v>
      </c>
      <c r="T62" s="70">
        <f t="shared" si="25"/>
        <v>0.49976440299582248</v>
      </c>
      <c r="U62" s="70">
        <f t="shared" si="26"/>
        <v>0.49976440299582248</v>
      </c>
      <c r="V62" s="70">
        <f t="shared" si="27"/>
        <v>0.91287092917527679</v>
      </c>
      <c r="W62" s="70">
        <f t="shared" si="28"/>
        <v>0.91287092917527679</v>
      </c>
      <c r="X62" s="70">
        <f t="shared" si="29"/>
        <v>0</v>
      </c>
      <c r="Y62" s="70">
        <f t="shared" si="30"/>
        <v>1.2909944487358056</v>
      </c>
      <c r="Z62" s="70">
        <f t="shared" si="31"/>
        <v>0</v>
      </c>
      <c r="AA62" s="69" t="str">
        <f t="shared" si="32"/>
        <v>Negligible</v>
      </c>
      <c r="AB62" s="69" t="str">
        <f t="shared" si="33"/>
        <v>Tidak Ada Indikasi Bias</v>
      </c>
    </row>
    <row r="63" spans="1:28" ht="38.5" x14ac:dyDescent="0.35">
      <c r="A63" s="95" t="str">
        <f>AUI!A57</f>
        <v>53. Apa yang harus dilakukan jika jadwal audit bertabrakan dengan kegiatan penting auditee</v>
      </c>
      <c r="B63" s="69">
        <f>AUI!B57</f>
        <v>0</v>
      </c>
      <c r="C63" s="69">
        <f>AUI!C57</f>
        <v>1</v>
      </c>
      <c r="D63" s="69">
        <f>AUI!D57</f>
        <v>0</v>
      </c>
      <c r="E63" s="69">
        <f>AUI!E57</f>
        <v>0</v>
      </c>
      <c r="F63" s="69">
        <f>AUI!F57</f>
        <v>0</v>
      </c>
      <c r="G63" s="69">
        <f>AUI!G57</f>
        <v>0</v>
      </c>
      <c r="H63" s="69">
        <f>AUI!H57</f>
        <v>1</v>
      </c>
      <c r="I63" s="69">
        <f>AUI!I57</f>
        <v>0</v>
      </c>
      <c r="J63" s="69">
        <f>AUI!J57</f>
        <v>1</v>
      </c>
      <c r="K63" s="69">
        <f>AUI!K57</f>
        <v>1</v>
      </c>
      <c r="L63" s="69">
        <f t="shared" si="17"/>
        <v>5</v>
      </c>
      <c r="M63" s="69">
        <f t="shared" si="18"/>
        <v>5</v>
      </c>
      <c r="N63" s="69">
        <f t="shared" si="19"/>
        <v>2</v>
      </c>
      <c r="O63" s="69">
        <f t="shared" si="20"/>
        <v>2</v>
      </c>
      <c r="P63" s="69">
        <f t="shared" si="21"/>
        <v>2</v>
      </c>
      <c r="Q63" s="69">
        <f t="shared" si="22"/>
        <v>2</v>
      </c>
      <c r="R63" s="70">
        <f t="shared" si="23"/>
        <v>0.40546510810816438</v>
      </c>
      <c r="S63" s="70">
        <f t="shared" si="24"/>
        <v>0.40546510810816438</v>
      </c>
      <c r="T63" s="70">
        <f t="shared" si="25"/>
        <v>0.49976440299582248</v>
      </c>
      <c r="U63" s="70">
        <f t="shared" si="26"/>
        <v>0.49976440299582248</v>
      </c>
      <c r="V63" s="70">
        <f t="shared" si="27"/>
        <v>0.91287092917527679</v>
      </c>
      <c r="W63" s="70">
        <f t="shared" si="28"/>
        <v>0.91287092917527679</v>
      </c>
      <c r="X63" s="70">
        <f t="shared" si="29"/>
        <v>0</v>
      </c>
      <c r="Y63" s="70">
        <f t="shared" si="30"/>
        <v>1.2909944487358056</v>
      </c>
      <c r="Z63" s="70">
        <f t="shared" si="31"/>
        <v>0</v>
      </c>
      <c r="AA63" s="69" t="str">
        <f t="shared" si="32"/>
        <v>Negligible</v>
      </c>
      <c r="AB63" s="69" t="str">
        <f t="shared" si="33"/>
        <v>Tidak Ada Indikasi Bias</v>
      </c>
    </row>
    <row r="64" spans="1:28" ht="37.5" customHeight="1" x14ac:dyDescent="0.35">
      <c r="A64" s="95" t="str">
        <f>AUI!A58</f>
        <v>54. Apa yang harus dipertimbangkan saat mengatur waktu dalam pembuatan rencana audit</v>
      </c>
      <c r="B64" s="69">
        <f>AUI!B58</f>
        <v>0</v>
      </c>
      <c r="C64" s="69">
        <f>AUI!C58</f>
        <v>1</v>
      </c>
      <c r="D64" s="69">
        <f>AUI!D58</f>
        <v>0</v>
      </c>
      <c r="E64" s="69">
        <f>AUI!E58</f>
        <v>0</v>
      </c>
      <c r="F64" s="69">
        <f>AUI!F58</f>
        <v>1</v>
      </c>
      <c r="G64" s="69">
        <f>AUI!G58</f>
        <v>0</v>
      </c>
      <c r="H64" s="69">
        <f>AUI!H58</f>
        <v>0</v>
      </c>
      <c r="I64" s="69">
        <f>AUI!I58</f>
        <v>0</v>
      </c>
      <c r="J64" s="69">
        <f>AUI!J58</f>
        <v>0</v>
      </c>
      <c r="K64" s="69">
        <f>AUI!K58</f>
        <v>0</v>
      </c>
      <c r="L64" s="69">
        <f t="shared" si="17"/>
        <v>5</v>
      </c>
      <c r="M64" s="69">
        <f t="shared" si="18"/>
        <v>5</v>
      </c>
      <c r="N64" s="69">
        <f t="shared" si="19"/>
        <v>1</v>
      </c>
      <c r="O64" s="69">
        <f t="shared" si="20"/>
        <v>1</v>
      </c>
      <c r="P64" s="69">
        <f t="shared" si="21"/>
        <v>1</v>
      </c>
      <c r="Q64" s="69">
        <f t="shared" si="22"/>
        <v>1</v>
      </c>
      <c r="R64" s="70">
        <f t="shared" si="23"/>
        <v>1.3862943611198906</v>
      </c>
      <c r="S64" s="70">
        <f t="shared" si="24"/>
        <v>1.3862943611198906</v>
      </c>
      <c r="T64" s="70">
        <f t="shared" si="25"/>
        <v>1.4805936560075486</v>
      </c>
      <c r="U64" s="70">
        <f t="shared" si="26"/>
        <v>1.4805936560075486</v>
      </c>
      <c r="V64" s="70">
        <f t="shared" si="27"/>
        <v>1.1180339887498949</v>
      </c>
      <c r="W64" s="70">
        <f t="shared" si="28"/>
        <v>1.1180339887498949</v>
      </c>
      <c r="X64" s="70">
        <f t="shared" si="29"/>
        <v>0</v>
      </c>
      <c r="Y64" s="70">
        <f t="shared" si="30"/>
        <v>1.5811388300841898</v>
      </c>
      <c r="Z64" s="70">
        <f t="shared" si="31"/>
        <v>0</v>
      </c>
      <c r="AA64" s="69" t="str">
        <f t="shared" si="32"/>
        <v>Negligible</v>
      </c>
      <c r="AB64" s="69" t="str">
        <f t="shared" si="33"/>
        <v>Tidak Ada Indikasi Bias</v>
      </c>
    </row>
    <row r="65" spans="1:28" ht="37.5" customHeight="1" x14ac:dyDescent="0.35">
      <c r="A65" s="95" t="str">
        <f>AUI!A59</f>
        <v>55. Mengapa pengaturan waktu menjadi penting dalam pembuatan rencana audit sesuai ISO 19011</v>
      </c>
      <c r="B65" s="69">
        <f>AUI!B59</f>
        <v>1</v>
      </c>
      <c r="C65" s="69">
        <f>AUI!C59</f>
        <v>1</v>
      </c>
      <c r="D65" s="69">
        <f>AUI!D59</f>
        <v>1</v>
      </c>
      <c r="E65" s="69">
        <f>AUI!E59</f>
        <v>1</v>
      </c>
      <c r="F65" s="69">
        <f>AUI!F59</f>
        <v>1</v>
      </c>
      <c r="G65" s="69">
        <f>AUI!G59</f>
        <v>0</v>
      </c>
      <c r="H65" s="69">
        <f>AUI!H59</f>
        <v>0</v>
      </c>
      <c r="I65" s="69">
        <f>AUI!I59</f>
        <v>1</v>
      </c>
      <c r="J65" s="69">
        <f>AUI!J59</f>
        <v>0</v>
      </c>
      <c r="K65" s="69">
        <f>AUI!K59</f>
        <v>0</v>
      </c>
      <c r="L65" s="69">
        <f t="shared" si="17"/>
        <v>5</v>
      </c>
      <c r="M65" s="69">
        <f t="shared" si="18"/>
        <v>5</v>
      </c>
      <c r="N65" s="69">
        <f t="shared" si="19"/>
        <v>3</v>
      </c>
      <c r="O65" s="69">
        <f t="shared" si="20"/>
        <v>3</v>
      </c>
      <c r="P65" s="69">
        <f t="shared" si="21"/>
        <v>3</v>
      </c>
      <c r="Q65" s="69">
        <f t="shared" si="22"/>
        <v>3</v>
      </c>
      <c r="R65" s="70">
        <f t="shared" si="23"/>
        <v>-0.40546510810816444</v>
      </c>
      <c r="S65" s="70">
        <f t="shared" si="24"/>
        <v>-0.40546510810816444</v>
      </c>
      <c r="T65" s="70">
        <f t="shared" si="25"/>
        <v>-0.3111658132205064</v>
      </c>
      <c r="U65" s="70">
        <f t="shared" si="26"/>
        <v>-0.3111658132205064</v>
      </c>
      <c r="V65" s="70">
        <f t="shared" si="27"/>
        <v>0.91287092917527679</v>
      </c>
      <c r="W65" s="70">
        <f t="shared" si="28"/>
        <v>0.91287092917527679</v>
      </c>
      <c r="X65" s="70">
        <f t="shared" si="29"/>
        <v>0</v>
      </c>
      <c r="Y65" s="70">
        <f t="shared" si="30"/>
        <v>1.2909944487358056</v>
      </c>
      <c r="Z65" s="70">
        <f t="shared" si="31"/>
        <v>0</v>
      </c>
      <c r="AA65" s="69" t="str">
        <f t="shared" si="32"/>
        <v>Negligible</v>
      </c>
      <c r="AB65" s="69" t="str">
        <f t="shared" si="33"/>
        <v>Tidak Ada Indikasi Bias</v>
      </c>
    </row>
    <row r="66" spans="1:28" ht="37.5" customHeight="1" x14ac:dyDescent="0.35">
      <c r="A66" s="95" t="str">
        <f>AUI!A60</f>
        <v>56. Siapa yang bertanggung jawab dalam pembuatan rencana audit</v>
      </c>
      <c r="B66" s="69">
        <f>AUI!B60</f>
        <v>0</v>
      </c>
      <c r="C66" s="69">
        <f>AUI!C60</f>
        <v>0</v>
      </c>
      <c r="D66" s="69">
        <f>AUI!D60</f>
        <v>0</v>
      </c>
      <c r="E66" s="69">
        <f>AUI!E60</f>
        <v>0</v>
      </c>
      <c r="F66" s="69">
        <f>AUI!F60</f>
        <v>1</v>
      </c>
      <c r="G66" s="69">
        <f>AUI!G60</f>
        <v>1</v>
      </c>
      <c r="H66" s="69">
        <f>AUI!H60</f>
        <v>0</v>
      </c>
      <c r="I66" s="69">
        <f>AUI!I60</f>
        <v>1</v>
      </c>
      <c r="J66" s="69">
        <f>AUI!J60</f>
        <v>1</v>
      </c>
      <c r="K66" s="69">
        <f>AUI!K60</f>
        <v>0</v>
      </c>
      <c r="L66" s="69">
        <f t="shared" si="17"/>
        <v>5</v>
      </c>
      <c r="M66" s="69">
        <f t="shared" si="18"/>
        <v>5</v>
      </c>
      <c r="N66" s="69">
        <f t="shared" si="19"/>
        <v>2</v>
      </c>
      <c r="O66" s="69">
        <f t="shared" si="20"/>
        <v>2</v>
      </c>
      <c r="P66" s="69">
        <f t="shared" si="21"/>
        <v>2</v>
      </c>
      <c r="Q66" s="69">
        <f t="shared" si="22"/>
        <v>2</v>
      </c>
      <c r="R66" s="70">
        <f t="shared" si="23"/>
        <v>0.40546510810816438</v>
      </c>
      <c r="S66" s="70">
        <f t="shared" si="24"/>
        <v>0.40546510810816438</v>
      </c>
      <c r="T66" s="70">
        <f t="shared" si="25"/>
        <v>0.49976440299582248</v>
      </c>
      <c r="U66" s="70">
        <f t="shared" si="26"/>
        <v>0.49976440299582248</v>
      </c>
      <c r="V66" s="70">
        <f t="shared" si="27"/>
        <v>0.91287092917527679</v>
      </c>
      <c r="W66" s="70">
        <f t="shared" si="28"/>
        <v>0.91287092917527679</v>
      </c>
      <c r="X66" s="70">
        <f t="shared" si="29"/>
        <v>0</v>
      </c>
      <c r="Y66" s="70">
        <f t="shared" si="30"/>
        <v>1.2909944487358056</v>
      </c>
      <c r="Z66" s="70">
        <f t="shared" si="31"/>
        <v>0</v>
      </c>
      <c r="AA66" s="69" t="str">
        <f t="shared" si="32"/>
        <v>Negligible</v>
      </c>
      <c r="AB66" s="69" t="str">
        <f t="shared" si="33"/>
        <v>Tidak Ada Indikasi Bias</v>
      </c>
    </row>
    <row r="67" spans="1:28" ht="37.5" customHeight="1" x14ac:dyDescent="0.35">
      <c r="A67" s="95" t="str">
        <f>AUI!A61</f>
        <v>57. Apa tujuan utama dari pembuatan checklist audit</v>
      </c>
      <c r="B67" s="69">
        <f>AUI!B61</f>
        <v>1</v>
      </c>
      <c r="C67" s="69">
        <f>AUI!C61</f>
        <v>0</v>
      </c>
      <c r="D67" s="69">
        <f>AUI!D61</f>
        <v>0</v>
      </c>
      <c r="E67" s="69">
        <f>AUI!E61</f>
        <v>1</v>
      </c>
      <c r="F67" s="69">
        <f>AUI!F61</f>
        <v>0</v>
      </c>
      <c r="G67" s="69">
        <f>AUI!G61</f>
        <v>0</v>
      </c>
      <c r="H67" s="69">
        <f>AUI!H61</f>
        <v>0</v>
      </c>
      <c r="I67" s="69">
        <f>AUI!I61</f>
        <v>0</v>
      </c>
      <c r="J67" s="69">
        <f>AUI!J61</f>
        <v>0</v>
      </c>
      <c r="K67" s="69">
        <f>AUI!K61</f>
        <v>0</v>
      </c>
      <c r="L67" s="69">
        <f t="shared" si="17"/>
        <v>5</v>
      </c>
      <c r="M67" s="69">
        <f t="shared" si="18"/>
        <v>5</v>
      </c>
      <c r="N67" s="69">
        <f t="shared" si="19"/>
        <v>1</v>
      </c>
      <c r="O67" s="69">
        <f t="shared" si="20"/>
        <v>1</v>
      </c>
      <c r="P67" s="69">
        <f t="shared" si="21"/>
        <v>1</v>
      </c>
      <c r="Q67" s="69">
        <f t="shared" si="22"/>
        <v>1</v>
      </c>
      <c r="R67" s="70">
        <f t="shared" si="23"/>
        <v>1.3862943611198906</v>
      </c>
      <c r="S67" s="70">
        <f t="shared" si="24"/>
        <v>1.3862943611198906</v>
      </c>
      <c r="T67" s="70">
        <f t="shared" si="25"/>
        <v>1.4805936560075486</v>
      </c>
      <c r="U67" s="70">
        <f t="shared" si="26"/>
        <v>1.4805936560075486</v>
      </c>
      <c r="V67" s="70">
        <f t="shared" si="27"/>
        <v>1.1180339887498949</v>
      </c>
      <c r="W67" s="70">
        <f t="shared" si="28"/>
        <v>1.1180339887498949</v>
      </c>
      <c r="X67" s="70">
        <f t="shared" si="29"/>
        <v>0</v>
      </c>
      <c r="Y67" s="70">
        <f t="shared" si="30"/>
        <v>1.5811388300841898</v>
      </c>
      <c r="Z67" s="70">
        <f t="shared" si="31"/>
        <v>0</v>
      </c>
      <c r="AA67" s="69" t="str">
        <f t="shared" si="32"/>
        <v>Negligible</v>
      </c>
      <c r="AB67" s="69" t="str">
        <f t="shared" si="33"/>
        <v>Tidak Ada Indikasi Bias</v>
      </c>
    </row>
    <row r="68" spans="1:28" ht="26" x14ac:dyDescent="0.35">
      <c r="A68" s="95" t="str">
        <f>AUI!A62</f>
        <v>58. Apa yang seharusnya menjadi dasar dalam pembuatan checklist audit</v>
      </c>
      <c r="B68" s="69">
        <f>AUI!B62</f>
        <v>0</v>
      </c>
      <c r="C68" s="69">
        <f>AUI!C62</f>
        <v>0</v>
      </c>
      <c r="D68" s="69">
        <f>AUI!D62</f>
        <v>0</v>
      </c>
      <c r="E68" s="69">
        <f>AUI!E62</f>
        <v>0</v>
      </c>
      <c r="F68" s="69">
        <f>AUI!F62</f>
        <v>1</v>
      </c>
      <c r="G68" s="69">
        <f>AUI!G62</f>
        <v>1</v>
      </c>
      <c r="H68" s="69">
        <f>AUI!H62</f>
        <v>1</v>
      </c>
      <c r="I68" s="69">
        <f>AUI!I62</f>
        <v>0</v>
      </c>
      <c r="J68" s="69">
        <f>AUI!J62</f>
        <v>0</v>
      </c>
      <c r="K68" s="69">
        <f>AUI!K62</f>
        <v>1</v>
      </c>
      <c r="L68" s="69">
        <f t="shared" si="17"/>
        <v>5</v>
      </c>
      <c r="M68" s="69">
        <f t="shared" si="18"/>
        <v>5</v>
      </c>
      <c r="N68" s="69">
        <f t="shared" si="19"/>
        <v>2</v>
      </c>
      <c r="O68" s="69">
        <f t="shared" si="20"/>
        <v>2</v>
      </c>
      <c r="P68" s="69">
        <f t="shared" si="21"/>
        <v>2</v>
      </c>
      <c r="Q68" s="69">
        <f t="shared" si="22"/>
        <v>2</v>
      </c>
      <c r="R68" s="70">
        <f t="shared" si="23"/>
        <v>0.40546510810816438</v>
      </c>
      <c r="S68" s="70">
        <f t="shared" si="24"/>
        <v>0.40546510810816438</v>
      </c>
      <c r="T68" s="70">
        <f t="shared" si="25"/>
        <v>0.49976440299582248</v>
      </c>
      <c r="U68" s="70">
        <f t="shared" si="26"/>
        <v>0.49976440299582248</v>
      </c>
      <c r="V68" s="70">
        <f t="shared" si="27"/>
        <v>0.91287092917527679</v>
      </c>
      <c r="W68" s="70">
        <f t="shared" si="28"/>
        <v>0.91287092917527679</v>
      </c>
      <c r="X68" s="70">
        <f t="shared" si="29"/>
        <v>0</v>
      </c>
      <c r="Y68" s="70">
        <f t="shared" si="30"/>
        <v>1.2909944487358056</v>
      </c>
      <c r="Z68" s="70">
        <f t="shared" si="31"/>
        <v>0</v>
      </c>
      <c r="AA68" s="69" t="str">
        <f t="shared" si="32"/>
        <v>Negligible</v>
      </c>
      <c r="AB68" s="69" t="str">
        <f t="shared" si="33"/>
        <v>Tidak Ada Indikasi Bias</v>
      </c>
    </row>
    <row r="69" spans="1:28" ht="38.5" x14ac:dyDescent="0.35">
      <c r="A69" s="95" t="str">
        <f>AUI!A63</f>
        <v>59. Mengapa penting untuk memastikan bahwa checklist audit mencakup semua aspek yang relevan</v>
      </c>
      <c r="B69" s="69">
        <f>AUI!B63</f>
        <v>0</v>
      </c>
      <c r="C69" s="69">
        <f>AUI!C63</f>
        <v>1</v>
      </c>
      <c r="D69" s="69">
        <f>AUI!D63</f>
        <v>1</v>
      </c>
      <c r="E69" s="69">
        <f>AUI!E63</f>
        <v>1</v>
      </c>
      <c r="F69" s="69">
        <f>AUI!F63</f>
        <v>1</v>
      </c>
      <c r="G69" s="69">
        <f>AUI!G63</f>
        <v>1</v>
      </c>
      <c r="H69" s="69">
        <f>AUI!H63</f>
        <v>1</v>
      </c>
      <c r="I69" s="69">
        <f>AUI!I63</f>
        <v>0</v>
      </c>
      <c r="J69" s="69">
        <f>AUI!J63</f>
        <v>0</v>
      </c>
      <c r="K69" s="69">
        <f>AUI!K63</f>
        <v>0</v>
      </c>
      <c r="L69" s="69">
        <f t="shared" si="17"/>
        <v>5</v>
      </c>
      <c r="M69" s="69">
        <f t="shared" si="18"/>
        <v>5</v>
      </c>
      <c r="N69" s="69">
        <f t="shared" si="19"/>
        <v>3</v>
      </c>
      <c r="O69" s="69">
        <f t="shared" si="20"/>
        <v>3</v>
      </c>
      <c r="P69" s="69">
        <f t="shared" si="21"/>
        <v>3</v>
      </c>
      <c r="Q69" s="69">
        <f t="shared" si="22"/>
        <v>3</v>
      </c>
      <c r="R69" s="70">
        <f t="shared" si="23"/>
        <v>-0.40546510810816444</v>
      </c>
      <c r="S69" s="70">
        <f t="shared" si="24"/>
        <v>-0.40546510810816444</v>
      </c>
      <c r="T69" s="70">
        <f t="shared" si="25"/>
        <v>-0.3111658132205064</v>
      </c>
      <c r="U69" s="70">
        <f t="shared" si="26"/>
        <v>-0.3111658132205064</v>
      </c>
      <c r="V69" s="70">
        <f t="shared" si="27"/>
        <v>0.91287092917527679</v>
      </c>
      <c r="W69" s="70">
        <f t="shared" si="28"/>
        <v>0.91287092917527679</v>
      </c>
      <c r="X69" s="70">
        <f t="shared" si="29"/>
        <v>0</v>
      </c>
      <c r="Y69" s="70">
        <f t="shared" si="30"/>
        <v>1.2909944487358056</v>
      </c>
      <c r="Z69" s="70">
        <f t="shared" si="31"/>
        <v>0</v>
      </c>
      <c r="AA69" s="69" t="str">
        <f t="shared" si="32"/>
        <v>Negligible</v>
      </c>
      <c r="AB69" s="69" t="str">
        <f t="shared" si="33"/>
        <v>Tidak Ada Indikasi Bias</v>
      </c>
    </row>
    <row r="70" spans="1:28" ht="26" x14ac:dyDescent="0.35">
      <c r="A70" s="95" t="str">
        <f>AUI!A64</f>
        <v>60. Siapa yang biasanya bertanggung jawab untuk menyusun checklist audit</v>
      </c>
      <c r="B70" s="69">
        <f>AUI!B64</f>
        <v>1</v>
      </c>
      <c r="C70" s="69">
        <f>AUI!C64</f>
        <v>1</v>
      </c>
      <c r="D70" s="69">
        <f>AUI!D64</f>
        <v>1</v>
      </c>
      <c r="E70" s="69">
        <f>AUI!E64</f>
        <v>1</v>
      </c>
      <c r="F70" s="69">
        <f>AUI!F64</f>
        <v>1</v>
      </c>
      <c r="G70" s="69">
        <f>AUI!G64</f>
        <v>0</v>
      </c>
      <c r="H70" s="69">
        <f>AUI!H64</f>
        <v>0</v>
      </c>
      <c r="I70" s="69">
        <f>AUI!I64</f>
        <v>1</v>
      </c>
      <c r="J70" s="69">
        <f>AUI!J64</f>
        <v>0</v>
      </c>
      <c r="K70" s="69">
        <f>AUI!K64</f>
        <v>0</v>
      </c>
      <c r="L70" s="69">
        <f t="shared" si="17"/>
        <v>5</v>
      </c>
      <c r="M70" s="69">
        <f t="shared" si="18"/>
        <v>5</v>
      </c>
      <c r="N70" s="69">
        <f t="shared" si="19"/>
        <v>3</v>
      </c>
      <c r="O70" s="69">
        <f t="shared" si="20"/>
        <v>3</v>
      </c>
      <c r="P70" s="69">
        <f t="shared" si="21"/>
        <v>3</v>
      </c>
      <c r="Q70" s="69">
        <f t="shared" si="22"/>
        <v>3</v>
      </c>
      <c r="R70" s="70">
        <f t="shared" si="23"/>
        <v>-0.40546510810816444</v>
      </c>
      <c r="S70" s="70">
        <f t="shared" si="24"/>
        <v>-0.40546510810816444</v>
      </c>
      <c r="T70" s="70">
        <f t="shared" si="25"/>
        <v>-0.3111658132205064</v>
      </c>
      <c r="U70" s="70">
        <f t="shared" si="26"/>
        <v>-0.3111658132205064</v>
      </c>
      <c r="V70" s="70">
        <f t="shared" si="27"/>
        <v>0.91287092917527679</v>
      </c>
      <c r="W70" s="70">
        <f t="shared" si="28"/>
        <v>0.91287092917527679</v>
      </c>
      <c r="X70" s="70">
        <f t="shared" si="29"/>
        <v>0</v>
      </c>
      <c r="Y70" s="70">
        <f t="shared" si="30"/>
        <v>1.2909944487358056</v>
      </c>
      <c r="Z70" s="70">
        <f t="shared" si="31"/>
        <v>0</v>
      </c>
      <c r="AA70" s="69" t="str">
        <f t="shared" si="32"/>
        <v>Negligible</v>
      </c>
      <c r="AB70" s="69" t="str">
        <f t="shared" si="33"/>
        <v>Tidak Ada Indikasi Bias</v>
      </c>
    </row>
    <row r="71" spans="1:28" ht="51" x14ac:dyDescent="0.35">
      <c r="A71" s="95" t="str">
        <f>AUI!A65</f>
        <v>61. Apa yang harus dilakukan jika ada perubahan dalam persyaratan audit atau kebutuhan organisasi setelah pembuatan checklist audit</v>
      </c>
      <c r="B71" s="69">
        <f>AUI!B65</f>
        <v>1</v>
      </c>
      <c r="C71" s="69">
        <f>AUI!C65</f>
        <v>1</v>
      </c>
      <c r="D71" s="69">
        <f>AUI!D65</f>
        <v>0</v>
      </c>
      <c r="E71" s="69">
        <f>AUI!E65</f>
        <v>1</v>
      </c>
      <c r="F71" s="69">
        <f>AUI!F65</f>
        <v>1</v>
      </c>
      <c r="G71" s="69">
        <f>AUI!G65</f>
        <v>1</v>
      </c>
      <c r="H71" s="69">
        <f>AUI!H65</f>
        <v>0</v>
      </c>
      <c r="I71" s="69">
        <f>AUI!I65</f>
        <v>0</v>
      </c>
      <c r="J71" s="69">
        <f>AUI!J65</f>
        <v>0</v>
      </c>
      <c r="K71" s="69">
        <f>AUI!K65</f>
        <v>1</v>
      </c>
      <c r="L71" s="69">
        <f t="shared" si="17"/>
        <v>5</v>
      </c>
      <c r="M71" s="69">
        <f t="shared" si="18"/>
        <v>5</v>
      </c>
      <c r="N71" s="69">
        <f t="shared" si="19"/>
        <v>3</v>
      </c>
      <c r="O71" s="69">
        <f t="shared" si="20"/>
        <v>3</v>
      </c>
      <c r="P71" s="69">
        <f t="shared" si="21"/>
        <v>3</v>
      </c>
      <c r="Q71" s="69">
        <f t="shared" si="22"/>
        <v>3</v>
      </c>
      <c r="R71" s="70">
        <f t="shared" si="23"/>
        <v>-0.40546510810816444</v>
      </c>
      <c r="S71" s="70">
        <f t="shared" si="24"/>
        <v>-0.40546510810816444</v>
      </c>
      <c r="T71" s="70">
        <f t="shared" si="25"/>
        <v>-0.3111658132205064</v>
      </c>
      <c r="U71" s="70">
        <f t="shared" si="26"/>
        <v>-0.3111658132205064</v>
      </c>
      <c r="V71" s="70">
        <f t="shared" si="27"/>
        <v>0.91287092917527679</v>
      </c>
      <c r="W71" s="70">
        <f t="shared" si="28"/>
        <v>0.91287092917527679</v>
      </c>
      <c r="X71" s="70">
        <f t="shared" si="29"/>
        <v>0</v>
      </c>
      <c r="Y71" s="70">
        <f t="shared" si="30"/>
        <v>1.2909944487358056</v>
      </c>
      <c r="Z71" s="70">
        <f t="shared" si="31"/>
        <v>0</v>
      </c>
      <c r="AA71" s="69" t="str">
        <f t="shared" si="32"/>
        <v>Negligible</v>
      </c>
      <c r="AB71" s="69" t="str">
        <f t="shared" si="33"/>
        <v>Tidak Ada Indikasi Bias</v>
      </c>
    </row>
    <row r="72" spans="1:28" ht="26" x14ac:dyDescent="0.35">
      <c r="A72" s="95" t="str">
        <f>AUI!A66</f>
        <v>62. Rapat pembukaan dalam pelaksanaan audit</v>
      </c>
      <c r="B72" s="69">
        <f>AUI!B66</f>
        <v>0</v>
      </c>
      <c r="C72" s="69">
        <f>AUI!C66</f>
        <v>0</v>
      </c>
      <c r="D72" s="69">
        <f>AUI!D66</f>
        <v>1</v>
      </c>
      <c r="E72" s="69">
        <f>AUI!E66</f>
        <v>1</v>
      </c>
      <c r="F72" s="69">
        <f>AUI!F66</f>
        <v>0</v>
      </c>
      <c r="G72" s="69">
        <f>AUI!G66</f>
        <v>1</v>
      </c>
      <c r="H72" s="69">
        <f>AUI!H66</f>
        <v>1</v>
      </c>
      <c r="I72" s="69">
        <f>AUI!I66</f>
        <v>1</v>
      </c>
      <c r="J72" s="69">
        <f>AUI!J66</f>
        <v>1</v>
      </c>
      <c r="K72" s="69">
        <f>AUI!K66</f>
        <v>0</v>
      </c>
      <c r="L72" s="69">
        <f t="shared" si="17"/>
        <v>5</v>
      </c>
      <c r="M72" s="69">
        <f t="shared" si="18"/>
        <v>5</v>
      </c>
      <c r="N72" s="69">
        <f t="shared" si="19"/>
        <v>3</v>
      </c>
      <c r="O72" s="69">
        <f t="shared" si="20"/>
        <v>3</v>
      </c>
      <c r="P72" s="69">
        <f t="shared" si="21"/>
        <v>3</v>
      </c>
      <c r="Q72" s="69">
        <f t="shared" si="22"/>
        <v>3</v>
      </c>
      <c r="R72" s="70">
        <f t="shared" si="23"/>
        <v>-0.40546510810816444</v>
      </c>
      <c r="S72" s="70">
        <f t="shared" si="24"/>
        <v>-0.40546510810816444</v>
      </c>
      <c r="T72" s="70">
        <f t="shared" si="25"/>
        <v>-0.3111658132205064</v>
      </c>
      <c r="U72" s="70">
        <f t="shared" si="26"/>
        <v>-0.3111658132205064</v>
      </c>
      <c r="V72" s="70">
        <f t="shared" si="27"/>
        <v>0.91287092917527679</v>
      </c>
      <c r="W72" s="70">
        <f t="shared" si="28"/>
        <v>0.91287092917527679</v>
      </c>
      <c r="X72" s="70">
        <f t="shared" si="29"/>
        <v>0</v>
      </c>
      <c r="Y72" s="70">
        <f t="shared" si="30"/>
        <v>1.2909944487358056</v>
      </c>
      <c r="Z72" s="70">
        <f t="shared" si="31"/>
        <v>0</v>
      </c>
      <c r="AA72" s="69" t="str">
        <f t="shared" si="32"/>
        <v>Negligible</v>
      </c>
      <c r="AB72" s="69" t="str">
        <f t="shared" si="33"/>
        <v>Tidak Ada Indikasi Bias</v>
      </c>
    </row>
    <row r="73" spans="1:28" ht="26" x14ac:dyDescent="0.35">
      <c r="A73" s="95" t="str">
        <f>AUI!A67</f>
        <v>63. Siapa yang biasanya menjadi pembicara utama dalam rapat pembukaan</v>
      </c>
      <c r="B73" s="69">
        <f>AUI!B67</f>
        <v>0</v>
      </c>
      <c r="C73" s="69">
        <f>AUI!C67</f>
        <v>1</v>
      </c>
      <c r="D73" s="69">
        <f>AUI!D67</f>
        <v>0</v>
      </c>
      <c r="E73" s="69">
        <f>AUI!E67</f>
        <v>0</v>
      </c>
      <c r="F73" s="69">
        <f>AUI!F67</f>
        <v>0</v>
      </c>
      <c r="G73" s="69">
        <f>AUI!G67</f>
        <v>0</v>
      </c>
      <c r="H73" s="69">
        <f>AUI!H67</f>
        <v>0</v>
      </c>
      <c r="I73" s="69">
        <f>AUI!I67</f>
        <v>1</v>
      </c>
      <c r="J73" s="69">
        <f>AUI!J67</f>
        <v>1</v>
      </c>
      <c r="K73" s="69">
        <f>AUI!K67</f>
        <v>1</v>
      </c>
      <c r="L73" s="69">
        <f t="shared" si="17"/>
        <v>5</v>
      </c>
      <c r="M73" s="69">
        <f t="shared" si="18"/>
        <v>5</v>
      </c>
      <c r="N73" s="69">
        <f t="shared" si="19"/>
        <v>2</v>
      </c>
      <c r="O73" s="69">
        <f t="shared" si="20"/>
        <v>2</v>
      </c>
      <c r="P73" s="69">
        <f t="shared" si="21"/>
        <v>2</v>
      </c>
      <c r="Q73" s="69">
        <f t="shared" si="22"/>
        <v>2</v>
      </c>
      <c r="R73" s="70">
        <f t="shared" si="23"/>
        <v>0.40546510810816438</v>
      </c>
      <c r="S73" s="70">
        <f t="shared" si="24"/>
        <v>0.40546510810816438</v>
      </c>
      <c r="T73" s="70">
        <f t="shared" si="25"/>
        <v>0.49976440299582248</v>
      </c>
      <c r="U73" s="70">
        <f t="shared" si="26"/>
        <v>0.49976440299582248</v>
      </c>
      <c r="V73" s="70">
        <f t="shared" si="27"/>
        <v>0.91287092917527679</v>
      </c>
      <c r="W73" s="70">
        <f t="shared" si="28"/>
        <v>0.91287092917527679</v>
      </c>
      <c r="X73" s="70">
        <f t="shared" si="29"/>
        <v>0</v>
      </c>
      <c r="Y73" s="70">
        <f t="shared" si="30"/>
        <v>1.2909944487358056</v>
      </c>
      <c r="Z73" s="70">
        <f t="shared" si="31"/>
        <v>0</v>
      </c>
      <c r="AA73" s="69" t="str">
        <f t="shared" si="32"/>
        <v>Negligible</v>
      </c>
      <c r="AB73" s="69" t="str">
        <f t="shared" si="33"/>
        <v>Tidak Ada Indikasi Bias</v>
      </c>
    </row>
    <row r="74" spans="1:28" ht="26" x14ac:dyDescent="0.35">
      <c r="A74" s="95" t="str">
        <f>AUI!A68</f>
        <v>64. Apa yang harus dibahas dalam rapat pembukaan</v>
      </c>
      <c r="B74" s="69">
        <f>AUI!B68</f>
        <v>1</v>
      </c>
      <c r="C74" s="69">
        <f>AUI!C68</f>
        <v>0</v>
      </c>
      <c r="D74" s="69">
        <f>AUI!D68</f>
        <v>1</v>
      </c>
      <c r="E74" s="69">
        <f>AUI!E68</f>
        <v>0</v>
      </c>
      <c r="F74" s="69">
        <f>AUI!F68</f>
        <v>1</v>
      </c>
      <c r="G74" s="69">
        <f>AUI!G68</f>
        <v>1</v>
      </c>
      <c r="H74" s="69">
        <f>AUI!H68</f>
        <v>1</v>
      </c>
      <c r="I74" s="69">
        <f>AUI!I68</f>
        <v>1</v>
      </c>
      <c r="J74" s="69">
        <f>AUI!J68</f>
        <v>1</v>
      </c>
      <c r="K74" s="69">
        <f>AUI!K68</f>
        <v>1</v>
      </c>
      <c r="L74" s="69">
        <f t="shared" si="17"/>
        <v>5</v>
      </c>
      <c r="M74" s="69">
        <f t="shared" si="18"/>
        <v>5</v>
      </c>
      <c r="N74" s="69">
        <f t="shared" si="19"/>
        <v>4</v>
      </c>
      <c r="O74" s="69">
        <f t="shared" si="20"/>
        <v>4</v>
      </c>
      <c r="P74" s="69">
        <f t="shared" si="21"/>
        <v>4</v>
      </c>
      <c r="Q74" s="69">
        <f t="shared" si="22"/>
        <v>4</v>
      </c>
      <c r="R74" s="70">
        <f t="shared" si="23"/>
        <v>-1.3862943611198906</v>
      </c>
      <c r="S74" s="70">
        <f t="shared" si="24"/>
        <v>-1.3862943611198906</v>
      </c>
      <c r="T74" s="70">
        <f t="shared" si="25"/>
        <v>-1.2919950662322326</v>
      </c>
      <c r="U74" s="70">
        <f t="shared" si="26"/>
        <v>-1.2919950662322326</v>
      </c>
      <c r="V74" s="70">
        <f t="shared" si="27"/>
        <v>1.1180339887498949</v>
      </c>
      <c r="W74" s="70">
        <f t="shared" si="28"/>
        <v>1.1180339887498949</v>
      </c>
      <c r="X74" s="70">
        <f t="shared" si="29"/>
        <v>0</v>
      </c>
      <c r="Y74" s="70">
        <f t="shared" si="30"/>
        <v>1.5811388300841898</v>
      </c>
      <c r="Z74" s="70">
        <f t="shared" si="31"/>
        <v>0</v>
      </c>
      <c r="AA74" s="69" t="str">
        <f t="shared" si="32"/>
        <v>Negligible</v>
      </c>
      <c r="AB74" s="69" t="str">
        <f t="shared" si="33"/>
        <v>Tidak Ada Indikasi Bias</v>
      </c>
    </row>
    <row r="75" spans="1:28" ht="26" x14ac:dyDescent="0.35">
      <c r="A75" s="95" t="str">
        <f>AUI!A69</f>
        <v>65. Mengapa penting untuk mengadakan rapat pembukaan sebelum memulai audit</v>
      </c>
      <c r="B75" s="69">
        <f>AUI!B69</f>
        <v>0</v>
      </c>
      <c r="C75" s="69">
        <f>AUI!C69</f>
        <v>0</v>
      </c>
      <c r="D75" s="69">
        <f>AUI!D69</f>
        <v>0</v>
      </c>
      <c r="E75" s="69">
        <f>AUI!E69</f>
        <v>1</v>
      </c>
      <c r="F75" s="69">
        <f>AUI!F69</f>
        <v>0</v>
      </c>
      <c r="G75" s="69">
        <f>AUI!G69</f>
        <v>1</v>
      </c>
      <c r="H75" s="69">
        <f>AUI!H69</f>
        <v>1</v>
      </c>
      <c r="I75" s="69">
        <f>AUI!I69</f>
        <v>0</v>
      </c>
      <c r="J75" s="69">
        <f>AUI!J69</f>
        <v>0</v>
      </c>
      <c r="K75" s="69">
        <f>AUI!K69</f>
        <v>1</v>
      </c>
      <c r="L75" s="69">
        <f t="shared" ref="L75:L110" si="34">COUNTIF($B$8:$K$8,"Laki-Laki")</f>
        <v>5</v>
      </c>
      <c r="M75" s="69">
        <f t="shared" ref="M75:M110" si="35">COUNTIF($B$8:$K$8,"Perempuan")</f>
        <v>5</v>
      </c>
      <c r="N75" s="69">
        <f t="shared" ref="N75:N110" si="36">SUMIF($B$8:$K$8,"Laki-Laki",B75:K75)</f>
        <v>2</v>
      </c>
      <c r="O75" s="69">
        <f t="shared" ref="O75:O110" si="37">SUMIF($B$8:$K$8,"Perempuan",B75:K75)</f>
        <v>2</v>
      </c>
      <c r="P75" s="69">
        <f t="shared" ref="P75:P110" si="38">IF(N75=0,0.3,IF(N75=L75,L75-0.3,N75))</f>
        <v>2</v>
      </c>
      <c r="Q75" s="69">
        <f t="shared" ref="Q75:Q110" si="39">IF(O75=0,0.3,IF(O75=M75,M75-0.3,O75))</f>
        <v>2</v>
      </c>
      <c r="R75" s="70">
        <f t="shared" ref="R75:R110" si="40">LN((L75-P75)/P75)</f>
        <v>0.40546510810816438</v>
      </c>
      <c r="S75" s="70">
        <f t="shared" ref="S75:S110" si="41">LN((M75-Q75)/Q75)</f>
        <v>0.40546510810816438</v>
      </c>
      <c r="T75" s="70">
        <f t="shared" ref="T75:T110" si="42">R75-AVERAGE($R$11:$R$110)</f>
        <v>0.49976440299582248</v>
      </c>
      <c r="U75" s="70">
        <f t="shared" ref="U75:U110" si="43">S75-AVERAGE($S$11:$S$110)</f>
        <v>0.49976440299582248</v>
      </c>
      <c r="V75" s="70">
        <f t="shared" ref="V75:V110" si="44">SQRT(1/P75+1/(L75-P75))</f>
        <v>0.91287092917527679</v>
      </c>
      <c r="W75" s="70">
        <f t="shared" ref="W75:W110" si="45">SQRT(1/Q75+1/(M75-Q75))</f>
        <v>0.91287092917527679</v>
      </c>
      <c r="X75" s="70">
        <f t="shared" ref="X75:X110" si="46">T75-U75</f>
        <v>0</v>
      </c>
      <c r="Y75" s="70">
        <f t="shared" ref="Y75:Y110" si="47">SQRT(V75^2+W75^2)</f>
        <v>1.2909944487358056</v>
      </c>
      <c r="Z75" s="70">
        <f t="shared" ref="Z75:Z106" si="48">X75/Y75</f>
        <v>0</v>
      </c>
      <c r="AA75" s="69" t="str">
        <f t="shared" ref="AA75:AA106" si="49">IF(AND(ABS(X75)&gt;=$B$4,ABS(Z75)&gt;=$B$5),"DIF Besar - review",IF(AND(ABS(X75)&gt;=$B$3,ABS(Z75)&gt;=$B$5),"DIF Moderat - cek","Negligible"))</f>
        <v>Negligible</v>
      </c>
      <c r="AB75" s="69" t="str">
        <f t="shared" ref="AB75:AB110" si="50">IF(ABS(X75)&gt;=$B$4,"Berpotensi Bias - Tinjau Konten",IF(ABS(X75)&gt;=$B$3,"Indikasi Ringan - Pantau","Tidak Ada Indikasi Bias"))</f>
        <v>Tidak Ada Indikasi Bias</v>
      </c>
    </row>
    <row r="76" spans="1:28" ht="26" x14ac:dyDescent="0.35">
      <c r="A76" s="95" t="str">
        <f>AUI!A70</f>
        <v>66. Apa yang harus dilakukan jika auditee tidak dapat menghadiri rapat pembukaan</v>
      </c>
      <c r="B76" s="69">
        <f>AUI!B70</f>
        <v>0</v>
      </c>
      <c r="C76" s="69">
        <f>AUI!C70</f>
        <v>1</v>
      </c>
      <c r="D76" s="69">
        <f>AUI!D70</f>
        <v>1</v>
      </c>
      <c r="E76" s="69">
        <f>AUI!E70</f>
        <v>0</v>
      </c>
      <c r="F76" s="69">
        <f>AUI!F70</f>
        <v>1</v>
      </c>
      <c r="G76" s="69">
        <f>AUI!G70</f>
        <v>1</v>
      </c>
      <c r="H76" s="69">
        <f>AUI!H70</f>
        <v>0</v>
      </c>
      <c r="I76" s="69">
        <f>AUI!I70</f>
        <v>0</v>
      </c>
      <c r="J76" s="69">
        <f>AUI!J70</f>
        <v>0</v>
      </c>
      <c r="K76" s="69">
        <f>AUI!K70</f>
        <v>0</v>
      </c>
      <c r="L76" s="69">
        <f t="shared" si="34"/>
        <v>5</v>
      </c>
      <c r="M76" s="69">
        <f t="shared" si="35"/>
        <v>5</v>
      </c>
      <c r="N76" s="69">
        <f t="shared" si="36"/>
        <v>2</v>
      </c>
      <c r="O76" s="69">
        <f t="shared" si="37"/>
        <v>2</v>
      </c>
      <c r="P76" s="69">
        <f t="shared" si="38"/>
        <v>2</v>
      </c>
      <c r="Q76" s="69">
        <f t="shared" si="39"/>
        <v>2</v>
      </c>
      <c r="R76" s="70">
        <f t="shared" si="40"/>
        <v>0.40546510810816438</v>
      </c>
      <c r="S76" s="70">
        <f t="shared" si="41"/>
        <v>0.40546510810816438</v>
      </c>
      <c r="T76" s="70">
        <f t="shared" si="42"/>
        <v>0.49976440299582248</v>
      </c>
      <c r="U76" s="70">
        <f t="shared" si="43"/>
        <v>0.49976440299582248</v>
      </c>
      <c r="V76" s="70">
        <f t="shared" si="44"/>
        <v>0.91287092917527679</v>
      </c>
      <c r="W76" s="70">
        <f t="shared" si="45"/>
        <v>0.91287092917527679</v>
      </c>
      <c r="X76" s="70">
        <f t="shared" si="46"/>
        <v>0</v>
      </c>
      <c r="Y76" s="70">
        <f t="shared" si="47"/>
        <v>1.2909944487358056</v>
      </c>
      <c r="Z76" s="70">
        <f t="shared" si="48"/>
        <v>0</v>
      </c>
      <c r="AA76" s="69" t="str">
        <f t="shared" si="49"/>
        <v>Negligible</v>
      </c>
      <c r="AB76" s="69" t="str">
        <f t="shared" si="50"/>
        <v>Tidak Ada Indikasi Bias</v>
      </c>
    </row>
    <row r="77" spans="1:28" ht="26" x14ac:dyDescent="0.35">
      <c r="A77" s="95" t="str">
        <f>AUI!A71</f>
        <v>67. Formulir yang TIDAK disiapkan auditor saat pelaksanaan audit</v>
      </c>
      <c r="B77" s="69">
        <f>AUI!B71</f>
        <v>1</v>
      </c>
      <c r="C77" s="69">
        <f>AUI!C71</f>
        <v>0</v>
      </c>
      <c r="D77" s="69">
        <f>AUI!D71</f>
        <v>0</v>
      </c>
      <c r="E77" s="69">
        <f>AUI!E71</f>
        <v>0</v>
      </c>
      <c r="F77" s="69">
        <f>AUI!F71</f>
        <v>0</v>
      </c>
      <c r="G77" s="69">
        <f>AUI!G71</f>
        <v>0</v>
      </c>
      <c r="H77" s="69">
        <f>AUI!H71</f>
        <v>0</v>
      </c>
      <c r="I77" s="69">
        <f>AUI!I71</f>
        <v>1</v>
      </c>
      <c r="J77" s="69">
        <f>AUI!J71</f>
        <v>1</v>
      </c>
      <c r="K77" s="69">
        <f>AUI!K71</f>
        <v>1</v>
      </c>
      <c r="L77" s="69">
        <f t="shared" si="34"/>
        <v>5</v>
      </c>
      <c r="M77" s="69">
        <f t="shared" si="35"/>
        <v>5</v>
      </c>
      <c r="N77" s="69">
        <f t="shared" si="36"/>
        <v>2</v>
      </c>
      <c r="O77" s="69">
        <f t="shared" si="37"/>
        <v>2</v>
      </c>
      <c r="P77" s="69">
        <f t="shared" si="38"/>
        <v>2</v>
      </c>
      <c r="Q77" s="69">
        <f t="shared" si="39"/>
        <v>2</v>
      </c>
      <c r="R77" s="70">
        <f t="shared" si="40"/>
        <v>0.40546510810816438</v>
      </c>
      <c r="S77" s="70">
        <f t="shared" si="41"/>
        <v>0.40546510810816438</v>
      </c>
      <c r="T77" s="70">
        <f t="shared" si="42"/>
        <v>0.49976440299582248</v>
      </c>
      <c r="U77" s="70">
        <f t="shared" si="43"/>
        <v>0.49976440299582248</v>
      </c>
      <c r="V77" s="70">
        <f t="shared" si="44"/>
        <v>0.91287092917527679</v>
      </c>
      <c r="W77" s="70">
        <f t="shared" si="45"/>
        <v>0.91287092917527679</v>
      </c>
      <c r="X77" s="70">
        <f t="shared" si="46"/>
        <v>0</v>
      </c>
      <c r="Y77" s="70">
        <f t="shared" si="47"/>
        <v>1.2909944487358056</v>
      </c>
      <c r="Z77" s="70">
        <f t="shared" si="48"/>
        <v>0</v>
      </c>
      <c r="AA77" s="69" t="str">
        <f t="shared" si="49"/>
        <v>Negligible</v>
      </c>
      <c r="AB77" s="69" t="str">
        <f t="shared" si="50"/>
        <v>Tidak Ada Indikasi Bias</v>
      </c>
    </row>
    <row r="78" spans="1:28" ht="26" x14ac:dyDescent="0.35">
      <c r="A78" s="95" t="str">
        <f>AUI!A72</f>
        <v>68. Metode pengumpulan informasi saat pelaksanaan Audit adalah ... kecuali</v>
      </c>
      <c r="B78" s="69">
        <f>AUI!B72</f>
        <v>0</v>
      </c>
      <c r="C78" s="69">
        <f>AUI!C72</f>
        <v>0</v>
      </c>
      <c r="D78" s="69">
        <f>AUI!D72</f>
        <v>1</v>
      </c>
      <c r="E78" s="69">
        <f>AUI!E72</f>
        <v>0</v>
      </c>
      <c r="F78" s="69">
        <f>AUI!F72</f>
        <v>0</v>
      </c>
      <c r="G78" s="69">
        <f>AUI!G72</f>
        <v>1</v>
      </c>
      <c r="H78" s="69">
        <f>AUI!H72</f>
        <v>1</v>
      </c>
      <c r="I78" s="69">
        <f>AUI!I72</f>
        <v>1</v>
      </c>
      <c r="J78" s="69">
        <f>AUI!J72</f>
        <v>1</v>
      </c>
      <c r="K78" s="69">
        <f>AUI!K72</f>
        <v>1</v>
      </c>
      <c r="L78" s="69">
        <f t="shared" si="34"/>
        <v>5</v>
      </c>
      <c r="M78" s="69">
        <f t="shared" si="35"/>
        <v>5</v>
      </c>
      <c r="N78" s="69">
        <f t="shared" si="36"/>
        <v>3</v>
      </c>
      <c r="O78" s="69">
        <f t="shared" si="37"/>
        <v>3</v>
      </c>
      <c r="P78" s="69">
        <f t="shared" si="38"/>
        <v>3</v>
      </c>
      <c r="Q78" s="69">
        <f t="shared" si="39"/>
        <v>3</v>
      </c>
      <c r="R78" s="70">
        <f t="shared" si="40"/>
        <v>-0.40546510810816444</v>
      </c>
      <c r="S78" s="70">
        <f t="shared" si="41"/>
        <v>-0.40546510810816444</v>
      </c>
      <c r="T78" s="70">
        <f t="shared" si="42"/>
        <v>-0.3111658132205064</v>
      </c>
      <c r="U78" s="70">
        <f t="shared" si="43"/>
        <v>-0.3111658132205064</v>
      </c>
      <c r="V78" s="70">
        <f t="shared" si="44"/>
        <v>0.91287092917527679</v>
      </c>
      <c r="W78" s="70">
        <f t="shared" si="45"/>
        <v>0.91287092917527679</v>
      </c>
      <c r="X78" s="70">
        <f t="shared" si="46"/>
        <v>0</v>
      </c>
      <c r="Y78" s="70">
        <f t="shared" si="47"/>
        <v>1.2909944487358056</v>
      </c>
      <c r="Z78" s="70">
        <f t="shared" si="48"/>
        <v>0</v>
      </c>
      <c r="AA78" s="69" t="str">
        <f t="shared" si="49"/>
        <v>Negligible</v>
      </c>
      <c r="AB78" s="69" t="str">
        <f t="shared" si="50"/>
        <v>Tidak Ada Indikasi Bias</v>
      </c>
    </row>
    <row r="79" spans="1:28" ht="26" x14ac:dyDescent="0.35">
      <c r="A79" s="95" t="str">
        <f>AUI!A73</f>
        <v>69. yang TIDAK boleh dilakukan Audior saat mengajukan pertanyaan</v>
      </c>
      <c r="B79" s="69">
        <f>AUI!B73</f>
        <v>1</v>
      </c>
      <c r="C79" s="69">
        <f>AUI!C73</f>
        <v>1</v>
      </c>
      <c r="D79" s="69">
        <f>AUI!D73</f>
        <v>1</v>
      </c>
      <c r="E79" s="69">
        <f>AUI!E73</f>
        <v>1</v>
      </c>
      <c r="F79" s="69">
        <f>AUI!F73</f>
        <v>1</v>
      </c>
      <c r="G79" s="69">
        <f>AUI!G73</f>
        <v>1</v>
      </c>
      <c r="H79" s="69">
        <f>AUI!H73</f>
        <v>0</v>
      </c>
      <c r="I79" s="69">
        <f>AUI!I73</f>
        <v>0</v>
      </c>
      <c r="J79" s="69">
        <f>AUI!J73</f>
        <v>0</v>
      </c>
      <c r="K79" s="69">
        <f>AUI!K73</f>
        <v>0</v>
      </c>
      <c r="L79" s="69">
        <f t="shared" si="34"/>
        <v>5</v>
      </c>
      <c r="M79" s="69">
        <f t="shared" si="35"/>
        <v>5</v>
      </c>
      <c r="N79" s="69">
        <f t="shared" si="36"/>
        <v>3</v>
      </c>
      <c r="O79" s="69">
        <f t="shared" si="37"/>
        <v>3</v>
      </c>
      <c r="P79" s="69">
        <f t="shared" si="38"/>
        <v>3</v>
      </c>
      <c r="Q79" s="69">
        <f t="shared" si="39"/>
        <v>3</v>
      </c>
      <c r="R79" s="70">
        <f t="shared" si="40"/>
        <v>-0.40546510810816444</v>
      </c>
      <c r="S79" s="70">
        <f t="shared" si="41"/>
        <v>-0.40546510810816444</v>
      </c>
      <c r="T79" s="70">
        <f t="shared" si="42"/>
        <v>-0.3111658132205064</v>
      </c>
      <c r="U79" s="70">
        <f t="shared" si="43"/>
        <v>-0.3111658132205064</v>
      </c>
      <c r="V79" s="70">
        <f t="shared" si="44"/>
        <v>0.91287092917527679</v>
      </c>
      <c r="W79" s="70">
        <f t="shared" si="45"/>
        <v>0.91287092917527679</v>
      </c>
      <c r="X79" s="70">
        <f t="shared" si="46"/>
        <v>0</v>
      </c>
      <c r="Y79" s="70">
        <f t="shared" si="47"/>
        <v>1.2909944487358056</v>
      </c>
      <c r="Z79" s="70">
        <f t="shared" si="48"/>
        <v>0</v>
      </c>
      <c r="AA79" s="69" t="str">
        <f t="shared" si="49"/>
        <v>Negligible</v>
      </c>
      <c r="AB79" s="69" t="str">
        <f t="shared" si="50"/>
        <v>Tidak Ada Indikasi Bias</v>
      </c>
    </row>
    <row r="80" spans="1:28" ht="26" x14ac:dyDescent="0.35">
      <c r="A80" s="95" t="str">
        <f>AUI!A74</f>
        <v>70. Durasi audit dilihat dari faktor .... kecuali</v>
      </c>
      <c r="B80" s="69">
        <f>AUI!B74</f>
        <v>1</v>
      </c>
      <c r="C80" s="69">
        <f>AUI!C74</f>
        <v>0</v>
      </c>
      <c r="D80" s="69">
        <f>AUI!D74</f>
        <v>1</v>
      </c>
      <c r="E80" s="69">
        <f>AUI!E74</f>
        <v>0</v>
      </c>
      <c r="F80" s="69">
        <f>AUI!F74</f>
        <v>1</v>
      </c>
      <c r="G80" s="69">
        <f>AUI!G74</f>
        <v>0</v>
      </c>
      <c r="H80" s="69">
        <f>AUI!H74</f>
        <v>0</v>
      </c>
      <c r="I80" s="69">
        <f>AUI!I74</f>
        <v>1</v>
      </c>
      <c r="J80" s="69">
        <f>AUI!J74</f>
        <v>0</v>
      </c>
      <c r="K80" s="69">
        <f>AUI!K74</f>
        <v>0</v>
      </c>
      <c r="L80" s="69">
        <f t="shared" si="34"/>
        <v>5</v>
      </c>
      <c r="M80" s="69">
        <f t="shared" si="35"/>
        <v>5</v>
      </c>
      <c r="N80" s="69">
        <f t="shared" si="36"/>
        <v>2</v>
      </c>
      <c r="O80" s="69">
        <f t="shared" si="37"/>
        <v>2</v>
      </c>
      <c r="P80" s="69">
        <f t="shared" si="38"/>
        <v>2</v>
      </c>
      <c r="Q80" s="69">
        <f t="shared" si="39"/>
        <v>2</v>
      </c>
      <c r="R80" s="70">
        <f t="shared" si="40"/>
        <v>0.40546510810816438</v>
      </c>
      <c r="S80" s="70">
        <f t="shared" si="41"/>
        <v>0.40546510810816438</v>
      </c>
      <c r="T80" s="70">
        <f t="shared" si="42"/>
        <v>0.49976440299582248</v>
      </c>
      <c r="U80" s="70">
        <f t="shared" si="43"/>
        <v>0.49976440299582248</v>
      </c>
      <c r="V80" s="70">
        <f t="shared" si="44"/>
        <v>0.91287092917527679</v>
      </c>
      <c r="W80" s="70">
        <f t="shared" si="45"/>
        <v>0.91287092917527679</v>
      </c>
      <c r="X80" s="70">
        <f t="shared" si="46"/>
        <v>0</v>
      </c>
      <c r="Y80" s="70">
        <f t="shared" si="47"/>
        <v>1.2909944487358056</v>
      </c>
      <c r="Z80" s="70">
        <f t="shared" si="48"/>
        <v>0</v>
      </c>
      <c r="AA80" s="69" t="str">
        <f t="shared" si="49"/>
        <v>Negligible</v>
      </c>
      <c r="AB80" s="69" t="str">
        <f t="shared" si="50"/>
        <v>Tidak Ada Indikasi Bias</v>
      </c>
    </row>
    <row r="81" spans="1:28" ht="38.5" x14ac:dyDescent="0.35">
      <c r="A81" s="95" t="str">
        <f>AUI!A75</f>
        <v>71. Penentuan durasi audit hasil perkalian antara jumlah auditor dengan jumlah hari dikenal dengan istilah</v>
      </c>
      <c r="B81" s="69">
        <f>AUI!B75</f>
        <v>1</v>
      </c>
      <c r="C81" s="69">
        <f>AUI!C75</f>
        <v>1</v>
      </c>
      <c r="D81" s="69">
        <f>AUI!D75</f>
        <v>1</v>
      </c>
      <c r="E81" s="69">
        <f>AUI!E75</f>
        <v>1</v>
      </c>
      <c r="F81" s="69">
        <f>AUI!F75</f>
        <v>0</v>
      </c>
      <c r="G81" s="69">
        <f>AUI!G75</f>
        <v>1</v>
      </c>
      <c r="H81" s="69">
        <f>AUI!H75</f>
        <v>0</v>
      </c>
      <c r="I81" s="69">
        <f>AUI!I75</f>
        <v>0</v>
      </c>
      <c r="J81" s="69">
        <f>AUI!J75</f>
        <v>1</v>
      </c>
      <c r="K81" s="69">
        <f>AUI!K75</f>
        <v>0</v>
      </c>
      <c r="L81" s="69">
        <f t="shared" si="34"/>
        <v>5</v>
      </c>
      <c r="M81" s="69">
        <f t="shared" si="35"/>
        <v>5</v>
      </c>
      <c r="N81" s="69">
        <f t="shared" si="36"/>
        <v>3</v>
      </c>
      <c r="O81" s="69">
        <f t="shared" si="37"/>
        <v>3</v>
      </c>
      <c r="P81" s="69">
        <f t="shared" si="38"/>
        <v>3</v>
      </c>
      <c r="Q81" s="69">
        <f t="shared" si="39"/>
        <v>3</v>
      </c>
      <c r="R81" s="70">
        <f t="shared" si="40"/>
        <v>-0.40546510810816444</v>
      </c>
      <c r="S81" s="70">
        <f t="shared" si="41"/>
        <v>-0.40546510810816444</v>
      </c>
      <c r="T81" s="70">
        <f t="shared" si="42"/>
        <v>-0.3111658132205064</v>
      </c>
      <c r="U81" s="70">
        <f t="shared" si="43"/>
        <v>-0.3111658132205064</v>
      </c>
      <c r="V81" s="70">
        <f t="shared" si="44"/>
        <v>0.91287092917527679</v>
      </c>
      <c r="W81" s="70">
        <f t="shared" si="45"/>
        <v>0.91287092917527679</v>
      </c>
      <c r="X81" s="70">
        <f t="shared" si="46"/>
        <v>0</v>
      </c>
      <c r="Y81" s="70">
        <f t="shared" si="47"/>
        <v>1.2909944487358056</v>
      </c>
      <c r="Z81" s="70">
        <f t="shared" si="48"/>
        <v>0</v>
      </c>
      <c r="AA81" s="69" t="str">
        <f t="shared" si="49"/>
        <v>Negligible</v>
      </c>
      <c r="AB81" s="69" t="str">
        <f t="shared" si="50"/>
        <v>Tidak Ada Indikasi Bias</v>
      </c>
    </row>
    <row r="82" spans="1:28" ht="26" x14ac:dyDescent="0.35">
      <c r="A82" s="95" t="str">
        <f>AUI!A76</f>
        <v>72. Apa yang dimaksud dengan temuan audit</v>
      </c>
      <c r="B82" s="69">
        <f>AUI!B76</f>
        <v>0</v>
      </c>
      <c r="C82" s="69">
        <f>AUI!C76</f>
        <v>1</v>
      </c>
      <c r="D82" s="69">
        <f>AUI!D76</f>
        <v>0</v>
      </c>
      <c r="E82" s="69">
        <f>AUI!E76</f>
        <v>0</v>
      </c>
      <c r="F82" s="69">
        <f>AUI!F76</f>
        <v>0</v>
      </c>
      <c r="G82" s="69">
        <f>AUI!G76</f>
        <v>0</v>
      </c>
      <c r="H82" s="69">
        <f>AUI!H76</f>
        <v>0</v>
      </c>
      <c r="I82" s="69">
        <f>AUI!I76</f>
        <v>1</v>
      </c>
      <c r="J82" s="69">
        <f>AUI!J76</f>
        <v>1</v>
      </c>
      <c r="K82" s="69">
        <f>AUI!K76</f>
        <v>1</v>
      </c>
      <c r="L82" s="69">
        <f t="shared" si="34"/>
        <v>5</v>
      </c>
      <c r="M82" s="69">
        <f t="shared" si="35"/>
        <v>5</v>
      </c>
      <c r="N82" s="69">
        <f t="shared" si="36"/>
        <v>2</v>
      </c>
      <c r="O82" s="69">
        <f t="shared" si="37"/>
        <v>2</v>
      </c>
      <c r="P82" s="69">
        <f t="shared" si="38"/>
        <v>2</v>
      </c>
      <c r="Q82" s="69">
        <f t="shared" si="39"/>
        <v>2</v>
      </c>
      <c r="R82" s="70">
        <f t="shared" si="40"/>
        <v>0.40546510810816438</v>
      </c>
      <c r="S82" s="70">
        <f t="shared" si="41"/>
        <v>0.40546510810816438</v>
      </c>
      <c r="T82" s="70">
        <f t="shared" si="42"/>
        <v>0.49976440299582248</v>
      </c>
      <c r="U82" s="70">
        <f t="shared" si="43"/>
        <v>0.49976440299582248</v>
      </c>
      <c r="V82" s="70">
        <f t="shared" si="44"/>
        <v>0.91287092917527679</v>
      </c>
      <c r="W82" s="70">
        <f t="shared" si="45"/>
        <v>0.91287092917527679</v>
      </c>
      <c r="X82" s="70">
        <f t="shared" si="46"/>
        <v>0</v>
      </c>
      <c r="Y82" s="70">
        <f t="shared" si="47"/>
        <v>1.2909944487358056</v>
      </c>
      <c r="Z82" s="70">
        <f t="shared" si="48"/>
        <v>0</v>
      </c>
      <c r="AA82" s="69" t="str">
        <f t="shared" si="49"/>
        <v>Negligible</v>
      </c>
      <c r="AB82" s="69" t="str">
        <f t="shared" si="50"/>
        <v>Tidak Ada Indikasi Bias</v>
      </c>
    </row>
    <row r="83" spans="1:28" ht="63.5" x14ac:dyDescent="0.35">
      <c r="A83" s="95" t="str">
        <f>AUI!A77</f>
        <v>73. Hasil uji profisiensi menunjukkan hasil yang outlier, namun belum dapat diidentifikasi akar masalah dan tindakan perbaikan ... dapat ditulis sebagai temuan ketidaksesuaian Kategori</v>
      </c>
      <c r="B83" s="69">
        <f>AUI!B77</f>
        <v>0</v>
      </c>
      <c r="C83" s="69">
        <f>AUI!C77</f>
        <v>1</v>
      </c>
      <c r="D83" s="69">
        <f>AUI!D77</f>
        <v>0</v>
      </c>
      <c r="E83" s="69">
        <f>AUI!E77</f>
        <v>1</v>
      </c>
      <c r="F83" s="69">
        <f>AUI!F77</f>
        <v>0</v>
      </c>
      <c r="G83" s="69">
        <f>AUI!G77</f>
        <v>1</v>
      </c>
      <c r="H83" s="69">
        <f>AUI!H77</f>
        <v>0</v>
      </c>
      <c r="I83" s="69">
        <f>AUI!I77</f>
        <v>1</v>
      </c>
      <c r="J83" s="69">
        <f>AUI!J77</f>
        <v>1</v>
      </c>
      <c r="K83" s="69">
        <f>AUI!K77</f>
        <v>1</v>
      </c>
      <c r="L83" s="69">
        <f t="shared" si="34"/>
        <v>5</v>
      </c>
      <c r="M83" s="69">
        <f t="shared" si="35"/>
        <v>5</v>
      </c>
      <c r="N83" s="69">
        <f t="shared" si="36"/>
        <v>3</v>
      </c>
      <c r="O83" s="69">
        <f t="shared" si="37"/>
        <v>3</v>
      </c>
      <c r="P83" s="69">
        <f t="shared" si="38"/>
        <v>3</v>
      </c>
      <c r="Q83" s="69">
        <f t="shared" si="39"/>
        <v>3</v>
      </c>
      <c r="R83" s="70">
        <f t="shared" si="40"/>
        <v>-0.40546510810816444</v>
      </c>
      <c r="S83" s="70">
        <f t="shared" si="41"/>
        <v>-0.40546510810816444</v>
      </c>
      <c r="T83" s="70">
        <f t="shared" si="42"/>
        <v>-0.3111658132205064</v>
      </c>
      <c r="U83" s="70">
        <f t="shared" si="43"/>
        <v>-0.3111658132205064</v>
      </c>
      <c r="V83" s="70">
        <f t="shared" si="44"/>
        <v>0.91287092917527679</v>
      </c>
      <c r="W83" s="70">
        <f t="shared" si="45"/>
        <v>0.91287092917527679</v>
      </c>
      <c r="X83" s="70">
        <f t="shared" si="46"/>
        <v>0</v>
      </c>
      <c r="Y83" s="70">
        <f t="shared" si="47"/>
        <v>1.2909944487358056</v>
      </c>
      <c r="Z83" s="70">
        <f t="shared" si="48"/>
        <v>0</v>
      </c>
      <c r="AA83" s="69" t="str">
        <f t="shared" si="49"/>
        <v>Negligible</v>
      </c>
      <c r="AB83" s="69" t="str">
        <f t="shared" si="50"/>
        <v>Tidak Ada Indikasi Bias</v>
      </c>
    </row>
    <row r="84" spans="1:28" ht="38.5" x14ac:dyDescent="0.35">
      <c r="A84" s="95" t="str">
        <f>AUI!A78</f>
        <v>74. Menuliskan temuan ketidaksesuaian secara jelas mengikuti kaidah PLOR .. jelaskan arti huruf "O"</v>
      </c>
      <c r="B84" s="69">
        <f>AUI!B78</f>
        <v>0</v>
      </c>
      <c r="C84" s="69">
        <f>AUI!C78</f>
        <v>1</v>
      </c>
      <c r="D84" s="69">
        <f>AUI!D78</f>
        <v>0</v>
      </c>
      <c r="E84" s="69">
        <f>AUI!E78</f>
        <v>0</v>
      </c>
      <c r="F84" s="69">
        <f>AUI!F78</f>
        <v>1</v>
      </c>
      <c r="G84" s="69">
        <f>AUI!G78</f>
        <v>0</v>
      </c>
      <c r="H84" s="69">
        <f>AUI!H78</f>
        <v>0</v>
      </c>
      <c r="I84" s="69">
        <f>AUI!I78</f>
        <v>0</v>
      </c>
      <c r="J84" s="69">
        <f>AUI!J78</f>
        <v>0</v>
      </c>
      <c r="K84" s="69">
        <f>AUI!K78</f>
        <v>0</v>
      </c>
      <c r="L84" s="69">
        <f t="shared" si="34"/>
        <v>5</v>
      </c>
      <c r="M84" s="69">
        <f t="shared" si="35"/>
        <v>5</v>
      </c>
      <c r="N84" s="69">
        <f t="shared" si="36"/>
        <v>1</v>
      </c>
      <c r="O84" s="69">
        <f t="shared" si="37"/>
        <v>1</v>
      </c>
      <c r="P84" s="69">
        <f t="shared" si="38"/>
        <v>1</v>
      </c>
      <c r="Q84" s="69">
        <f t="shared" si="39"/>
        <v>1</v>
      </c>
      <c r="R84" s="70">
        <f t="shared" si="40"/>
        <v>1.3862943611198906</v>
      </c>
      <c r="S84" s="70">
        <f t="shared" si="41"/>
        <v>1.3862943611198906</v>
      </c>
      <c r="T84" s="70">
        <f t="shared" si="42"/>
        <v>1.4805936560075486</v>
      </c>
      <c r="U84" s="70">
        <f t="shared" si="43"/>
        <v>1.4805936560075486</v>
      </c>
      <c r="V84" s="70">
        <f t="shared" si="44"/>
        <v>1.1180339887498949</v>
      </c>
      <c r="W84" s="70">
        <f t="shared" si="45"/>
        <v>1.1180339887498949</v>
      </c>
      <c r="X84" s="70">
        <f t="shared" si="46"/>
        <v>0</v>
      </c>
      <c r="Y84" s="70">
        <f t="shared" si="47"/>
        <v>1.5811388300841898</v>
      </c>
      <c r="Z84" s="70">
        <f t="shared" si="48"/>
        <v>0</v>
      </c>
      <c r="AA84" s="69" t="str">
        <f t="shared" si="49"/>
        <v>Negligible</v>
      </c>
      <c r="AB84" s="69" t="str">
        <f t="shared" si="50"/>
        <v>Tidak Ada Indikasi Bias</v>
      </c>
    </row>
    <row r="85" spans="1:28" ht="26" x14ac:dyDescent="0.35">
      <c r="A85" s="95" t="str">
        <f>AUI!A79</f>
        <v>75. Kata kunci dari temuan ketidaksesuaian Kategori 1/Kritis adalah</v>
      </c>
      <c r="B85" s="69">
        <f>AUI!B79</f>
        <v>0</v>
      </c>
      <c r="C85" s="69">
        <f>AUI!C79</f>
        <v>1</v>
      </c>
      <c r="D85" s="69">
        <f>AUI!D79</f>
        <v>1</v>
      </c>
      <c r="E85" s="69">
        <f>AUI!E79</f>
        <v>0</v>
      </c>
      <c r="F85" s="69">
        <f>AUI!F79</f>
        <v>1</v>
      </c>
      <c r="G85" s="69">
        <f>AUI!G79</f>
        <v>0</v>
      </c>
      <c r="H85" s="69">
        <f>AUI!H79</f>
        <v>0</v>
      </c>
      <c r="I85" s="69">
        <f>AUI!I79</f>
        <v>1</v>
      </c>
      <c r="J85" s="69">
        <f>AUI!J79</f>
        <v>0</v>
      </c>
      <c r="K85" s="69">
        <f>AUI!K79</f>
        <v>0</v>
      </c>
      <c r="L85" s="69">
        <f t="shared" si="34"/>
        <v>5</v>
      </c>
      <c r="M85" s="69">
        <f t="shared" si="35"/>
        <v>5</v>
      </c>
      <c r="N85" s="69">
        <f t="shared" si="36"/>
        <v>2</v>
      </c>
      <c r="O85" s="69">
        <f t="shared" si="37"/>
        <v>2</v>
      </c>
      <c r="P85" s="69">
        <f t="shared" si="38"/>
        <v>2</v>
      </c>
      <c r="Q85" s="69">
        <f t="shared" si="39"/>
        <v>2</v>
      </c>
      <c r="R85" s="70">
        <f t="shared" si="40"/>
        <v>0.40546510810816438</v>
      </c>
      <c r="S85" s="70">
        <f t="shared" si="41"/>
        <v>0.40546510810816438</v>
      </c>
      <c r="T85" s="70">
        <f t="shared" si="42"/>
        <v>0.49976440299582248</v>
      </c>
      <c r="U85" s="70">
        <f t="shared" si="43"/>
        <v>0.49976440299582248</v>
      </c>
      <c r="V85" s="70">
        <f t="shared" si="44"/>
        <v>0.91287092917527679</v>
      </c>
      <c r="W85" s="70">
        <f t="shared" si="45"/>
        <v>0.91287092917527679</v>
      </c>
      <c r="X85" s="70">
        <f t="shared" si="46"/>
        <v>0</v>
      </c>
      <c r="Y85" s="70">
        <f t="shared" si="47"/>
        <v>1.2909944487358056</v>
      </c>
      <c r="Z85" s="70">
        <f t="shared" si="48"/>
        <v>0</v>
      </c>
      <c r="AA85" s="69" t="str">
        <f t="shared" si="49"/>
        <v>Negligible</v>
      </c>
      <c r="AB85" s="69" t="str">
        <f t="shared" si="50"/>
        <v>Tidak Ada Indikasi Bias</v>
      </c>
    </row>
    <row r="86" spans="1:28" ht="51" x14ac:dyDescent="0.35">
      <c r="A86" s="95" t="str">
        <f>AUI!A80</f>
        <v>76. Penyimpangan kecil, tidak mempengaruhi laporan pengujian dapat ditulis sebagai temuan ketidaksesuaian Kategori</v>
      </c>
      <c r="B86" s="69">
        <f>AUI!B80</f>
        <v>1</v>
      </c>
      <c r="C86" s="69">
        <f>AUI!C80</f>
        <v>1</v>
      </c>
      <c r="D86" s="69">
        <f>AUI!D80</f>
        <v>0</v>
      </c>
      <c r="E86" s="69">
        <f>AUI!E80</f>
        <v>1</v>
      </c>
      <c r="F86" s="69">
        <f>AUI!F80</f>
        <v>0</v>
      </c>
      <c r="G86" s="69">
        <f>AUI!G80</f>
        <v>0</v>
      </c>
      <c r="H86" s="69">
        <f>AUI!H80</f>
        <v>0</v>
      </c>
      <c r="I86" s="69">
        <f>AUI!I80</f>
        <v>0</v>
      </c>
      <c r="J86" s="69">
        <f>AUI!J80</f>
        <v>0</v>
      </c>
      <c r="K86" s="69">
        <f>AUI!K80</f>
        <v>1</v>
      </c>
      <c r="L86" s="69">
        <f t="shared" si="34"/>
        <v>5</v>
      </c>
      <c r="M86" s="69">
        <f t="shared" si="35"/>
        <v>5</v>
      </c>
      <c r="N86" s="69">
        <f t="shared" si="36"/>
        <v>2</v>
      </c>
      <c r="O86" s="69">
        <f t="shared" si="37"/>
        <v>2</v>
      </c>
      <c r="P86" s="69">
        <f t="shared" si="38"/>
        <v>2</v>
      </c>
      <c r="Q86" s="69">
        <f t="shared" si="39"/>
        <v>2</v>
      </c>
      <c r="R86" s="70">
        <f t="shared" si="40"/>
        <v>0.40546510810816438</v>
      </c>
      <c r="S86" s="70">
        <f t="shared" si="41"/>
        <v>0.40546510810816438</v>
      </c>
      <c r="T86" s="70">
        <f t="shared" si="42"/>
        <v>0.49976440299582248</v>
      </c>
      <c r="U86" s="70">
        <f t="shared" si="43"/>
        <v>0.49976440299582248</v>
      </c>
      <c r="V86" s="70">
        <f t="shared" si="44"/>
        <v>0.91287092917527679</v>
      </c>
      <c r="W86" s="70">
        <f t="shared" si="45"/>
        <v>0.91287092917527679</v>
      </c>
      <c r="X86" s="70">
        <f t="shared" si="46"/>
        <v>0</v>
      </c>
      <c r="Y86" s="70">
        <f t="shared" si="47"/>
        <v>1.2909944487358056</v>
      </c>
      <c r="Z86" s="70">
        <f t="shared" si="48"/>
        <v>0</v>
      </c>
      <c r="AA86" s="69" t="str">
        <f t="shared" si="49"/>
        <v>Negligible</v>
      </c>
      <c r="AB86" s="69" t="str">
        <f t="shared" si="50"/>
        <v>Tidak Ada Indikasi Bias</v>
      </c>
    </row>
    <row r="87" spans="1:28" ht="26" x14ac:dyDescent="0.35">
      <c r="A87" s="95" t="str">
        <f>AUI!A81</f>
        <v>77. . Apa tujuan utama dari rapat penutupan audit</v>
      </c>
      <c r="B87" s="69">
        <f>AUI!B81</f>
        <v>0</v>
      </c>
      <c r="C87" s="69">
        <f>AUI!C81</f>
        <v>1</v>
      </c>
      <c r="D87" s="69">
        <f>AUI!D81</f>
        <v>0</v>
      </c>
      <c r="E87" s="69">
        <f>AUI!E81</f>
        <v>1</v>
      </c>
      <c r="F87" s="69">
        <f>AUI!F81</f>
        <v>0</v>
      </c>
      <c r="G87" s="69">
        <f>AUI!G81</f>
        <v>0</v>
      </c>
      <c r="H87" s="69">
        <f>AUI!H81</f>
        <v>0</v>
      </c>
      <c r="I87" s="69">
        <f>AUI!I81</f>
        <v>0</v>
      </c>
      <c r="J87" s="69">
        <f>AUI!J81</f>
        <v>0</v>
      </c>
      <c r="K87" s="69">
        <f>AUI!K81</f>
        <v>0</v>
      </c>
      <c r="L87" s="69">
        <f t="shared" si="34"/>
        <v>5</v>
      </c>
      <c r="M87" s="69">
        <f t="shared" si="35"/>
        <v>5</v>
      </c>
      <c r="N87" s="69">
        <f t="shared" si="36"/>
        <v>1</v>
      </c>
      <c r="O87" s="69">
        <f t="shared" si="37"/>
        <v>1</v>
      </c>
      <c r="P87" s="69">
        <f t="shared" si="38"/>
        <v>1</v>
      </c>
      <c r="Q87" s="69">
        <f t="shared" si="39"/>
        <v>1</v>
      </c>
      <c r="R87" s="70">
        <f t="shared" si="40"/>
        <v>1.3862943611198906</v>
      </c>
      <c r="S87" s="70">
        <f t="shared" si="41"/>
        <v>1.3862943611198906</v>
      </c>
      <c r="T87" s="70">
        <f t="shared" si="42"/>
        <v>1.4805936560075486</v>
      </c>
      <c r="U87" s="70">
        <f t="shared" si="43"/>
        <v>1.4805936560075486</v>
      </c>
      <c r="V87" s="70">
        <f t="shared" si="44"/>
        <v>1.1180339887498949</v>
      </c>
      <c r="W87" s="70">
        <f t="shared" si="45"/>
        <v>1.1180339887498949</v>
      </c>
      <c r="X87" s="70">
        <f t="shared" si="46"/>
        <v>0</v>
      </c>
      <c r="Y87" s="70">
        <f t="shared" si="47"/>
        <v>1.5811388300841898</v>
      </c>
      <c r="Z87" s="70">
        <f t="shared" si="48"/>
        <v>0</v>
      </c>
      <c r="AA87" s="69" t="str">
        <f t="shared" si="49"/>
        <v>Negligible</v>
      </c>
      <c r="AB87" s="69" t="str">
        <f t="shared" si="50"/>
        <v>Tidak Ada Indikasi Bias</v>
      </c>
    </row>
    <row r="88" spans="1:28" ht="38.5" x14ac:dyDescent="0.35">
      <c r="A88" s="95" t="str">
        <f>AUI!A82</f>
        <v>78. Mengapa penting untuk mengadakan rapat penutupan setelah audit selesai dilaksanakan</v>
      </c>
      <c r="B88" s="69">
        <f>AUI!B82</f>
        <v>0</v>
      </c>
      <c r="C88" s="69">
        <f>AUI!C82</f>
        <v>1</v>
      </c>
      <c r="D88" s="69">
        <f>AUI!D82</f>
        <v>0</v>
      </c>
      <c r="E88" s="69">
        <f>AUI!E82</f>
        <v>1</v>
      </c>
      <c r="F88" s="69">
        <f>AUI!F82</f>
        <v>1</v>
      </c>
      <c r="G88" s="69">
        <f>AUI!G82</f>
        <v>1</v>
      </c>
      <c r="H88" s="69">
        <f>AUI!H82</f>
        <v>1</v>
      </c>
      <c r="I88" s="69">
        <f>AUI!I82</f>
        <v>1</v>
      </c>
      <c r="J88" s="69">
        <f>AUI!J82</f>
        <v>1</v>
      </c>
      <c r="K88" s="69">
        <f>AUI!K82</f>
        <v>1</v>
      </c>
      <c r="L88" s="69">
        <f t="shared" si="34"/>
        <v>5</v>
      </c>
      <c r="M88" s="69">
        <f t="shared" si="35"/>
        <v>5</v>
      </c>
      <c r="N88" s="69">
        <f t="shared" si="36"/>
        <v>4</v>
      </c>
      <c r="O88" s="69">
        <f t="shared" si="37"/>
        <v>4</v>
      </c>
      <c r="P88" s="69">
        <f t="shared" si="38"/>
        <v>4</v>
      </c>
      <c r="Q88" s="69">
        <f t="shared" si="39"/>
        <v>4</v>
      </c>
      <c r="R88" s="70">
        <f t="shared" si="40"/>
        <v>-1.3862943611198906</v>
      </c>
      <c r="S88" s="70">
        <f t="shared" si="41"/>
        <v>-1.3862943611198906</v>
      </c>
      <c r="T88" s="70">
        <f t="shared" si="42"/>
        <v>-1.2919950662322326</v>
      </c>
      <c r="U88" s="70">
        <f t="shared" si="43"/>
        <v>-1.2919950662322326</v>
      </c>
      <c r="V88" s="70">
        <f t="shared" si="44"/>
        <v>1.1180339887498949</v>
      </c>
      <c r="W88" s="70">
        <f t="shared" si="45"/>
        <v>1.1180339887498949</v>
      </c>
      <c r="X88" s="70">
        <f t="shared" si="46"/>
        <v>0</v>
      </c>
      <c r="Y88" s="70">
        <f t="shared" si="47"/>
        <v>1.5811388300841898</v>
      </c>
      <c r="Z88" s="70">
        <f t="shared" si="48"/>
        <v>0</v>
      </c>
      <c r="AA88" s="69" t="str">
        <f t="shared" si="49"/>
        <v>Negligible</v>
      </c>
      <c r="AB88" s="69" t="str">
        <f t="shared" si="50"/>
        <v>Tidak Ada Indikasi Bias</v>
      </c>
    </row>
    <row r="89" spans="1:28" ht="26" x14ac:dyDescent="0.35">
      <c r="A89" s="95" t="str">
        <f>AUI!A83</f>
        <v>79. Apa yang harus dilakukan setelah rapat penutupan audit</v>
      </c>
      <c r="B89" s="69">
        <f>AUI!B83</f>
        <v>0</v>
      </c>
      <c r="C89" s="69">
        <f>AUI!C83</f>
        <v>0</v>
      </c>
      <c r="D89" s="69">
        <f>AUI!D83</f>
        <v>0</v>
      </c>
      <c r="E89" s="69">
        <f>AUI!E83</f>
        <v>0</v>
      </c>
      <c r="F89" s="69">
        <f>AUI!F83</f>
        <v>0</v>
      </c>
      <c r="G89" s="69">
        <f>AUI!G83</f>
        <v>0</v>
      </c>
      <c r="H89" s="69">
        <f>AUI!H83</f>
        <v>1</v>
      </c>
      <c r="I89" s="69">
        <f>AUI!I83</f>
        <v>0</v>
      </c>
      <c r="J89" s="69">
        <f>AUI!J83</f>
        <v>1</v>
      </c>
      <c r="K89" s="69">
        <f>AUI!K83</f>
        <v>0</v>
      </c>
      <c r="L89" s="69">
        <f t="shared" si="34"/>
        <v>5</v>
      </c>
      <c r="M89" s="69">
        <f t="shared" si="35"/>
        <v>5</v>
      </c>
      <c r="N89" s="69">
        <f t="shared" si="36"/>
        <v>1</v>
      </c>
      <c r="O89" s="69">
        <f t="shared" si="37"/>
        <v>1</v>
      </c>
      <c r="P89" s="69">
        <f t="shared" si="38"/>
        <v>1</v>
      </c>
      <c r="Q89" s="69">
        <f t="shared" si="39"/>
        <v>1</v>
      </c>
      <c r="R89" s="70">
        <f t="shared" si="40"/>
        <v>1.3862943611198906</v>
      </c>
      <c r="S89" s="70">
        <f t="shared" si="41"/>
        <v>1.3862943611198906</v>
      </c>
      <c r="T89" s="70">
        <f t="shared" si="42"/>
        <v>1.4805936560075486</v>
      </c>
      <c r="U89" s="70">
        <f t="shared" si="43"/>
        <v>1.4805936560075486</v>
      </c>
      <c r="V89" s="70">
        <f t="shared" si="44"/>
        <v>1.1180339887498949</v>
      </c>
      <c r="W89" s="70">
        <f t="shared" si="45"/>
        <v>1.1180339887498949</v>
      </c>
      <c r="X89" s="70">
        <f t="shared" si="46"/>
        <v>0</v>
      </c>
      <c r="Y89" s="70">
        <f t="shared" si="47"/>
        <v>1.5811388300841898</v>
      </c>
      <c r="Z89" s="70">
        <f t="shared" si="48"/>
        <v>0</v>
      </c>
      <c r="AA89" s="69" t="str">
        <f t="shared" si="49"/>
        <v>Negligible</v>
      </c>
      <c r="AB89" s="69" t="str">
        <f t="shared" si="50"/>
        <v>Tidak Ada Indikasi Bias</v>
      </c>
    </row>
    <row r="90" spans="1:28" ht="25" x14ac:dyDescent="0.35">
      <c r="A90" s="95" t="str">
        <f>AUI!A84</f>
        <v>80. Siapa yang memimpin rapat penutupan</v>
      </c>
      <c r="B90" s="69">
        <f>AUI!B84</f>
        <v>0</v>
      </c>
      <c r="C90" s="69">
        <f>AUI!C84</f>
        <v>1</v>
      </c>
      <c r="D90" s="69">
        <f>AUI!D84</f>
        <v>1</v>
      </c>
      <c r="E90" s="69">
        <f>AUI!E84</f>
        <v>0</v>
      </c>
      <c r="F90" s="69">
        <f>AUI!F84</f>
        <v>1</v>
      </c>
      <c r="G90" s="69">
        <f>AUI!G84</f>
        <v>0</v>
      </c>
      <c r="H90" s="69">
        <f>AUI!H84</f>
        <v>1</v>
      </c>
      <c r="I90" s="69">
        <f>AUI!I84</f>
        <v>0</v>
      </c>
      <c r="J90" s="69">
        <f>AUI!J84</f>
        <v>0</v>
      </c>
      <c r="K90" s="69">
        <f>AUI!K84</f>
        <v>0</v>
      </c>
      <c r="L90" s="69">
        <f t="shared" si="34"/>
        <v>5</v>
      </c>
      <c r="M90" s="69">
        <f t="shared" si="35"/>
        <v>5</v>
      </c>
      <c r="N90" s="69">
        <f t="shared" si="36"/>
        <v>2</v>
      </c>
      <c r="O90" s="69">
        <f t="shared" si="37"/>
        <v>2</v>
      </c>
      <c r="P90" s="69">
        <f t="shared" si="38"/>
        <v>2</v>
      </c>
      <c r="Q90" s="69">
        <f t="shared" si="39"/>
        <v>2</v>
      </c>
      <c r="R90" s="70">
        <f t="shared" si="40"/>
        <v>0.40546510810816438</v>
      </c>
      <c r="S90" s="70">
        <f t="shared" si="41"/>
        <v>0.40546510810816438</v>
      </c>
      <c r="T90" s="70">
        <f t="shared" si="42"/>
        <v>0.49976440299582248</v>
      </c>
      <c r="U90" s="70">
        <f t="shared" si="43"/>
        <v>0.49976440299582248</v>
      </c>
      <c r="V90" s="70">
        <f t="shared" si="44"/>
        <v>0.91287092917527679</v>
      </c>
      <c r="W90" s="70">
        <f t="shared" si="45"/>
        <v>0.91287092917527679</v>
      </c>
      <c r="X90" s="70">
        <f t="shared" si="46"/>
        <v>0</v>
      </c>
      <c r="Y90" s="70">
        <f t="shared" si="47"/>
        <v>1.2909944487358056</v>
      </c>
      <c r="Z90" s="70">
        <f t="shared" si="48"/>
        <v>0</v>
      </c>
      <c r="AA90" s="69" t="str">
        <f t="shared" si="49"/>
        <v>Negligible</v>
      </c>
      <c r="AB90" s="69" t="str">
        <f t="shared" si="50"/>
        <v>Tidak Ada Indikasi Bias</v>
      </c>
    </row>
    <row r="91" spans="1:28" ht="37.5" customHeight="1" x14ac:dyDescent="0.35">
      <c r="A91" s="95" t="str">
        <f>AUI!A85</f>
        <v>81. Tindakan menghargai kerja keras, kerjasama, atau pencapaian auditee selama proses audit dapat berupa .... (kecuali) bertujuan untuk memperkuat hubungan antara auditor dan auditee</v>
      </c>
      <c r="B91" s="69">
        <f>AUI!B85</f>
        <v>0</v>
      </c>
      <c r="C91" s="69">
        <f>AUI!C85</f>
        <v>1</v>
      </c>
      <c r="D91" s="69">
        <f>AUI!D85</f>
        <v>1</v>
      </c>
      <c r="E91" s="69">
        <f>AUI!E85</f>
        <v>0</v>
      </c>
      <c r="F91" s="69">
        <f>AUI!F85</f>
        <v>1</v>
      </c>
      <c r="G91" s="69">
        <f>AUI!G85</f>
        <v>0</v>
      </c>
      <c r="H91" s="69">
        <f>AUI!H85</f>
        <v>1</v>
      </c>
      <c r="I91" s="69">
        <f>AUI!I85</f>
        <v>0</v>
      </c>
      <c r="J91" s="69">
        <f>AUI!J85</f>
        <v>0</v>
      </c>
      <c r="K91" s="69">
        <f>AUI!K85</f>
        <v>0</v>
      </c>
      <c r="L91" s="69">
        <f t="shared" si="34"/>
        <v>5</v>
      </c>
      <c r="M91" s="69">
        <f t="shared" si="35"/>
        <v>5</v>
      </c>
      <c r="N91" s="69">
        <f t="shared" si="36"/>
        <v>2</v>
      </c>
      <c r="O91" s="69">
        <f t="shared" si="37"/>
        <v>2</v>
      </c>
      <c r="P91" s="69">
        <f t="shared" si="38"/>
        <v>2</v>
      </c>
      <c r="Q91" s="69">
        <f t="shared" si="39"/>
        <v>2</v>
      </c>
      <c r="R91" s="70">
        <f t="shared" si="40"/>
        <v>0.40546510810816438</v>
      </c>
      <c r="S91" s="70">
        <f t="shared" si="41"/>
        <v>0.40546510810816438</v>
      </c>
      <c r="T91" s="70">
        <f t="shared" si="42"/>
        <v>0.49976440299582248</v>
      </c>
      <c r="U91" s="70">
        <f t="shared" si="43"/>
        <v>0.49976440299582248</v>
      </c>
      <c r="V91" s="70">
        <f t="shared" si="44"/>
        <v>0.91287092917527679</v>
      </c>
      <c r="W91" s="70">
        <f t="shared" si="45"/>
        <v>0.91287092917527679</v>
      </c>
      <c r="X91" s="70">
        <f t="shared" si="46"/>
        <v>0</v>
      </c>
      <c r="Y91" s="70">
        <f t="shared" si="47"/>
        <v>1.2909944487358056</v>
      </c>
      <c r="Z91" s="70">
        <f t="shared" si="48"/>
        <v>0</v>
      </c>
      <c r="AA91" s="69" t="str">
        <f t="shared" si="49"/>
        <v>Negligible</v>
      </c>
      <c r="AB91" s="69" t="str">
        <f t="shared" si="50"/>
        <v>Tidak Ada Indikasi Bias</v>
      </c>
    </row>
    <row r="92" spans="1:28" ht="26" x14ac:dyDescent="0.35">
      <c r="A92" s="95" t="str">
        <f>AUI!A86</f>
        <v>82. Apa yang dimaksud dengan evaluasi kompetensi auditor</v>
      </c>
      <c r="B92" s="69">
        <f>AUI!B86</f>
        <v>0</v>
      </c>
      <c r="C92" s="69">
        <f>AUI!C86</f>
        <v>1</v>
      </c>
      <c r="D92" s="69">
        <f>AUI!D86</f>
        <v>0</v>
      </c>
      <c r="E92" s="69">
        <f>AUI!E86</f>
        <v>1</v>
      </c>
      <c r="F92" s="69">
        <f>AUI!F86</f>
        <v>0</v>
      </c>
      <c r="G92" s="69">
        <f>AUI!G86</f>
        <v>0</v>
      </c>
      <c r="H92" s="69">
        <f>AUI!H86</f>
        <v>0</v>
      </c>
      <c r="I92" s="69">
        <f>AUI!I86</f>
        <v>0</v>
      </c>
      <c r="J92" s="69">
        <f>AUI!J86</f>
        <v>0</v>
      </c>
      <c r="K92" s="69">
        <f>AUI!K86</f>
        <v>0</v>
      </c>
      <c r="L92" s="69">
        <f t="shared" si="34"/>
        <v>5</v>
      </c>
      <c r="M92" s="69">
        <f t="shared" si="35"/>
        <v>5</v>
      </c>
      <c r="N92" s="69">
        <f t="shared" si="36"/>
        <v>1</v>
      </c>
      <c r="O92" s="69">
        <f t="shared" si="37"/>
        <v>1</v>
      </c>
      <c r="P92" s="69">
        <f t="shared" si="38"/>
        <v>1</v>
      </c>
      <c r="Q92" s="69">
        <f t="shared" si="39"/>
        <v>1</v>
      </c>
      <c r="R92" s="70">
        <f t="shared" si="40"/>
        <v>1.3862943611198906</v>
      </c>
      <c r="S92" s="70">
        <f t="shared" si="41"/>
        <v>1.3862943611198906</v>
      </c>
      <c r="T92" s="70">
        <f t="shared" si="42"/>
        <v>1.4805936560075486</v>
      </c>
      <c r="U92" s="70">
        <f t="shared" si="43"/>
        <v>1.4805936560075486</v>
      </c>
      <c r="V92" s="70">
        <f t="shared" si="44"/>
        <v>1.1180339887498949</v>
      </c>
      <c r="W92" s="70">
        <f t="shared" si="45"/>
        <v>1.1180339887498949</v>
      </c>
      <c r="X92" s="70">
        <f t="shared" si="46"/>
        <v>0</v>
      </c>
      <c r="Y92" s="70">
        <f t="shared" si="47"/>
        <v>1.5811388300841898</v>
      </c>
      <c r="Z92" s="70">
        <f t="shared" si="48"/>
        <v>0</v>
      </c>
      <c r="AA92" s="69" t="str">
        <f t="shared" si="49"/>
        <v>Negligible</v>
      </c>
      <c r="AB92" s="69" t="str">
        <f t="shared" si="50"/>
        <v>Tidak Ada Indikasi Bias</v>
      </c>
    </row>
    <row r="93" spans="1:28" ht="38.5" x14ac:dyDescent="0.35">
      <c r="A93" s="95" t="str">
        <f>AUI!A87</f>
        <v>83. Apa yang menjadi fokus utama dalam evaluasi kompetensi auditor menurut ISO 19011</v>
      </c>
      <c r="B93" s="69">
        <f>AUI!B87</f>
        <v>0</v>
      </c>
      <c r="C93" s="69">
        <f>AUI!C87</f>
        <v>0</v>
      </c>
      <c r="D93" s="69">
        <f>AUI!D87</f>
        <v>1</v>
      </c>
      <c r="E93" s="69">
        <f>AUI!E87</f>
        <v>0</v>
      </c>
      <c r="F93" s="69">
        <f>AUI!F87</f>
        <v>0</v>
      </c>
      <c r="G93" s="69">
        <f>AUI!G87</f>
        <v>1</v>
      </c>
      <c r="H93" s="69">
        <f>AUI!H87</f>
        <v>1</v>
      </c>
      <c r="I93" s="69">
        <f>AUI!I87</f>
        <v>1</v>
      </c>
      <c r="J93" s="69">
        <f>AUI!J87</f>
        <v>1</v>
      </c>
      <c r="K93" s="69">
        <f>AUI!K87</f>
        <v>1</v>
      </c>
      <c r="L93" s="69">
        <f t="shared" si="34"/>
        <v>5</v>
      </c>
      <c r="M93" s="69">
        <f t="shared" si="35"/>
        <v>5</v>
      </c>
      <c r="N93" s="69">
        <f t="shared" si="36"/>
        <v>3</v>
      </c>
      <c r="O93" s="69">
        <f t="shared" si="37"/>
        <v>3</v>
      </c>
      <c r="P93" s="69">
        <f t="shared" si="38"/>
        <v>3</v>
      </c>
      <c r="Q93" s="69">
        <f t="shared" si="39"/>
        <v>3</v>
      </c>
      <c r="R93" s="70">
        <f t="shared" si="40"/>
        <v>-0.40546510810816444</v>
      </c>
      <c r="S93" s="70">
        <f t="shared" si="41"/>
        <v>-0.40546510810816444</v>
      </c>
      <c r="T93" s="70">
        <f t="shared" si="42"/>
        <v>-0.3111658132205064</v>
      </c>
      <c r="U93" s="70">
        <f t="shared" si="43"/>
        <v>-0.3111658132205064</v>
      </c>
      <c r="V93" s="70">
        <f t="shared" si="44"/>
        <v>0.91287092917527679</v>
      </c>
      <c r="W93" s="70">
        <f t="shared" si="45"/>
        <v>0.91287092917527679</v>
      </c>
      <c r="X93" s="70">
        <f t="shared" si="46"/>
        <v>0</v>
      </c>
      <c r="Y93" s="70">
        <f t="shared" si="47"/>
        <v>1.2909944487358056</v>
      </c>
      <c r="Z93" s="70">
        <f t="shared" si="48"/>
        <v>0</v>
      </c>
      <c r="AA93" s="69" t="str">
        <f t="shared" si="49"/>
        <v>Negligible</v>
      </c>
      <c r="AB93" s="69" t="str">
        <f t="shared" si="50"/>
        <v>Tidak Ada Indikasi Bias</v>
      </c>
    </row>
    <row r="94" spans="1:28" ht="26" x14ac:dyDescent="0.35">
      <c r="A94" s="95" t="str">
        <f>AUI!A88</f>
        <v>84. Kapan sebaiknya evaluasi kompetensi auditor dilakukan</v>
      </c>
      <c r="B94" s="69">
        <f>AUI!B88</f>
        <v>1</v>
      </c>
      <c r="C94" s="69">
        <f>AUI!C88</f>
        <v>1</v>
      </c>
      <c r="D94" s="69">
        <f>AUI!D88</f>
        <v>1</v>
      </c>
      <c r="E94" s="69">
        <f>AUI!E88</f>
        <v>1</v>
      </c>
      <c r="F94" s="69">
        <f>AUI!F88</f>
        <v>1</v>
      </c>
      <c r="G94" s="69">
        <f>AUI!G88</f>
        <v>1</v>
      </c>
      <c r="H94" s="69">
        <f>AUI!H88</f>
        <v>1</v>
      </c>
      <c r="I94" s="69">
        <f>AUI!I88</f>
        <v>0</v>
      </c>
      <c r="J94" s="69">
        <f>AUI!J88</f>
        <v>1</v>
      </c>
      <c r="K94" s="69">
        <f>AUI!K88</f>
        <v>0</v>
      </c>
      <c r="L94" s="69">
        <f t="shared" si="34"/>
        <v>5</v>
      </c>
      <c r="M94" s="69">
        <f t="shared" si="35"/>
        <v>5</v>
      </c>
      <c r="N94" s="69">
        <f t="shared" si="36"/>
        <v>4</v>
      </c>
      <c r="O94" s="69">
        <f t="shared" si="37"/>
        <v>4</v>
      </c>
      <c r="P94" s="69">
        <f t="shared" si="38"/>
        <v>4</v>
      </c>
      <c r="Q94" s="69">
        <f t="shared" si="39"/>
        <v>4</v>
      </c>
      <c r="R94" s="70">
        <f t="shared" si="40"/>
        <v>-1.3862943611198906</v>
      </c>
      <c r="S94" s="70">
        <f t="shared" si="41"/>
        <v>-1.3862943611198906</v>
      </c>
      <c r="T94" s="70">
        <f t="shared" si="42"/>
        <v>-1.2919950662322326</v>
      </c>
      <c r="U94" s="70">
        <f t="shared" si="43"/>
        <v>-1.2919950662322326</v>
      </c>
      <c r="V94" s="70">
        <f t="shared" si="44"/>
        <v>1.1180339887498949</v>
      </c>
      <c r="W94" s="70">
        <f t="shared" si="45"/>
        <v>1.1180339887498949</v>
      </c>
      <c r="X94" s="70">
        <f t="shared" si="46"/>
        <v>0</v>
      </c>
      <c r="Y94" s="70">
        <f t="shared" si="47"/>
        <v>1.5811388300841898</v>
      </c>
      <c r="Z94" s="70">
        <f t="shared" si="48"/>
        <v>0</v>
      </c>
      <c r="AA94" s="69" t="str">
        <f t="shared" si="49"/>
        <v>Negligible</v>
      </c>
      <c r="AB94" s="69" t="str">
        <f t="shared" si="50"/>
        <v>Tidak Ada Indikasi Bias</v>
      </c>
    </row>
    <row r="95" spans="1:28" ht="51" x14ac:dyDescent="0.35">
      <c r="A95" s="95" t="str">
        <f>AUI!A89</f>
        <v>85. Apa yang harus dilakukan jika hasil evaluasi menunjukkan bahwa auditor belum mencapai tingkat kompetensi yang diharapkan</v>
      </c>
      <c r="B95" s="69">
        <f>AUI!B89</f>
        <v>1</v>
      </c>
      <c r="C95" s="69">
        <f>AUI!C89</f>
        <v>0</v>
      </c>
      <c r="D95" s="69">
        <f>AUI!D89</f>
        <v>0</v>
      </c>
      <c r="E95" s="69">
        <f>AUI!E89</f>
        <v>1</v>
      </c>
      <c r="F95" s="69">
        <f>AUI!F89</f>
        <v>0</v>
      </c>
      <c r="G95" s="69">
        <f>AUI!G89</f>
        <v>0</v>
      </c>
      <c r="H95" s="69">
        <f>AUI!H89</f>
        <v>0</v>
      </c>
      <c r="I95" s="69">
        <f>AUI!I89</f>
        <v>0</v>
      </c>
      <c r="J95" s="69">
        <f>AUI!J89</f>
        <v>0</v>
      </c>
      <c r="K95" s="69">
        <f>AUI!K89</f>
        <v>0</v>
      </c>
      <c r="L95" s="69">
        <f t="shared" si="34"/>
        <v>5</v>
      </c>
      <c r="M95" s="69">
        <f t="shared" si="35"/>
        <v>5</v>
      </c>
      <c r="N95" s="69">
        <f t="shared" si="36"/>
        <v>1</v>
      </c>
      <c r="O95" s="69">
        <f t="shared" si="37"/>
        <v>1</v>
      </c>
      <c r="P95" s="69">
        <f t="shared" si="38"/>
        <v>1</v>
      </c>
      <c r="Q95" s="69">
        <f t="shared" si="39"/>
        <v>1</v>
      </c>
      <c r="R95" s="70">
        <f t="shared" si="40"/>
        <v>1.3862943611198906</v>
      </c>
      <c r="S95" s="70">
        <f t="shared" si="41"/>
        <v>1.3862943611198906</v>
      </c>
      <c r="T95" s="70">
        <f t="shared" si="42"/>
        <v>1.4805936560075486</v>
      </c>
      <c r="U95" s="70">
        <f t="shared" si="43"/>
        <v>1.4805936560075486</v>
      </c>
      <c r="V95" s="70">
        <f t="shared" si="44"/>
        <v>1.1180339887498949</v>
      </c>
      <c r="W95" s="70">
        <f t="shared" si="45"/>
        <v>1.1180339887498949</v>
      </c>
      <c r="X95" s="70">
        <f t="shared" si="46"/>
        <v>0</v>
      </c>
      <c r="Y95" s="70">
        <f t="shared" si="47"/>
        <v>1.5811388300841898</v>
      </c>
      <c r="Z95" s="70">
        <f t="shared" si="48"/>
        <v>0</v>
      </c>
      <c r="AA95" s="69" t="str">
        <f t="shared" si="49"/>
        <v>Negligible</v>
      </c>
      <c r="AB95" s="69" t="str">
        <f t="shared" si="50"/>
        <v>Tidak Ada Indikasi Bias</v>
      </c>
    </row>
    <row r="96" spans="1:28" ht="26" x14ac:dyDescent="0.35">
      <c r="A96" s="95" t="str">
        <f>AUI!A90</f>
        <v>86. Apa yang menjadi manfaat utama dari evaluasi kompetensi auditor</v>
      </c>
      <c r="B96" s="69">
        <f>AUI!B90</f>
        <v>0</v>
      </c>
      <c r="C96" s="69">
        <f>AUI!C90</f>
        <v>0</v>
      </c>
      <c r="D96" s="69">
        <f>AUI!D90</f>
        <v>1</v>
      </c>
      <c r="E96" s="69">
        <f>AUI!E90</f>
        <v>0</v>
      </c>
      <c r="F96" s="69">
        <f>AUI!F90</f>
        <v>1</v>
      </c>
      <c r="G96" s="69">
        <f>AUI!G90</f>
        <v>1</v>
      </c>
      <c r="H96" s="69">
        <f>AUI!H90</f>
        <v>1</v>
      </c>
      <c r="I96" s="69">
        <f>AUI!I90</f>
        <v>1</v>
      </c>
      <c r="J96" s="69">
        <f>AUI!J90</f>
        <v>1</v>
      </c>
      <c r="K96" s="69">
        <f>AUI!K90</f>
        <v>0</v>
      </c>
      <c r="L96" s="69">
        <f t="shared" si="34"/>
        <v>5</v>
      </c>
      <c r="M96" s="69">
        <f t="shared" si="35"/>
        <v>5</v>
      </c>
      <c r="N96" s="69">
        <f t="shared" si="36"/>
        <v>3</v>
      </c>
      <c r="O96" s="69">
        <f t="shared" si="37"/>
        <v>3</v>
      </c>
      <c r="P96" s="69">
        <f t="shared" si="38"/>
        <v>3</v>
      </c>
      <c r="Q96" s="69">
        <f t="shared" si="39"/>
        <v>3</v>
      </c>
      <c r="R96" s="70">
        <f t="shared" si="40"/>
        <v>-0.40546510810816444</v>
      </c>
      <c r="S96" s="70">
        <f t="shared" si="41"/>
        <v>-0.40546510810816444</v>
      </c>
      <c r="T96" s="70">
        <f t="shared" si="42"/>
        <v>-0.3111658132205064</v>
      </c>
      <c r="U96" s="70">
        <f t="shared" si="43"/>
        <v>-0.3111658132205064</v>
      </c>
      <c r="V96" s="70">
        <f t="shared" si="44"/>
        <v>0.91287092917527679</v>
      </c>
      <c r="W96" s="70">
        <f t="shared" si="45"/>
        <v>0.91287092917527679</v>
      </c>
      <c r="X96" s="70">
        <f t="shared" si="46"/>
        <v>0</v>
      </c>
      <c r="Y96" s="70">
        <f t="shared" si="47"/>
        <v>1.2909944487358056</v>
      </c>
      <c r="Z96" s="70">
        <f t="shared" si="48"/>
        <v>0</v>
      </c>
      <c r="AA96" s="69" t="str">
        <f t="shared" si="49"/>
        <v>Negligible</v>
      </c>
      <c r="AB96" s="69" t="str">
        <f t="shared" si="50"/>
        <v>Tidak Ada Indikasi Bias</v>
      </c>
    </row>
    <row r="97" spans="1:28" ht="37.5" customHeight="1" x14ac:dyDescent="0.35">
      <c r="A97" s="95" t="str">
        <f>AUI!A91</f>
        <v>87. Apa yang dimaksud dengan meningkatkan kompetensi auditor sesuai ISO 19011</v>
      </c>
      <c r="B97" s="69">
        <f>AUI!B91</f>
        <v>1</v>
      </c>
      <c r="C97" s="69">
        <f>AUI!C91</f>
        <v>1</v>
      </c>
      <c r="D97" s="69">
        <f>AUI!D91</f>
        <v>1</v>
      </c>
      <c r="E97" s="69">
        <f>AUI!E91</f>
        <v>1</v>
      </c>
      <c r="F97" s="69">
        <f>AUI!F91</f>
        <v>1</v>
      </c>
      <c r="G97" s="69">
        <f>AUI!G91</f>
        <v>1</v>
      </c>
      <c r="H97" s="69">
        <f>AUI!H91</f>
        <v>1</v>
      </c>
      <c r="I97" s="69">
        <f>AUI!I91</f>
        <v>0</v>
      </c>
      <c r="J97" s="69">
        <f>AUI!J91</f>
        <v>1</v>
      </c>
      <c r="K97" s="69">
        <f>AUI!K91</f>
        <v>0</v>
      </c>
      <c r="L97" s="69">
        <f t="shared" si="34"/>
        <v>5</v>
      </c>
      <c r="M97" s="69">
        <f t="shared" si="35"/>
        <v>5</v>
      </c>
      <c r="N97" s="69">
        <f t="shared" si="36"/>
        <v>4</v>
      </c>
      <c r="O97" s="69">
        <f t="shared" si="37"/>
        <v>4</v>
      </c>
      <c r="P97" s="69">
        <f t="shared" si="38"/>
        <v>4</v>
      </c>
      <c r="Q97" s="69">
        <f t="shared" si="39"/>
        <v>4</v>
      </c>
      <c r="R97" s="70">
        <f t="shared" si="40"/>
        <v>-1.3862943611198906</v>
      </c>
      <c r="S97" s="70">
        <f t="shared" si="41"/>
        <v>-1.3862943611198906</v>
      </c>
      <c r="T97" s="70">
        <f t="shared" si="42"/>
        <v>-1.2919950662322326</v>
      </c>
      <c r="U97" s="70">
        <f t="shared" si="43"/>
        <v>-1.2919950662322326</v>
      </c>
      <c r="V97" s="70">
        <f t="shared" si="44"/>
        <v>1.1180339887498949</v>
      </c>
      <c r="W97" s="70">
        <f t="shared" si="45"/>
        <v>1.1180339887498949</v>
      </c>
      <c r="X97" s="70">
        <f t="shared" si="46"/>
        <v>0</v>
      </c>
      <c r="Y97" s="70">
        <f t="shared" si="47"/>
        <v>1.5811388300841898</v>
      </c>
      <c r="Z97" s="70">
        <f t="shared" si="48"/>
        <v>0</v>
      </c>
      <c r="AA97" s="69" t="str">
        <f t="shared" si="49"/>
        <v>Negligible</v>
      </c>
      <c r="AB97" s="69" t="str">
        <f t="shared" si="50"/>
        <v>Tidak Ada Indikasi Bias</v>
      </c>
    </row>
    <row r="98" spans="1:28" ht="26" x14ac:dyDescent="0.35">
      <c r="A98" s="95" t="str">
        <f>AUI!A92</f>
        <v>88. Proses meningkatkan gaji auditor sebagai penghargaan atas kinerja mereka</v>
      </c>
      <c r="B98" s="69">
        <f>AUI!B92</f>
        <v>0</v>
      </c>
      <c r="C98" s="69">
        <f>AUI!C92</f>
        <v>1</v>
      </c>
      <c r="D98" s="69">
        <f>AUI!D92</f>
        <v>1</v>
      </c>
      <c r="E98" s="69">
        <f>AUI!E92</f>
        <v>0</v>
      </c>
      <c r="F98" s="69">
        <f>AUI!F92</f>
        <v>0</v>
      </c>
      <c r="G98" s="69">
        <f>AUI!G92</f>
        <v>1</v>
      </c>
      <c r="H98" s="69">
        <f>AUI!H92</f>
        <v>1</v>
      </c>
      <c r="I98" s="69">
        <f>AUI!I92</f>
        <v>0</v>
      </c>
      <c r="J98" s="69">
        <f>AUI!J92</f>
        <v>1</v>
      </c>
      <c r="K98" s="69">
        <f>AUI!K92</f>
        <v>1</v>
      </c>
      <c r="L98" s="69">
        <f t="shared" si="34"/>
        <v>5</v>
      </c>
      <c r="M98" s="69">
        <f t="shared" si="35"/>
        <v>5</v>
      </c>
      <c r="N98" s="69">
        <f t="shared" si="36"/>
        <v>3</v>
      </c>
      <c r="O98" s="69">
        <f t="shared" si="37"/>
        <v>3</v>
      </c>
      <c r="P98" s="69">
        <f t="shared" si="38"/>
        <v>3</v>
      </c>
      <c r="Q98" s="69">
        <f t="shared" si="39"/>
        <v>3</v>
      </c>
      <c r="R98" s="70">
        <f t="shared" si="40"/>
        <v>-0.40546510810816444</v>
      </c>
      <c r="S98" s="70">
        <f t="shared" si="41"/>
        <v>-0.40546510810816444</v>
      </c>
      <c r="T98" s="70">
        <f t="shared" si="42"/>
        <v>-0.3111658132205064</v>
      </c>
      <c r="U98" s="70">
        <f t="shared" si="43"/>
        <v>-0.3111658132205064</v>
      </c>
      <c r="V98" s="70">
        <f t="shared" si="44"/>
        <v>0.91287092917527679</v>
      </c>
      <c r="W98" s="70">
        <f t="shared" si="45"/>
        <v>0.91287092917527679</v>
      </c>
      <c r="X98" s="70">
        <f t="shared" si="46"/>
        <v>0</v>
      </c>
      <c r="Y98" s="70">
        <f t="shared" si="47"/>
        <v>1.2909944487358056</v>
      </c>
      <c r="Z98" s="70">
        <f t="shared" si="48"/>
        <v>0</v>
      </c>
      <c r="AA98" s="69" t="str">
        <f t="shared" si="49"/>
        <v>Negligible</v>
      </c>
      <c r="AB98" s="69" t="str">
        <f t="shared" si="50"/>
        <v>Tidak Ada Indikasi Bias</v>
      </c>
    </row>
    <row r="99" spans="1:28" ht="26" x14ac:dyDescent="0.35">
      <c r="A99" s="95" t="str">
        <f>AUI!A93</f>
        <v>89. Apa yang dapat dilakukan untuk meningkatkan kompetensi auditor</v>
      </c>
      <c r="B99" s="69">
        <f>AUI!B93</f>
        <v>1</v>
      </c>
      <c r="C99" s="69">
        <f>AUI!C93</f>
        <v>1</v>
      </c>
      <c r="D99" s="69">
        <f>AUI!D93</f>
        <v>1</v>
      </c>
      <c r="E99" s="69">
        <f>AUI!E93</f>
        <v>1</v>
      </c>
      <c r="F99" s="69">
        <f>AUI!F93</f>
        <v>1</v>
      </c>
      <c r="G99" s="69">
        <f>AUI!G93</f>
        <v>1</v>
      </c>
      <c r="H99" s="69">
        <f>AUI!H93</f>
        <v>1</v>
      </c>
      <c r="I99" s="69">
        <f>AUI!I93</f>
        <v>0</v>
      </c>
      <c r="J99" s="69">
        <f>AUI!J93</f>
        <v>0</v>
      </c>
      <c r="K99" s="69">
        <f>AUI!K93</f>
        <v>1</v>
      </c>
      <c r="L99" s="69">
        <f t="shared" si="34"/>
        <v>5</v>
      </c>
      <c r="M99" s="69">
        <f t="shared" si="35"/>
        <v>5</v>
      </c>
      <c r="N99" s="69">
        <f t="shared" si="36"/>
        <v>4</v>
      </c>
      <c r="O99" s="69">
        <f t="shared" si="37"/>
        <v>4</v>
      </c>
      <c r="P99" s="69">
        <f t="shared" si="38"/>
        <v>4</v>
      </c>
      <c r="Q99" s="69">
        <f t="shared" si="39"/>
        <v>4</v>
      </c>
      <c r="R99" s="70">
        <f t="shared" si="40"/>
        <v>-1.3862943611198906</v>
      </c>
      <c r="S99" s="70">
        <f t="shared" si="41"/>
        <v>-1.3862943611198906</v>
      </c>
      <c r="T99" s="70">
        <f t="shared" si="42"/>
        <v>-1.2919950662322326</v>
      </c>
      <c r="U99" s="70">
        <f t="shared" si="43"/>
        <v>-1.2919950662322326</v>
      </c>
      <c r="V99" s="70">
        <f t="shared" si="44"/>
        <v>1.1180339887498949</v>
      </c>
      <c r="W99" s="70">
        <f t="shared" si="45"/>
        <v>1.1180339887498949</v>
      </c>
      <c r="X99" s="70">
        <f t="shared" si="46"/>
        <v>0</v>
      </c>
      <c r="Y99" s="70">
        <f t="shared" si="47"/>
        <v>1.5811388300841898</v>
      </c>
      <c r="Z99" s="70">
        <f t="shared" si="48"/>
        <v>0</v>
      </c>
      <c r="AA99" s="69" t="str">
        <f t="shared" si="49"/>
        <v>Negligible</v>
      </c>
      <c r="AB99" s="69" t="str">
        <f t="shared" si="50"/>
        <v>Tidak Ada Indikasi Bias</v>
      </c>
    </row>
    <row r="100" spans="1:28" ht="37.5" customHeight="1" x14ac:dyDescent="0.35">
      <c r="A100" s="95" t="str">
        <f>AUI!A94</f>
        <v>90. Apa manfaat utama dari upaya meningkatkan kompetensi auditor</v>
      </c>
      <c r="B100" s="69">
        <f>AUI!B94</f>
        <v>0</v>
      </c>
      <c r="C100" s="69">
        <f>AUI!C94</f>
        <v>0</v>
      </c>
      <c r="D100" s="69">
        <f>AUI!D94</f>
        <v>0</v>
      </c>
      <c r="E100" s="69">
        <f>AUI!E94</f>
        <v>0</v>
      </c>
      <c r="F100" s="69">
        <f>AUI!F94</f>
        <v>0</v>
      </c>
      <c r="G100" s="69">
        <f>AUI!G94</f>
        <v>0</v>
      </c>
      <c r="H100" s="69">
        <f>AUI!H94</f>
        <v>1</v>
      </c>
      <c r="I100" s="69">
        <f>AUI!I94</f>
        <v>0</v>
      </c>
      <c r="J100" s="69">
        <f>AUI!J94</f>
        <v>1</v>
      </c>
      <c r="K100" s="69">
        <f>AUI!K94</f>
        <v>0</v>
      </c>
      <c r="L100" s="69">
        <f t="shared" si="34"/>
        <v>5</v>
      </c>
      <c r="M100" s="69">
        <f t="shared" si="35"/>
        <v>5</v>
      </c>
      <c r="N100" s="69">
        <f t="shared" si="36"/>
        <v>1</v>
      </c>
      <c r="O100" s="69">
        <f t="shared" si="37"/>
        <v>1</v>
      </c>
      <c r="P100" s="69">
        <f t="shared" si="38"/>
        <v>1</v>
      </c>
      <c r="Q100" s="69">
        <f t="shared" si="39"/>
        <v>1</v>
      </c>
      <c r="R100" s="70">
        <f t="shared" si="40"/>
        <v>1.3862943611198906</v>
      </c>
      <c r="S100" s="70">
        <f t="shared" si="41"/>
        <v>1.3862943611198906</v>
      </c>
      <c r="T100" s="70">
        <f t="shared" si="42"/>
        <v>1.4805936560075486</v>
      </c>
      <c r="U100" s="70">
        <f t="shared" si="43"/>
        <v>1.4805936560075486</v>
      </c>
      <c r="V100" s="70">
        <f t="shared" si="44"/>
        <v>1.1180339887498949</v>
      </c>
      <c r="W100" s="70">
        <f t="shared" si="45"/>
        <v>1.1180339887498949</v>
      </c>
      <c r="X100" s="70">
        <f t="shared" si="46"/>
        <v>0</v>
      </c>
      <c r="Y100" s="70">
        <f t="shared" si="47"/>
        <v>1.5811388300841898</v>
      </c>
      <c r="Z100" s="70">
        <f t="shared" si="48"/>
        <v>0</v>
      </c>
      <c r="AA100" s="69" t="str">
        <f t="shared" si="49"/>
        <v>Negligible</v>
      </c>
      <c r="AB100" s="69" t="str">
        <f t="shared" si="50"/>
        <v>Tidak Ada Indikasi Bias</v>
      </c>
    </row>
    <row r="101" spans="1:28" ht="63.5" x14ac:dyDescent="0.35">
      <c r="A101" s="95" t="str">
        <f>AUI!A95</f>
        <v>91. Bentuk peningkatan kompetensi dengan memberikan kesempatan kepada seseorang untuk menyaksikan pelaksanaan audit yang beragam maka seseorang tersebut berperan sebagai</v>
      </c>
      <c r="B101" s="69">
        <f>AUI!B95</f>
        <v>1</v>
      </c>
      <c r="C101" s="69">
        <f>AUI!C95</f>
        <v>1</v>
      </c>
      <c r="D101" s="69">
        <f>AUI!D95</f>
        <v>0</v>
      </c>
      <c r="E101" s="69">
        <f>AUI!E95</f>
        <v>1</v>
      </c>
      <c r="F101" s="69">
        <f>AUI!F95</f>
        <v>0</v>
      </c>
      <c r="G101" s="69">
        <f>AUI!G95</f>
        <v>0</v>
      </c>
      <c r="H101" s="69">
        <f>AUI!H95</f>
        <v>0</v>
      </c>
      <c r="I101" s="69">
        <f>AUI!I95</f>
        <v>0</v>
      </c>
      <c r="J101" s="69">
        <f>AUI!J95</f>
        <v>1</v>
      </c>
      <c r="K101" s="69">
        <f>AUI!K95</f>
        <v>0</v>
      </c>
      <c r="L101" s="69">
        <f t="shared" si="34"/>
        <v>5</v>
      </c>
      <c r="M101" s="69">
        <f t="shared" si="35"/>
        <v>5</v>
      </c>
      <c r="N101" s="69">
        <f t="shared" si="36"/>
        <v>2</v>
      </c>
      <c r="O101" s="69">
        <f t="shared" si="37"/>
        <v>2</v>
      </c>
      <c r="P101" s="69">
        <f t="shared" si="38"/>
        <v>2</v>
      </c>
      <c r="Q101" s="69">
        <f t="shared" si="39"/>
        <v>2</v>
      </c>
      <c r="R101" s="70">
        <f t="shared" si="40"/>
        <v>0.40546510810816438</v>
      </c>
      <c r="S101" s="70">
        <f t="shared" si="41"/>
        <v>0.40546510810816438</v>
      </c>
      <c r="T101" s="70">
        <f t="shared" si="42"/>
        <v>0.49976440299582248</v>
      </c>
      <c r="U101" s="70">
        <f t="shared" si="43"/>
        <v>0.49976440299582248</v>
      </c>
      <c r="V101" s="70">
        <f t="shared" si="44"/>
        <v>0.91287092917527679</v>
      </c>
      <c r="W101" s="70">
        <f t="shared" si="45"/>
        <v>0.91287092917527679</v>
      </c>
      <c r="X101" s="70">
        <f t="shared" si="46"/>
        <v>0</v>
      </c>
      <c r="Y101" s="70">
        <f t="shared" si="47"/>
        <v>1.2909944487358056</v>
      </c>
      <c r="Z101" s="70">
        <f t="shared" si="48"/>
        <v>0</v>
      </c>
      <c r="AA101" s="69" t="str">
        <f t="shared" si="49"/>
        <v>Negligible</v>
      </c>
      <c r="AB101" s="69" t="str">
        <f t="shared" si="50"/>
        <v>Tidak Ada Indikasi Bias</v>
      </c>
    </row>
    <row r="102" spans="1:28" ht="51" x14ac:dyDescent="0.35">
      <c r="A102" s="95" t="str">
        <f>AUI!A96</f>
        <v>92. Dalam Peninjauan Temuan Audit, Setiap member auditor akan menyampaikan temuan beserta justifikasinya kepada</v>
      </c>
      <c r="B102" s="69">
        <f>AUI!B96</f>
        <v>0</v>
      </c>
      <c r="C102" s="69">
        <f>AUI!C96</f>
        <v>0</v>
      </c>
      <c r="D102" s="69">
        <f>AUI!D96</f>
        <v>1</v>
      </c>
      <c r="E102" s="69">
        <f>AUI!E96</f>
        <v>1</v>
      </c>
      <c r="F102" s="69">
        <f>AUI!F96</f>
        <v>0</v>
      </c>
      <c r="G102" s="69">
        <f>AUI!G96</f>
        <v>1</v>
      </c>
      <c r="H102" s="69">
        <f>AUI!H96</f>
        <v>1</v>
      </c>
      <c r="I102" s="69">
        <f>AUI!I96</f>
        <v>1</v>
      </c>
      <c r="J102" s="69">
        <f>AUI!J96</f>
        <v>1</v>
      </c>
      <c r="K102" s="69">
        <f>AUI!K96</f>
        <v>0</v>
      </c>
      <c r="L102" s="69">
        <f t="shared" si="34"/>
        <v>5</v>
      </c>
      <c r="M102" s="69">
        <f t="shared" si="35"/>
        <v>5</v>
      </c>
      <c r="N102" s="69">
        <f t="shared" si="36"/>
        <v>3</v>
      </c>
      <c r="O102" s="69">
        <f t="shared" si="37"/>
        <v>3</v>
      </c>
      <c r="P102" s="69">
        <f t="shared" si="38"/>
        <v>3</v>
      </c>
      <c r="Q102" s="69">
        <f t="shared" si="39"/>
        <v>3</v>
      </c>
      <c r="R102" s="70">
        <f t="shared" si="40"/>
        <v>-0.40546510810816444</v>
      </c>
      <c r="S102" s="70">
        <f t="shared" si="41"/>
        <v>-0.40546510810816444</v>
      </c>
      <c r="T102" s="70">
        <f t="shared" si="42"/>
        <v>-0.3111658132205064</v>
      </c>
      <c r="U102" s="70">
        <f t="shared" si="43"/>
        <v>-0.3111658132205064</v>
      </c>
      <c r="V102" s="70">
        <f t="shared" si="44"/>
        <v>0.91287092917527679</v>
      </c>
      <c r="W102" s="70">
        <f t="shared" si="45"/>
        <v>0.91287092917527679</v>
      </c>
      <c r="X102" s="70">
        <f t="shared" si="46"/>
        <v>0</v>
      </c>
      <c r="Y102" s="70">
        <f t="shared" si="47"/>
        <v>1.2909944487358056</v>
      </c>
      <c r="Z102" s="70">
        <f t="shared" si="48"/>
        <v>0</v>
      </c>
      <c r="AA102" s="69" t="str">
        <f t="shared" si="49"/>
        <v>Negligible</v>
      </c>
      <c r="AB102" s="69" t="str">
        <f t="shared" si="50"/>
        <v>Tidak Ada Indikasi Bias</v>
      </c>
    </row>
    <row r="103" spans="1:28" ht="37.5" customHeight="1" x14ac:dyDescent="0.35">
      <c r="A103" s="95" t="str">
        <f>AUI!A97</f>
        <v>93. Peryataan yang SALAH dalam penyusunan Rapat Peninjauan Temuan Audit</v>
      </c>
      <c r="B103" s="69">
        <f>AUI!B97</f>
        <v>1</v>
      </c>
      <c r="C103" s="69">
        <f>AUI!C97</f>
        <v>1</v>
      </c>
      <c r="D103" s="69">
        <f>AUI!D97</f>
        <v>0</v>
      </c>
      <c r="E103" s="69">
        <f>AUI!E97</f>
        <v>1</v>
      </c>
      <c r="F103" s="69">
        <f>AUI!F97</f>
        <v>1</v>
      </c>
      <c r="G103" s="69">
        <f>AUI!G97</f>
        <v>0</v>
      </c>
      <c r="H103" s="69">
        <f>AUI!H97</f>
        <v>0</v>
      </c>
      <c r="I103" s="69">
        <f>AUI!I97</f>
        <v>0</v>
      </c>
      <c r="J103" s="69">
        <f>AUI!J97</f>
        <v>0</v>
      </c>
      <c r="K103" s="69">
        <f>AUI!K97</f>
        <v>0</v>
      </c>
      <c r="L103" s="69">
        <f t="shared" si="34"/>
        <v>5</v>
      </c>
      <c r="M103" s="69">
        <f t="shared" si="35"/>
        <v>5</v>
      </c>
      <c r="N103" s="69">
        <f t="shared" si="36"/>
        <v>2</v>
      </c>
      <c r="O103" s="69">
        <f t="shared" si="37"/>
        <v>2</v>
      </c>
      <c r="P103" s="69">
        <f t="shared" si="38"/>
        <v>2</v>
      </c>
      <c r="Q103" s="69">
        <f t="shared" si="39"/>
        <v>2</v>
      </c>
      <c r="R103" s="70">
        <f t="shared" si="40"/>
        <v>0.40546510810816438</v>
      </c>
      <c r="S103" s="70">
        <f t="shared" si="41"/>
        <v>0.40546510810816438</v>
      </c>
      <c r="T103" s="70">
        <f t="shared" si="42"/>
        <v>0.49976440299582248</v>
      </c>
      <c r="U103" s="70">
        <f t="shared" si="43"/>
        <v>0.49976440299582248</v>
      </c>
      <c r="V103" s="70">
        <f t="shared" si="44"/>
        <v>0.91287092917527679</v>
      </c>
      <c r="W103" s="70">
        <f t="shared" si="45"/>
        <v>0.91287092917527679</v>
      </c>
      <c r="X103" s="70">
        <f t="shared" si="46"/>
        <v>0</v>
      </c>
      <c r="Y103" s="70">
        <f t="shared" si="47"/>
        <v>1.2909944487358056</v>
      </c>
      <c r="Z103" s="70">
        <f t="shared" si="48"/>
        <v>0</v>
      </c>
      <c r="AA103" s="69" t="str">
        <f t="shared" si="49"/>
        <v>Negligible</v>
      </c>
      <c r="AB103" s="69" t="str">
        <f t="shared" si="50"/>
        <v>Tidak Ada Indikasi Bias</v>
      </c>
    </row>
    <row r="104" spans="1:28" ht="50" customHeight="1" x14ac:dyDescent="0.35">
      <c r="A104" s="95" t="str">
        <f>AUI!A98</f>
        <v>94. Apa yang harus dilakukan jika auditee tidak setuju dengan temuan dalam laporan audit</v>
      </c>
      <c r="B104" s="69">
        <f>AUI!B98</f>
        <v>0</v>
      </c>
      <c r="C104" s="69">
        <f>AUI!C98</f>
        <v>0</v>
      </c>
      <c r="D104" s="69">
        <f>AUI!D98</f>
        <v>1</v>
      </c>
      <c r="E104" s="69">
        <f>AUI!E98</f>
        <v>1</v>
      </c>
      <c r="F104" s="69">
        <f>AUI!F98</f>
        <v>0</v>
      </c>
      <c r="G104" s="69">
        <f>AUI!G98</f>
        <v>1</v>
      </c>
      <c r="H104" s="69">
        <f>AUI!H98</f>
        <v>1</v>
      </c>
      <c r="I104" s="69">
        <f>AUI!I98</f>
        <v>1</v>
      </c>
      <c r="J104" s="69">
        <f>AUI!J98</f>
        <v>0</v>
      </c>
      <c r="K104" s="69">
        <f>AUI!K98</f>
        <v>1</v>
      </c>
      <c r="L104" s="69">
        <f t="shared" si="34"/>
        <v>5</v>
      </c>
      <c r="M104" s="69">
        <f t="shared" si="35"/>
        <v>5</v>
      </c>
      <c r="N104" s="69">
        <f t="shared" si="36"/>
        <v>3</v>
      </c>
      <c r="O104" s="69">
        <f t="shared" si="37"/>
        <v>3</v>
      </c>
      <c r="P104" s="69">
        <f t="shared" si="38"/>
        <v>3</v>
      </c>
      <c r="Q104" s="69">
        <f t="shared" si="39"/>
        <v>3</v>
      </c>
      <c r="R104" s="70">
        <f t="shared" si="40"/>
        <v>-0.40546510810816444</v>
      </c>
      <c r="S104" s="70">
        <f t="shared" si="41"/>
        <v>-0.40546510810816444</v>
      </c>
      <c r="T104" s="70">
        <f t="shared" si="42"/>
        <v>-0.3111658132205064</v>
      </c>
      <c r="U104" s="70">
        <f t="shared" si="43"/>
        <v>-0.3111658132205064</v>
      </c>
      <c r="V104" s="70">
        <f t="shared" si="44"/>
        <v>0.91287092917527679</v>
      </c>
      <c r="W104" s="70">
        <f t="shared" si="45"/>
        <v>0.91287092917527679</v>
      </c>
      <c r="X104" s="70">
        <f t="shared" si="46"/>
        <v>0</v>
      </c>
      <c r="Y104" s="70">
        <f t="shared" si="47"/>
        <v>1.2909944487358056</v>
      </c>
      <c r="Z104" s="70">
        <f t="shared" si="48"/>
        <v>0</v>
      </c>
      <c r="AA104" s="69" t="str">
        <f t="shared" si="49"/>
        <v>Negligible</v>
      </c>
      <c r="AB104" s="69" t="str">
        <f t="shared" si="50"/>
        <v>Tidak Ada Indikasi Bias</v>
      </c>
    </row>
    <row r="105" spans="1:28" ht="38.5" x14ac:dyDescent="0.35">
      <c r="A105" s="95" t="str">
        <f>AUI!A99</f>
        <v>95. Apa yang harus dilakukan jika ada informasi yang sensitif dalam laporan audit</v>
      </c>
      <c r="B105" s="69">
        <f>AUI!B99</f>
        <v>1</v>
      </c>
      <c r="C105" s="69">
        <f>AUI!C99</f>
        <v>0</v>
      </c>
      <c r="D105" s="69">
        <f>AUI!D99</f>
        <v>0</v>
      </c>
      <c r="E105" s="69">
        <f>AUI!E99</f>
        <v>1</v>
      </c>
      <c r="F105" s="69">
        <f>AUI!F99</f>
        <v>1</v>
      </c>
      <c r="G105" s="69">
        <f>AUI!G99</f>
        <v>1</v>
      </c>
      <c r="H105" s="69">
        <f>AUI!H99</f>
        <v>0</v>
      </c>
      <c r="I105" s="69">
        <f>AUI!I99</f>
        <v>0</v>
      </c>
      <c r="J105" s="69">
        <f>AUI!J99</f>
        <v>0</v>
      </c>
      <c r="K105" s="69">
        <f>AUI!K99</f>
        <v>0</v>
      </c>
      <c r="L105" s="69">
        <f t="shared" si="34"/>
        <v>5</v>
      </c>
      <c r="M105" s="69">
        <f t="shared" si="35"/>
        <v>5</v>
      </c>
      <c r="N105" s="69">
        <f t="shared" si="36"/>
        <v>2</v>
      </c>
      <c r="O105" s="69">
        <f t="shared" si="37"/>
        <v>2</v>
      </c>
      <c r="P105" s="69">
        <f t="shared" si="38"/>
        <v>2</v>
      </c>
      <c r="Q105" s="69">
        <f t="shared" si="39"/>
        <v>2</v>
      </c>
      <c r="R105" s="70">
        <f t="shared" si="40"/>
        <v>0.40546510810816438</v>
      </c>
      <c r="S105" s="70">
        <f t="shared" si="41"/>
        <v>0.40546510810816438</v>
      </c>
      <c r="T105" s="70">
        <f t="shared" si="42"/>
        <v>0.49976440299582248</v>
      </c>
      <c r="U105" s="70">
        <f t="shared" si="43"/>
        <v>0.49976440299582248</v>
      </c>
      <c r="V105" s="70">
        <f t="shared" si="44"/>
        <v>0.91287092917527679</v>
      </c>
      <c r="W105" s="70">
        <f t="shared" si="45"/>
        <v>0.91287092917527679</v>
      </c>
      <c r="X105" s="70">
        <f t="shared" si="46"/>
        <v>0</v>
      </c>
      <c r="Y105" s="70">
        <f t="shared" si="47"/>
        <v>1.2909944487358056</v>
      </c>
      <c r="Z105" s="70">
        <f t="shared" si="48"/>
        <v>0</v>
      </c>
      <c r="AA105" s="69" t="str">
        <f t="shared" si="49"/>
        <v>Negligible</v>
      </c>
      <c r="AB105" s="69" t="str">
        <f t="shared" si="50"/>
        <v>Tidak Ada Indikasi Bias</v>
      </c>
    </row>
    <row r="106" spans="1:28" ht="26" x14ac:dyDescent="0.35">
      <c r="A106" s="95" t="str">
        <f>AUI!A100</f>
        <v>96. Apa yang harus termasuk dalam laporan audit</v>
      </c>
      <c r="B106" s="69">
        <f>AUI!B100</f>
        <v>1</v>
      </c>
      <c r="C106" s="69">
        <f>AUI!C100</f>
        <v>0</v>
      </c>
      <c r="D106" s="69">
        <f>AUI!D100</f>
        <v>1</v>
      </c>
      <c r="E106" s="69">
        <f>AUI!E100</f>
        <v>1</v>
      </c>
      <c r="F106" s="69">
        <f>AUI!F100</f>
        <v>0</v>
      </c>
      <c r="G106" s="69">
        <f>AUI!G100</f>
        <v>1</v>
      </c>
      <c r="H106" s="69">
        <f>AUI!H100</f>
        <v>1</v>
      </c>
      <c r="I106" s="69">
        <f>AUI!I100</f>
        <v>1</v>
      </c>
      <c r="J106" s="69">
        <f>AUI!J100</f>
        <v>1</v>
      </c>
      <c r="K106" s="69">
        <f>AUI!K100</f>
        <v>1</v>
      </c>
      <c r="L106" s="69">
        <f t="shared" si="34"/>
        <v>5</v>
      </c>
      <c r="M106" s="69">
        <f t="shared" si="35"/>
        <v>5</v>
      </c>
      <c r="N106" s="69">
        <f t="shared" si="36"/>
        <v>4</v>
      </c>
      <c r="O106" s="69">
        <f t="shared" si="37"/>
        <v>4</v>
      </c>
      <c r="P106" s="69">
        <f t="shared" si="38"/>
        <v>4</v>
      </c>
      <c r="Q106" s="69">
        <f t="shared" si="39"/>
        <v>4</v>
      </c>
      <c r="R106" s="70">
        <f t="shared" si="40"/>
        <v>-1.3862943611198906</v>
      </c>
      <c r="S106" s="70">
        <f t="shared" si="41"/>
        <v>-1.3862943611198906</v>
      </c>
      <c r="T106" s="70">
        <f t="shared" si="42"/>
        <v>-1.2919950662322326</v>
      </c>
      <c r="U106" s="70">
        <f t="shared" si="43"/>
        <v>-1.2919950662322326</v>
      </c>
      <c r="V106" s="70">
        <f t="shared" si="44"/>
        <v>1.1180339887498949</v>
      </c>
      <c r="W106" s="70">
        <f t="shared" si="45"/>
        <v>1.1180339887498949</v>
      </c>
      <c r="X106" s="70">
        <f t="shared" si="46"/>
        <v>0</v>
      </c>
      <c r="Y106" s="70">
        <f t="shared" si="47"/>
        <v>1.5811388300841898</v>
      </c>
      <c r="Z106" s="70">
        <f t="shared" si="48"/>
        <v>0</v>
      </c>
      <c r="AA106" s="69" t="str">
        <f t="shared" si="49"/>
        <v>Negligible</v>
      </c>
      <c r="AB106" s="69" t="str">
        <f t="shared" si="50"/>
        <v>Tidak Ada Indikasi Bias</v>
      </c>
    </row>
    <row r="107" spans="1:28" ht="26" x14ac:dyDescent="0.35">
      <c r="A107" s="95" t="str">
        <f>AUI!A101</f>
        <v>97. Mengapa penting untuk melakukan tindak lanjut terhadap temuan audit</v>
      </c>
      <c r="B107" s="69">
        <f>AUI!B101</f>
        <v>0</v>
      </c>
      <c r="C107" s="69">
        <f>AUI!C101</f>
        <v>0</v>
      </c>
      <c r="D107" s="69">
        <f>AUI!D101</f>
        <v>1</v>
      </c>
      <c r="E107" s="69">
        <f>AUI!E101</f>
        <v>1</v>
      </c>
      <c r="F107" s="69">
        <f>AUI!F101</f>
        <v>0</v>
      </c>
      <c r="G107" s="69">
        <f>AUI!G101</f>
        <v>1</v>
      </c>
      <c r="H107" s="69">
        <f>AUI!H101</f>
        <v>1</v>
      </c>
      <c r="I107" s="69">
        <f>AUI!I101</f>
        <v>1</v>
      </c>
      <c r="J107" s="69">
        <f>AUI!J101</f>
        <v>1</v>
      </c>
      <c r="K107" s="69">
        <f>AUI!K101</f>
        <v>0</v>
      </c>
      <c r="L107" s="69">
        <f t="shared" si="34"/>
        <v>5</v>
      </c>
      <c r="M107" s="69">
        <f t="shared" si="35"/>
        <v>5</v>
      </c>
      <c r="N107" s="69">
        <f t="shared" si="36"/>
        <v>3</v>
      </c>
      <c r="O107" s="69">
        <f t="shared" si="37"/>
        <v>3</v>
      </c>
      <c r="P107" s="69">
        <f t="shared" si="38"/>
        <v>3</v>
      </c>
      <c r="Q107" s="69">
        <f t="shared" si="39"/>
        <v>3</v>
      </c>
      <c r="R107" s="70">
        <f t="shared" si="40"/>
        <v>-0.40546510810816444</v>
      </c>
      <c r="S107" s="70">
        <f t="shared" si="41"/>
        <v>-0.40546510810816444</v>
      </c>
      <c r="T107" s="70">
        <f t="shared" si="42"/>
        <v>-0.3111658132205064</v>
      </c>
      <c r="U107" s="70">
        <f t="shared" si="43"/>
        <v>-0.3111658132205064</v>
      </c>
      <c r="V107" s="70">
        <f t="shared" si="44"/>
        <v>0.91287092917527679</v>
      </c>
      <c r="W107" s="70">
        <f t="shared" si="45"/>
        <v>0.91287092917527679</v>
      </c>
      <c r="X107" s="70">
        <f t="shared" si="46"/>
        <v>0</v>
      </c>
      <c r="Y107" s="70">
        <f t="shared" si="47"/>
        <v>1.2909944487358056</v>
      </c>
      <c r="Z107" s="70">
        <f t="shared" ref="Z107:Z110" si="51">X107/Y107</f>
        <v>0</v>
      </c>
      <c r="AA107" s="69" t="str">
        <f t="shared" ref="AA107:AA110" si="52">IF(AND(ABS(X107)&gt;=$B$4,ABS(Z107)&gt;=$B$5),"DIF Besar - review",IF(AND(ABS(X107)&gt;=$B$3,ABS(Z107)&gt;=$B$5),"DIF Moderat - cek","Negligible"))</f>
        <v>Negligible</v>
      </c>
      <c r="AB107" s="69" t="str">
        <f t="shared" si="50"/>
        <v>Tidak Ada Indikasi Bias</v>
      </c>
    </row>
    <row r="108" spans="1:28" ht="62.5" customHeight="1" x14ac:dyDescent="0.35">
      <c r="A108" s="95" t="str">
        <f>AUI!A102</f>
        <v>98. Siapa yang bertanggung jawab untuk menentukn setiap tindakan perbaikan dan tindakan pencegahan yang diperlukan</v>
      </c>
      <c r="B108" s="69">
        <f>AUI!B102</f>
        <v>0</v>
      </c>
      <c r="C108" s="69">
        <f>AUI!C102</f>
        <v>0</v>
      </c>
      <c r="D108" s="69">
        <f>AUI!D102</f>
        <v>1</v>
      </c>
      <c r="E108" s="69">
        <f>AUI!E102</f>
        <v>0</v>
      </c>
      <c r="F108" s="69">
        <f>AUI!F102</f>
        <v>0</v>
      </c>
      <c r="G108" s="69">
        <f>AUI!G102</f>
        <v>1</v>
      </c>
      <c r="H108" s="69">
        <f>AUI!H102</f>
        <v>0</v>
      </c>
      <c r="I108" s="69">
        <f>AUI!I102</f>
        <v>1</v>
      </c>
      <c r="J108" s="69">
        <f>AUI!J102</f>
        <v>1</v>
      </c>
      <c r="K108" s="69">
        <f>AUI!K102</f>
        <v>0</v>
      </c>
      <c r="L108" s="69">
        <f t="shared" si="34"/>
        <v>5</v>
      </c>
      <c r="M108" s="69">
        <f t="shared" si="35"/>
        <v>5</v>
      </c>
      <c r="N108" s="69">
        <f t="shared" si="36"/>
        <v>2</v>
      </c>
      <c r="O108" s="69">
        <f t="shared" si="37"/>
        <v>2</v>
      </c>
      <c r="P108" s="69">
        <f t="shared" si="38"/>
        <v>2</v>
      </c>
      <c r="Q108" s="69">
        <f t="shared" si="39"/>
        <v>2</v>
      </c>
      <c r="R108" s="70">
        <f t="shared" si="40"/>
        <v>0.40546510810816438</v>
      </c>
      <c r="S108" s="70">
        <f t="shared" si="41"/>
        <v>0.40546510810816438</v>
      </c>
      <c r="T108" s="70">
        <f t="shared" si="42"/>
        <v>0.49976440299582248</v>
      </c>
      <c r="U108" s="70">
        <f t="shared" si="43"/>
        <v>0.49976440299582248</v>
      </c>
      <c r="V108" s="70">
        <f t="shared" si="44"/>
        <v>0.91287092917527679</v>
      </c>
      <c r="W108" s="70">
        <f t="shared" si="45"/>
        <v>0.91287092917527679</v>
      </c>
      <c r="X108" s="70">
        <f t="shared" si="46"/>
        <v>0</v>
      </c>
      <c r="Y108" s="70">
        <f t="shared" si="47"/>
        <v>1.2909944487358056</v>
      </c>
      <c r="Z108" s="70">
        <f t="shared" si="51"/>
        <v>0</v>
      </c>
      <c r="AA108" s="69" t="str">
        <f t="shared" si="52"/>
        <v>Negligible</v>
      </c>
      <c r="AB108" s="69" t="str">
        <f t="shared" si="50"/>
        <v>Tidak Ada Indikasi Bias</v>
      </c>
    </row>
    <row r="109" spans="1:28" ht="38.5" x14ac:dyDescent="0.35">
      <c r="A109" s="95" t="str">
        <f>AUI!A103</f>
        <v>99. Hasil Audit Internal akan dilaporkan dan menjadi salah satu topik bahasan dalam rapat</v>
      </c>
      <c r="B109" s="69">
        <f>AUI!B103</f>
        <v>1</v>
      </c>
      <c r="C109" s="69">
        <f>AUI!C103</f>
        <v>1</v>
      </c>
      <c r="D109" s="69">
        <f>AUI!D103</f>
        <v>0</v>
      </c>
      <c r="E109" s="69">
        <f>AUI!E103</f>
        <v>1</v>
      </c>
      <c r="F109" s="69">
        <f>AUI!F103</f>
        <v>1</v>
      </c>
      <c r="G109" s="69">
        <f>AUI!G103</f>
        <v>0</v>
      </c>
      <c r="H109" s="69">
        <f>AUI!H103</f>
        <v>0</v>
      </c>
      <c r="I109" s="69">
        <f>AUI!I103</f>
        <v>1</v>
      </c>
      <c r="J109" s="69">
        <f>AUI!J103</f>
        <v>1</v>
      </c>
      <c r="K109" s="69">
        <f>AUI!K103</f>
        <v>0</v>
      </c>
      <c r="L109" s="69">
        <f t="shared" si="34"/>
        <v>5</v>
      </c>
      <c r="M109" s="69">
        <f t="shared" si="35"/>
        <v>5</v>
      </c>
      <c r="N109" s="69">
        <f t="shared" si="36"/>
        <v>3</v>
      </c>
      <c r="O109" s="69">
        <f t="shared" si="37"/>
        <v>3</v>
      </c>
      <c r="P109" s="69">
        <f t="shared" si="38"/>
        <v>3</v>
      </c>
      <c r="Q109" s="69">
        <f t="shared" si="39"/>
        <v>3</v>
      </c>
      <c r="R109" s="70">
        <f t="shared" si="40"/>
        <v>-0.40546510810816444</v>
      </c>
      <c r="S109" s="70">
        <f t="shared" si="41"/>
        <v>-0.40546510810816444</v>
      </c>
      <c r="T109" s="70">
        <f t="shared" si="42"/>
        <v>-0.3111658132205064</v>
      </c>
      <c r="U109" s="70">
        <f t="shared" si="43"/>
        <v>-0.3111658132205064</v>
      </c>
      <c r="V109" s="70">
        <f t="shared" si="44"/>
        <v>0.91287092917527679</v>
      </c>
      <c r="W109" s="70">
        <f t="shared" si="45"/>
        <v>0.91287092917527679</v>
      </c>
      <c r="X109" s="70">
        <f t="shared" si="46"/>
        <v>0</v>
      </c>
      <c r="Y109" s="70">
        <f t="shared" si="47"/>
        <v>1.2909944487358056</v>
      </c>
      <c r="Z109" s="70">
        <f t="shared" si="51"/>
        <v>0</v>
      </c>
      <c r="AA109" s="69" t="str">
        <f t="shared" si="52"/>
        <v>Negligible</v>
      </c>
      <c r="AB109" s="69" t="str">
        <f t="shared" si="50"/>
        <v>Tidak Ada Indikasi Bias</v>
      </c>
    </row>
    <row r="110" spans="1:28" ht="62.5" customHeight="1" x14ac:dyDescent="0.35">
      <c r="A110" s="95" t="str">
        <f>AUI!A104</f>
        <v>100. Auditor memberikan opini verifikasi bukti tindak lanjut audit telah cukup dan memadai, maka selanjutnya Auditor akan</v>
      </c>
      <c r="B110" s="69">
        <f>AUI!B104</f>
        <v>1</v>
      </c>
      <c r="C110" s="69">
        <f>AUI!C104</f>
        <v>0</v>
      </c>
      <c r="D110" s="69">
        <f>AUI!D104</f>
        <v>0</v>
      </c>
      <c r="E110" s="69">
        <f>AUI!E104</f>
        <v>0</v>
      </c>
      <c r="F110" s="69">
        <f>AUI!F104</f>
        <v>1</v>
      </c>
      <c r="G110" s="69">
        <f>AUI!G104</f>
        <v>1</v>
      </c>
      <c r="H110" s="69">
        <f>AUI!H104</f>
        <v>0</v>
      </c>
      <c r="I110" s="69">
        <f>AUI!I104</f>
        <v>1</v>
      </c>
      <c r="J110" s="69">
        <f>AUI!J104</f>
        <v>1</v>
      </c>
      <c r="K110" s="69">
        <f>AUI!K104</f>
        <v>1</v>
      </c>
      <c r="L110" s="69">
        <f t="shared" si="34"/>
        <v>5</v>
      </c>
      <c r="M110" s="69">
        <f t="shared" si="35"/>
        <v>5</v>
      </c>
      <c r="N110" s="69">
        <f t="shared" si="36"/>
        <v>3</v>
      </c>
      <c r="O110" s="69">
        <f t="shared" si="37"/>
        <v>3</v>
      </c>
      <c r="P110" s="69">
        <f t="shared" si="38"/>
        <v>3</v>
      </c>
      <c r="Q110" s="69">
        <f t="shared" si="39"/>
        <v>3</v>
      </c>
      <c r="R110" s="70">
        <f t="shared" si="40"/>
        <v>-0.40546510810816444</v>
      </c>
      <c r="S110" s="70">
        <f t="shared" si="41"/>
        <v>-0.40546510810816444</v>
      </c>
      <c r="T110" s="70">
        <f t="shared" si="42"/>
        <v>-0.3111658132205064</v>
      </c>
      <c r="U110" s="70">
        <f t="shared" si="43"/>
        <v>-0.3111658132205064</v>
      </c>
      <c r="V110" s="70">
        <f t="shared" si="44"/>
        <v>0.91287092917527679</v>
      </c>
      <c r="W110" s="70">
        <f t="shared" si="45"/>
        <v>0.91287092917527679</v>
      </c>
      <c r="X110" s="70">
        <f t="shared" si="46"/>
        <v>0</v>
      </c>
      <c r="Y110" s="70">
        <f t="shared" si="47"/>
        <v>1.2909944487358056</v>
      </c>
      <c r="Z110" s="70">
        <f t="shared" si="51"/>
        <v>0</v>
      </c>
      <c r="AA110" s="69" t="str">
        <f t="shared" si="52"/>
        <v>Negligible</v>
      </c>
      <c r="AB110" s="69" t="str">
        <f t="shared" si="50"/>
        <v>Tidak Ada Indikasi Bias</v>
      </c>
    </row>
    <row r="111" spans="1:28" x14ac:dyDescent="0.35">
      <c r="A111" s="67"/>
      <c r="B111" s="68">
        <f t="shared" ref="B111:K111" si="53">SUM(B11:B110)</f>
        <v>46</v>
      </c>
      <c r="C111" s="68">
        <f t="shared" si="53"/>
        <v>60</v>
      </c>
      <c r="D111" s="68">
        <f t="shared" si="53"/>
        <v>59</v>
      </c>
      <c r="E111" s="68">
        <f t="shared" si="53"/>
        <v>55</v>
      </c>
      <c r="F111" s="68">
        <f t="shared" si="53"/>
        <v>58</v>
      </c>
      <c r="G111" s="68">
        <f t="shared" si="53"/>
        <v>54</v>
      </c>
      <c r="H111" s="68">
        <f t="shared" si="53"/>
        <v>50</v>
      </c>
      <c r="I111" s="68">
        <f t="shared" si="53"/>
        <v>51</v>
      </c>
      <c r="J111" s="68">
        <f t="shared" si="53"/>
        <v>48</v>
      </c>
      <c r="K111" s="68">
        <f t="shared" si="53"/>
        <v>41</v>
      </c>
      <c r="L111" s="67"/>
      <c r="M111" s="67"/>
      <c r="N111" s="67"/>
      <c r="O111" s="67"/>
      <c r="P111" s="67"/>
      <c r="Q111" s="67"/>
      <c r="R111" s="67"/>
      <c r="S111" s="67"/>
      <c r="T111" s="67"/>
      <c r="U111" s="67"/>
      <c r="V111" s="67"/>
      <c r="W111" s="67"/>
      <c r="X111" s="67"/>
      <c r="Y111" s="67"/>
      <c r="Z111" s="67"/>
      <c r="AA111" s="67"/>
      <c r="AB111" s="67"/>
    </row>
    <row r="112" spans="1:28" x14ac:dyDescent="0.35">
      <c r="A112" s="1"/>
      <c r="L112"/>
    </row>
  </sheetData>
  <mergeCells count="28">
    <mergeCell ref="AB9:AB10"/>
    <mergeCell ref="R9:R10"/>
    <mergeCell ref="S9:S10"/>
    <mergeCell ref="T9:T10"/>
    <mergeCell ref="U9:U10"/>
    <mergeCell ref="V9:V10"/>
    <mergeCell ref="X9:X10"/>
    <mergeCell ref="Y9:Y10"/>
    <mergeCell ref="Z9:Z10"/>
    <mergeCell ref="AA9:AA10"/>
    <mergeCell ref="W9:W10"/>
    <mergeCell ref="A1:AC1"/>
    <mergeCell ref="P3:S3"/>
    <mergeCell ref="K4:M4"/>
    <mergeCell ref="P4:R4"/>
    <mergeCell ref="K5:M5"/>
    <mergeCell ref="P5:S5"/>
    <mergeCell ref="K6:M6"/>
    <mergeCell ref="P6:S6"/>
    <mergeCell ref="A9:A10"/>
    <mergeCell ref="B9:K9"/>
    <mergeCell ref="L9:L10"/>
    <mergeCell ref="M9:M10"/>
    <mergeCell ref="N9:N10"/>
    <mergeCell ref="O9:O10"/>
    <mergeCell ref="J7:AA7"/>
    <mergeCell ref="P9:P10"/>
    <mergeCell ref="Q9:Q10"/>
  </mergeCells>
  <pageMargins left="0.26" right="0.16" top="0.6" bottom="0.36" header="0.3" footer="0.3"/>
  <pageSetup scale="59"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D1D99-49A2-4363-BDA9-3220DBA124B0}">
  <dimension ref="A1:AE113"/>
  <sheetViews>
    <sheetView view="pageBreakPreview" zoomScale="48" zoomScaleNormal="77" zoomScaleSheetLayoutView="48" workbookViewId="0">
      <selection activeCell="L21" sqref="L21"/>
    </sheetView>
  </sheetViews>
  <sheetFormatPr defaultRowHeight="14.5" x14ac:dyDescent="0.35"/>
  <cols>
    <col min="1" max="1" width="40.453125" style="2" customWidth="1"/>
    <col min="2" max="11" width="5.36328125" style="1" customWidth="1"/>
    <col min="12" max="12" width="12.54296875" customWidth="1"/>
    <col min="13" max="13" width="8.08984375" customWidth="1"/>
    <col min="14" max="14" width="10.90625" customWidth="1"/>
    <col min="15" max="15" width="18.453125" customWidth="1"/>
    <col min="16" max="16" width="8.54296875" customWidth="1"/>
    <col min="17" max="17" width="14.36328125" style="8" customWidth="1"/>
    <col min="18" max="27" width="8" style="8" customWidth="1"/>
    <col min="28" max="28" width="9.54296875" style="8" customWidth="1"/>
    <col min="29" max="30" width="9.08984375" style="8"/>
  </cols>
  <sheetData>
    <row r="1" spans="1:31" ht="15.75" customHeight="1" x14ac:dyDescent="0.35">
      <c r="A1" s="111" t="s">
        <v>788</v>
      </c>
      <c r="B1" s="112"/>
      <c r="C1" s="112"/>
      <c r="D1" s="112"/>
      <c r="E1" s="112"/>
      <c r="F1" s="112"/>
      <c r="G1" s="112"/>
      <c r="H1" s="112"/>
      <c r="I1" s="112"/>
      <c r="J1" s="112"/>
      <c r="K1" s="112"/>
      <c r="L1" s="112"/>
      <c r="M1" s="112"/>
      <c r="N1" s="112"/>
      <c r="O1" s="112"/>
      <c r="P1" s="19"/>
      <c r="Q1" s="20"/>
      <c r="R1" s="20"/>
      <c r="S1" s="20"/>
      <c r="T1" s="20"/>
      <c r="U1" s="20"/>
      <c r="V1" s="20"/>
      <c r="W1" s="20"/>
      <c r="X1" s="20"/>
      <c r="Y1" s="20"/>
      <c r="Z1" s="20"/>
      <c r="AA1" s="20"/>
      <c r="AB1" s="20"/>
      <c r="AC1" s="20"/>
      <c r="AD1" s="20"/>
      <c r="AE1" s="19"/>
    </row>
    <row r="2" spans="1:31" s="6" customFormat="1" ht="42" x14ac:dyDescent="0.3">
      <c r="A2" s="21" t="s">
        <v>756</v>
      </c>
      <c r="B2" s="102" t="s">
        <v>758</v>
      </c>
      <c r="C2" s="102" t="s">
        <v>757</v>
      </c>
      <c r="D2" s="102" t="s">
        <v>758</v>
      </c>
      <c r="E2" s="102" t="s">
        <v>758</v>
      </c>
      <c r="F2" s="102" t="s">
        <v>757</v>
      </c>
      <c r="G2" s="102" t="s">
        <v>757</v>
      </c>
      <c r="H2" s="102" t="s">
        <v>758</v>
      </c>
      <c r="I2" s="102" t="s">
        <v>757</v>
      </c>
      <c r="J2" s="102" t="s">
        <v>758</v>
      </c>
      <c r="K2" s="102" t="s">
        <v>757</v>
      </c>
      <c r="L2" s="33"/>
      <c r="M2" s="33"/>
      <c r="N2" s="33"/>
      <c r="O2" s="33"/>
      <c r="P2" s="33"/>
      <c r="Q2" s="20"/>
      <c r="R2" s="20"/>
      <c r="S2" s="20"/>
      <c r="T2" s="20"/>
      <c r="U2" s="20"/>
      <c r="V2" s="20"/>
      <c r="W2" s="20"/>
      <c r="X2" s="20"/>
      <c r="Y2" s="20"/>
      <c r="Z2" s="20"/>
      <c r="AA2" s="20"/>
      <c r="AB2" s="20"/>
      <c r="AC2" s="20"/>
      <c r="AD2" s="20"/>
      <c r="AE2" s="33"/>
    </row>
    <row r="3" spans="1:31" x14ac:dyDescent="0.35">
      <c r="A3" s="114" t="s">
        <v>0</v>
      </c>
      <c r="B3" s="114" t="s">
        <v>633</v>
      </c>
      <c r="C3" s="114"/>
      <c r="D3" s="114"/>
      <c r="E3" s="114"/>
      <c r="F3" s="114"/>
      <c r="G3" s="114"/>
      <c r="H3" s="114"/>
      <c r="I3" s="114"/>
      <c r="J3" s="114"/>
      <c r="K3" s="114"/>
      <c r="L3" s="114" t="s">
        <v>101</v>
      </c>
      <c r="M3" s="114" t="s">
        <v>102</v>
      </c>
      <c r="N3" s="114" t="s">
        <v>103</v>
      </c>
      <c r="O3" s="109" t="s">
        <v>102</v>
      </c>
      <c r="P3" s="19"/>
      <c r="Q3" s="22" t="s">
        <v>106</v>
      </c>
      <c r="R3" s="20"/>
      <c r="S3" s="20"/>
      <c r="T3" s="20"/>
      <c r="U3" s="20"/>
      <c r="V3" s="20"/>
      <c r="W3" s="20"/>
      <c r="X3" s="20"/>
      <c r="Y3" s="20"/>
      <c r="Z3" s="20"/>
      <c r="AA3" s="20"/>
      <c r="AB3" s="20"/>
      <c r="AC3" s="20"/>
      <c r="AD3" s="20"/>
      <c r="AE3" s="19"/>
    </row>
    <row r="4" spans="1:31" x14ac:dyDescent="0.35">
      <c r="A4" s="114"/>
      <c r="B4" s="23">
        <v>1</v>
      </c>
      <c r="C4" s="23">
        <v>2</v>
      </c>
      <c r="D4" s="23">
        <v>3</v>
      </c>
      <c r="E4" s="23">
        <v>4</v>
      </c>
      <c r="F4" s="23">
        <v>5</v>
      </c>
      <c r="G4" s="23">
        <v>6</v>
      </c>
      <c r="H4" s="23">
        <v>7</v>
      </c>
      <c r="I4" s="23">
        <v>8</v>
      </c>
      <c r="J4" s="23">
        <v>9</v>
      </c>
      <c r="K4" s="23">
        <v>10</v>
      </c>
      <c r="L4" s="114"/>
      <c r="M4" s="114"/>
      <c r="N4" s="114"/>
      <c r="O4" s="109"/>
      <c r="P4" s="19"/>
      <c r="Q4" s="109" t="s">
        <v>108</v>
      </c>
      <c r="R4" s="131" t="s">
        <v>633</v>
      </c>
      <c r="S4" s="131"/>
      <c r="T4" s="131"/>
      <c r="U4" s="131"/>
      <c r="V4" s="131"/>
      <c r="W4" s="131"/>
      <c r="X4" s="131"/>
      <c r="Y4" s="131"/>
      <c r="Z4" s="131"/>
      <c r="AA4" s="131"/>
      <c r="AB4" s="109" t="s">
        <v>107</v>
      </c>
      <c r="AC4" s="109" t="s">
        <v>109</v>
      </c>
      <c r="AD4" s="109" t="s">
        <v>110</v>
      </c>
      <c r="AE4" s="19"/>
    </row>
    <row r="5" spans="1:31" ht="28" x14ac:dyDescent="0.35">
      <c r="A5" s="24" t="s">
        <v>1</v>
      </c>
      <c r="B5" s="25">
        <v>1</v>
      </c>
      <c r="C5" s="25">
        <v>1</v>
      </c>
      <c r="D5" s="25">
        <v>1</v>
      </c>
      <c r="E5" s="25">
        <v>1</v>
      </c>
      <c r="F5" s="25">
        <v>1</v>
      </c>
      <c r="G5" s="25">
        <v>1</v>
      </c>
      <c r="H5" s="25">
        <v>0</v>
      </c>
      <c r="I5" s="25">
        <v>0</v>
      </c>
      <c r="J5" s="25">
        <v>0</v>
      </c>
      <c r="K5" s="25">
        <v>0</v>
      </c>
      <c r="L5" s="3">
        <f>SUM(B5:K5)/10</f>
        <v>0.6</v>
      </c>
      <c r="M5" s="26" t="str">
        <f>IF(L5&lt;0.31,"sukar",IF(L5&lt;0.71,"sedang","mudah"))</f>
        <v>sedang</v>
      </c>
      <c r="N5" s="3">
        <f>ABS((SUM(B5:D5,F5)-SUM(H5:K5))*2/8)</f>
        <v>1</v>
      </c>
      <c r="O5" s="26" t="str">
        <f>IF(N5&lt;0.2,"soal dibuang",IF(N5&lt;0.3,"soal diperbaiki",IF(N5&lt;0.4,"soal diterima tapi perlu diperbaiki","soal diterima baik")))</f>
        <v>soal diterima baik</v>
      </c>
      <c r="P5" s="19"/>
      <c r="Q5" s="109"/>
      <c r="R5" s="27"/>
      <c r="S5" s="27"/>
      <c r="T5" s="27"/>
      <c r="U5" s="27"/>
      <c r="V5" s="27"/>
      <c r="W5" s="27"/>
      <c r="X5" s="27"/>
      <c r="Y5" s="27"/>
      <c r="Z5" s="27"/>
      <c r="AA5" s="27"/>
      <c r="AB5" s="109"/>
      <c r="AC5" s="109"/>
      <c r="AD5" s="109"/>
      <c r="AE5" s="19"/>
    </row>
    <row r="6" spans="1:31" ht="42" customHeight="1" x14ac:dyDescent="0.35">
      <c r="A6" s="28" t="s">
        <v>2</v>
      </c>
      <c r="B6" s="25">
        <v>1</v>
      </c>
      <c r="C6" s="25">
        <v>1</v>
      </c>
      <c r="D6" s="25">
        <v>0</v>
      </c>
      <c r="E6" s="25">
        <v>0</v>
      </c>
      <c r="F6" s="25">
        <v>0</v>
      </c>
      <c r="G6" s="25">
        <v>0</v>
      </c>
      <c r="H6" s="25">
        <v>1</v>
      </c>
      <c r="I6" s="25">
        <v>1</v>
      </c>
      <c r="J6" s="25">
        <v>1</v>
      </c>
      <c r="K6" s="25">
        <v>1</v>
      </c>
      <c r="L6" s="3">
        <f t="shared" ref="L6:L69" si="0">SUM(B6:K6)/10</f>
        <v>0.6</v>
      </c>
      <c r="M6" s="26" t="str">
        <f t="shared" ref="M6:M69" si="1">IF(L6&lt;0.31,"sukar",IF(L6&lt;0.71,"sedang","mudah"))</f>
        <v>sedang</v>
      </c>
      <c r="N6" s="3">
        <f t="shared" ref="N6:N69" si="2">ABS((SUM(B6:D6,F6)-SUM(H6:K6))*2/8)</f>
        <v>0.5</v>
      </c>
      <c r="O6" s="26" t="str">
        <f t="shared" ref="O6:O69" si="3">IF(N6&lt;0.2,"soal dibuang",IF(N6&lt;0.3,"soal diperbaiki",IF(N6&lt;0.4,"soal diterima tapi perlu diperbaiki","soal diterima baik")))</f>
        <v>soal diterima baik</v>
      </c>
      <c r="P6" s="19"/>
      <c r="Q6" s="26">
        <v>1</v>
      </c>
      <c r="R6" s="29">
        <f>B5</f>
        <v>1</v>
      </c>
      <c r="S6" s="29">
        <f t="shared" ref="S6:AA6" si="4">C5</f>
        <v>1</v>
      </c>
      <c r="T6" s="29">
        <f t="shared" si="4"/>
        <v>1</v>
      </c>
      <c r="U6" s="29">
        <f t="shared" si="4"/>
        <v>1</v>
      </c>
      <c r="V6" s="29">
        <f t="shared" si="4"/>
        <v>1</v>
      </c>
      <c r="W6" s="29">
        <f t="shared" si="4"/>
        <v>1</v>
      </c>
      <c r="X6" s="29">
        <f t="shared" si="4"/>
        <v>0</v>
      </c>
      <c r="Y6" s="29">
        <f t="shared" si="4"/>
        <v>0</v>
      </c>
      <c r="Z6" s="29">
        <f t="shared" si="4"/>
        <v>0</v>
      </c>
      <c r="AA6" s="29">
        <f t="shared" si="4"/>
        <v>0</v>
      </c>
      <c r="AB6" s="3">
        <f>SUM(R6:AA6)/COUNT(R6:AA6)</f>
        <v>0.6</v>
      </c>
      <c r="AC6" s="3">
        <f>1-AB6</f>
        <v>0.4</v>
      </c>
      <c r="AD6" s="3">
        <f>AB6*AC6</f>
        <v>0.24</v>
      </c>
      <c r="AE6" s="19"/>
    </row>
    <row r="7" spans="1:31" ht="39" customHeight="1" x14ac:dyDescent="0.35">
      <c r="A7" s="24" t="s">
        <v>3</v>
      </c>
      <c r="B7" s="25">
        <v>1</v>
      </c>
      <c r="C7" s="25">
        <v>1</v>
      </c>
      <c r="D7" s="25">
        <v>1</v>
      </c>
      <c r="E7" s="25">
        <v>0</v>
      </c>
      <c r="F7" s="25">
        <v>1</v>
      </c>
      <c r="G7" s="25">
        <v>0</v>
      </c>
      <c r="H7" s="25">
        <v>0</v>
      </c>
      <c r="I7" s="25">
        <v>0</v>
      </c>
      <c r="J7" s="25">
        <v>0</v>
      </c>
      <c r="K7" s="25">
        <v>0</v>
      </c>
      <c r="L7" s="3">
        <f t="shared" si="0"/>
        <v>0.4</v>
      </c>
      <c r="M7" s="26" t="str">
        <f t="shared" si="1"/>
        <v>sedang</v>
      </c>
      <c r="N7" s="3">
        <f t="shared" si="2"/>
        <v>1</v>
      </c>
      <c r="O7" s="26" t="str">
        <f t="shared" si="3"/>
        <v>soal diterima baik</v>
      </c>
      <c r="P7" s="19"/>
      <c r="Q7" s="26">
        <v>2</v>
      </c>
      <c r="R7" s="29">
        <f t="shared" ref="R7:R70" si="5">B6</f>
        <v>1</v>
      </c>
      <c r="S7" s="29">
        <f t="shared" ref="S7:S70" si="6">C6</f>
        <v>1</v>
      </c>
      <c r="T7" s="29">
        <f t="shared" ref="T7:T70" si="7">D6</f>
        <v>0</v>
      </c>
      <c r="U7" s="29">
        <f t="shared" ref="U7:U70" si="8">E6</f>
        <v>0</v>
      </c>
      <c r="V7" s="29">
        <f t="shared" ref="V7:V70" si="9">F6</f>
        <v>0</v>
      </c>
      <c r="W7" s="29">
        <f t="shared" ref="W7:W70" si="10">G6</f>
        <v>0</v>
      </c>
      <c r="X7" s="29">
        <f t="shared" ref="X7:X70" si="11">H6</f>
        <v>1</v>
      </c>
      <c r="Y7" s="29">
        <f t="shared" ref="Y7:Y70" si="12">I6</f>
        <v>1</v>
      </c>
      <c r="Z7" s="29">
        <f t="shared" ref="Z7:Z70" si="13">J6</f>
        <v>1</v>
      </c>
      <c r="AA7" s="29">
        <f t="shared" ref="AA7:AA70" si="14">K6</f>
        <v>1</v>
      </c>
      <c r="AB7" s="3">
        <f t="shared" ref="AB7:AB70" si="15">SUM(R7:AA7)/COUNT(R7:AA7)</f>
        <v>0.6</v>
      </c>
      <c r="AC7" s="3">
        <f t="shared" ref="AC7:AC70" si="16">1-AB7</f>
        <v>0.4</v>
      </c>
      <c r="AD7" s="3">
        <f t="shared" ref="AD7:AD70" si="17">AB7*AC7</f>
        <v>0.24</v>
      </c>
      <c r="AE7" s="19"/>
    </row>
    <row r="8" spans="1:31" ht="41.25" customHeight="1" x14ac:dyDescent="0.35">
      <c r="A8" s="24" t="s">
        <v>4</v>
      </c>
      <c r="B8" s="25">
        <v>1</v>
      </c>
      <c r="C8" s="25">
        <v>1</v>
      </c>
      <c r="D8" s="25">
        <v>1</v>
      </c>
      <c r="E8" s="25">
        <v>0</v>
      </c>
      <c r="F8" s="25">
        <v>1</v>
      </c>
      <c r="G8" s="25">
        <v>0</v>
      </c>
      <c r="H8" s="25">
        <v>0</v>
      </c>
      <c r="I8" s="25">
        <v>0</v>
      </c>
      <c r="J8" s="25">
        <v>1</v>
      </c>
      <c r="K8" s="25">
        <v>1</v>
      </c>
      <c r="L8" s="3">
        <f t="shared" si="0"/>
        <v>0.6</v>
      </c>
      <c r="M8" s="26" t="str">
        <f t="shared" si="1"/>
        <v>sedang</v>
      </c>
      <c r="N8" s="3">
        <f t="shared" si="2"/>
        <v>0.5</v>
      </c>
      <c r="O8" s="26" t="str">
        <f t="shared" si="3"/>
        <v>soal diterima baik</v>
      </c>
      <c r="P8" s="19"/>
      <c r="Q8" s="26">
        <v>3</v>
      </c>
      <c r="R8" s="29">
        <f t="shared" si="5"/>
        <v>1</v>
      </c>
      <c r="S8" s="29">
        <f t="shared" si="6"/>
        <v>1</v>
      </c>
      <c r="T8" s="29">
        <f t="shared" si="7"/>
        <v>1</v>
      </c>
      <c r="U8" s="29">
        <f t="shared" si="8"/>
        <v>0</v>
      </c>
      <c r="V8" s="29">
        <f t="shared" si="9"/>
        <v>1</v>
      </c>
      <c r="W8" s="29">
        <f t="shared" si="10"/>
        <v>0</v>
      </c>
      <c r="X8" s="29">
        <f t="shared" si="11"/>
        <v>0</v>
      </c>
      <c r="Y8" s="29">
        <f t="shared" si="12"/>
        <v>0</v>
      </c>
      <c r="Z8" s="29">
        <f t="shared" si="13"/>
        <v>0</v>
      </c>
      <c r="AA8" s="29">
        <f t="shared" si="14"/>
        <v>0</v>
      </c>
      <c r="AB8" s="3">
        <f t="shared" si="15"/>
        <v>0.4</v>
      </c>
      <c r="AC8" s="3">
        <f t="shared" si="16"/>
        <v>0.6</v>
      </c>
      <c r="AD8" s="3">
        <f t="shared" si="17"/>
        <v>0.24</v>
      </c>
      <c r="AE8" s="19"/>
    </row>
    <row r="9" spans="1:31" ht="54.75" customHeight="1" x14ac:dyDescent="0.35">
      <c r="A9" s="28" t="s">
        <v>5</v>
      </c>
      <c r="B9" s="25">
        <v>1</v>
      </c>
      <c r="C9" s="25">
        <v>1</v>
      </c>
      <c r="D9" s="25">
        <v>1</v>
      </c>
      <c r="E9" s="25">
        <v>1</v>
      </c>
      <c r="F9" s="25">
        <v>1</v>
      </c>
      <c r="G9" s="25">
        <v>1</v>
      </c>
      <c r="H9" s="25">
        <v>0</v>
      </c>
      <c r="I9" s="25">
        <v>0</v>
      </c>
      <c r="J9" s="25">
        <v>0</v>
      </c>
      <c r="K9" s="25">
        <v>0</v>
      </c>
      <c r="L9" s="3">
        <f t="shared" si="0"/>
        <v>0.6</v>
      </c>
      <c r="M9" s="26" t="str">
        <f t="shared" si="1"/>
        <v>sedang</v>
      </c>
      <c r="N9" s="3">
        <f t="shared" si="2"/>
        <v>1</v>
      </c>
      <c r="O9" s="26" t="str">
        <f t="shared" si="3"/>
        <v>soal diterima baik</v>
      </c>
      <c r="P9" s="19"/>
      <c r="Q9" s="26">
        <v>4</v>
      </c>
      <c r="R9" s="29">
        <f t="shared" si="5"/>
        <v>1</v>
      </c>
      <c r="S9" s="29">
        <f t="shared" si="6"/>
        <v>1</v>
      </c>
      <c r="T9" s="29">
        <f t="shared" si="7"/>
        <v>1</v>
      </c>
      <c r="U9" s="29">
        <f t="shared" si="8"/>
        <v>0</v>
      </c>
      <c r="V9" s="29">
        <f t="shared" si="9"/>
        <v>1</v>
      </c>
      <c r="W9" s="29">
        <f t="shared" si="10"/>
        <v>0</v>
      </c>
      <c r="X9" s="29">
        <f t="shared" si="11"/>
        <v>0</v>
      </c>
      <c r="Y9" s="29">
        <f t="shared" si="12"/>
        <v>0</v>
      </c>
      <c r="Z9" s="29">
        <f t="shared" si="13"/>
        <v>1</v>
      </c>
      <c r="AA9" s="29">
        <f t="shared" si="14"/>
        <v>1</v>
      </c>
      <c r="AB9" s="3">
        <f t="shared" si="15"/>
        <v>0.6</v>
      </c>
      <c r="AC9" s="3">
        <f t="shared" si="16"/>
        <v>0.4</v>
      </c>
      <c r="AD9" s="3">
        <f t="shared" si="17"/>
        <v>0.24</v>
      </c>
      <c r="AE9" s="19"/>
    </row>
    <row r="10" spans="1:31" ht="52.5" customHeight="1" x14ac:dyDescent="0.35">
      <c r="A10" s="30" t="s">
        <v>6</v>
      </c>
      <c r="B10" s="25">
        <v>1</v>
      </c>
      <c r="C10" s="25">
        <v>1</v>
      </c>
      <c r="D10" s="25">
        <v>1</v>
      </c>
      <c r="E10" s="25">
        <v>1</v>
      </c>
      <c r="F10" s="25">
        <v>1</v>
      </c>
      <c r="G10" s="25">
        <v>1</v>
      </c>
      <c r="H10" s="25">
        <v>0</v>
      </c>
      <c r="I10" s="25">
        <v>0</v>
      </c>
      <c r="J10" s="25">
        <v>0</v>
      </c>
      <c r="K10" s="25">
        <v>0</v>
      </c>
      <c r="L10" s="3">
        <f t="shared" si="0"/>
        <v>0.6</v>
      </c>
      <c r="M10" s="26" t="str">
        <f t="shared" si="1"/>
        <v>sedang</v>
      </c>
      <c r="N10" s="3">
        <f t="shared" si="2"/>
        <v>1</v>
      </c>
      <c r="O10" s="26" t="str">
        <f t="shared" si="3"/>
        <v>soal diterima baik</v>
      </c>
      <c r="P10" s="19"/>
      <c r="Q10" s="26">
        <v>5</v>
      </c>
      <c r="R10" s="29">
        <f t="shared" si="5"/>
        <v>1</v>
      </c>
      <c r="S10" s="29">
        <f t="shared" si="6"/>
        <v>1</v>
      </c>
      <c r="T10" s="29">
        <f t="shared" si="7"/>
        <v>1</v>
      </c>
      <c r="U10" s="29">
        <f t="shared" si="8"/>
        <v>1</v>
      </c>
      <c r="V10" s="29">
        <f t="shared" si="9"/>
        <v>1</v>
      </c>
      <c r="W10" s="29">
        <f t="shared" si="10"/>
        <v>1</v>
      </c>
      <c r="X10" s="29">
        <f t="shared" si="11"/>
        <v>0</v>
      </c>
      <c r="Y10" s="29">
        <f t="shared" si="12"/>
        <v>0</v>
      </c>
      <c r="Z10" s="29">
        <f t="shared" si="13"/>
        <v>0</v>
      </c>
      <c r="AA10" s="29">
        <f t="shared" si="14"/>
        <v>0</v>
      </c>
      <c r="AB10" s="3">
        <f t="shared" si="15"/>
        <v>0.6</v>
      </c>
      <c r="AC10" s="3">
        <f t="shared" si="16"/>
        <v>0.4</v>
      </c>
      <c r="AD10" s="3">
        <f t="shared" si="17"/>
        <v>0.24</v>
      </c>
      <c r="AE10" s="19"/>
    </row>
    <row r="11" spans="1:31" ht="46.5" customHeight="1" x14ac:dyDescent="0.35">
      <c r="A11" s="28" t="s">
        <v>7</v>
      </c>
      <c r="B11" s="25">
        <v>1</v>
      </c>
      <c r="C11" s="25">
        <v>1</v>
      </c>
      <c r="D11" s="25">
        <v>1</v>
      </c>
      <c r="E11" s="25">
        <v>0</v>
      </c>
      <c r="F11" s="25">
        <v>1</v>
      </c>
      <c r="G11" s="25">
        <v>0</v>
      </c>
      <c r="H11" s="25">
        <v>0</v>
      </c>
      <c r="I11" s="25">
        <v>0</v>
      </c>
      <c r="J11" s="25">
        <v>0</v>
      </c>
      <c r="K11" s="25">
        <v>0</v>
      </c>
      <c r="L11" s="3">
        <f t="shared" si="0"/>
        <v>0.4</v>
      </c>
      <c r="M11" s="26" t="str">
        <f t="shared" si="1"/>
        <v>sedang</v>
      </c>
      <c r="N11" s="3">
        <f t="shared" si="2"/>
        <v>1</v>
      </c>
      <c r="O11" s="26" t="str">
        <f t="shared" si="3"/>
        <v>soal diterima baik</v>
      </c>
      <c r="P11" s="19"/>
      <c r="Q11" s="26">
        <v>6</v>
      </c>
      <c r="R11" s="29">
        <f t="shared" si="5"/>
        <v>1</v>
      </c>
      <c r="S11" s="29">
        <f t="shared" si="6"/>
        <v>1</v>
      </c>
      <c r="T11" s="29">
        <f t="shared" si="7"/>
        <v>1</v>
      </c>
      <c r="U11" s="29">
        <f t="shared" si="8"/>
        <v>1</v>
      </c>
      <c r="V11" s="29">
        <f t="shared" si="9"/>
        <v>1</v>
      </c>
      <c r="W11" s="29">
        <f t="shared" si="10"/>
        <v>1</v>
      </c>
      <c r="X11" s="29">
        <f t="shared" si="11"/>
        <v>0</v>
      </c>
      <c r="Y11" s="29">
        <f t="shared" si="12"/>
        <v>0</v>
      </c>
      <c r="Z11" s="29">
        <f t="shared" si="13"/>
        <v>0</v>
      </c>
      <c r="AA11" s="29">
        <f t="shared" si="14"/>
        <v>0</v>
      </c>
      <c r="AB11" s="3">
        <f t="shared" si="15"/>
        <v>0.6</v>
      </c>
      <c r="AC11" s="3">
        <f t="shared" si="16"/>
        <v>0.4</v>
      </c>
      <c r="AD11" s="3">
        <f t="shared" si="17"/>
        <v>0.24</v>
      </c>
      <c r="AE11" s="19"/>
    </row>
    <row r="12" spans="1:31" ht="69" customHeight="1" x14ac:dyDescent="0.35">
      <c r="A12" s="24" t="s">
        <v>8</v>
      </c>
      <c r="B12" s="25">
        <v>1</v>
      </c>
      <c r="C12" s="25">
        <v>1</v>
      </c>
      <c r="D12" s="25">
        <v>0</v>
      </c>
      <c r="E12" s="25">
        <v>0</v>
      </c>
      <c r="F12" s="25">
        <v>0</v>
      </c>
      <c r="G12" s="25">
        <v>0</v>
      </c>
      <c r="H12" s="25">
        <v>1</v>
      </c>
      <c r="I12" s="25">
        <v>1</v>
      </c>
      <c r="J12" s="25">
        <v>1</v>
      </c>
      <c r="K12" s="25">
        <v>1</v>
      </c>
      <c r="L12" s="3">
        <f t="shared" si="0"/>
        <v>0.6</v>
      </c>
      <c r="M12" s="26" t="str">
        <f t="shared" si="1"/>
        <v>sedang</v>
      </c>
      <c r="N12" s="3">
        <f t="shared" si="2"/>
        <v>0.5</v>
      </c>
      <c r="O12" s="26" t="str">
        <f t="shared" si="3"/>
        <v>soal diterima baik</v>
      </c>
      <c r="P12" s="19"/>
      <c r="Q12" s="26">
        <v>7</v>
      </c>
      <c r="R12" s="29">
        <f t="shared" si="5"/>
        <v>1</v>
      </c>
      <c r="S12" s="29">
        <f t="shared" si="6"/>
        <v>1</v>
      </c>
      <c r="T12" s="29">
        <f t="shared" si="7"/>
        <v>1</v>
      </c>
      <c r="U12" s="29">
        <f t="shared" si="8"/>
        <v>0</v>
      </c>
      <c r="V12" s="29">
        <f t="shared" si="9"/>
        <v>1</v>
      </c>
      <c r="W12" s="29">
        <f t="shared" si="10"/>
        <v>0</v>
      </c>
      <c r="X12" s="29">
        <f t="shared" si="11"/>
        <v>0</v>
      </c>
      <c r="Y12" s="29">
        <f t="shared" si="12"/>
        <v>0</v>
      </c>
      <c r="Z12" s="29">
        <f t="shared" si="13"/>
        <v>0</v>
      </c>
      <c r="AA12" s="29">
        <f t="shared" si="14"/>
        <v>0</v>
      </c>
      <c r="AB12" s="3">
        <f t="shared" si="15"/>
        <v>0.4</v>
      </c>
      <c r="AC12" s="3">
        <f t="shared" si="16"/>
        <v>0.6</v>
      </c>
      <c r="AD12" s="3">
        <f t="shared" si="17"/>
        <v>0.24</v>
      </c>
      <c r="AE12" s="19"/>
    </row>
    <row r="13" spans="1:31" ht="85.5" customHeight="1" x14ac:dyDescent="0.35">
      <c r="A13" s="30" t="s">
        <v>9</v>
      </c>
      <c r="B13" s="25">
        <v>1</v>
      </c>
      <c r="C13" s="25">
        <v>1</v>
      </c>
      <c r="D13" s="25">
        <v>0</v>
      </c>
      <c r="E13" s="25">
        <v>0</v>
      </c>
      <c r="F13" s="25">
        <v>0</v>
      </c>
      <c r="G13" s="25">
        <v>0</v>
      </c>
      <c r="H13" s="25">
        <v>0</v>
      </c>
      <c r="I13" s="25">
        <v>0</v>
      </c>
      <c r="J13" s="25">
        <v>0</v>
      </c>
      <c r="K13" s="25">
        <v>0</v>
      </c>
      <c r="L13" s="3">
        <f t="shared" si="0"/>
        <v>0.2</v>
      </c>
      <c r="M13" s="26" t="str">
        <f t="shared" si="1"/>
        <v>sukar</v>
      </c>
      <c r="N13" s="3">
        <f t="shared" si="2"/>
        <v>0.5</v>
      </c>
      <c r="O13" s="26" t="str">
        <f t="shared" si="3"/>
        <v>soal diterima baik</v>
      </c>
      <c r="P13" s="19"/>
      <c r="Q13" s="26">
        <v>8</v>
      </c>
      <c r="R13" s="29">
        <f t="shared" si="5"/>
        <v>1</v>
      </c>
      <c r="S13" s="29">
        <f t="shared" si="6"/>
        <v>1</v>
      </c>
      <c r="T13" s="29">
        <f t="shared" si="7"/>
        <v>0</v>
      </c>
      <c r="U13" s="29">
        <f t="shared" si="8"/>
        <v>0</v>
      </c>
      <c r="V13" s="29">
        <f t="shared" si="9"/>
        <v>0</v>
      </c>
      <c r="W13" s="29">
        <f t="shared" si="10"/>
        <v>0</v>
      </c>
      <c r="X13" s="29">
        <f t="shared" si="11"/>
        <v>1</v>
      </c>
      <c r="Y13" s="29">
        <f t="shared" si="12"/>
        <v>1</v>
      </c>
      <c r="Z13" s="29">
        <f t="shared" si="13"/>
        <v>1</v>
      </c>
      <c r="AA13" s="29">
        <f t="shared" si="14"/>
        <v>1</v>
      </c>
      <c r="AB13" s="3">
        <f t="shared" si="15"/>
        <v>0.6</v>
      </c>
      <c r="AC13" s="3">
        <f t="shared" si="16"/>
        <v>0.4</v>
      </c>
      <c r="AD13" s="3">
        <f t="shared" si="17"/>
        <v>0.24</v>
      </c>
      <c r="AE13" s="19"/>
    </row>
    <row r="14" spans="1:31" ht="86.25" customHeight="1" x14ac:dyDescent="0.35">
      <c r="A14" s="24" t="s">
        <v>10</v>
      </c>
      <c r="B14" s="25">
        <v>1</v>
      </c>
      <c r="C14" s="25">
        <v>1</v>
      </c>
      <c r="D14" s="25">
        <v>1</v>
      </c>
      <c r="E14" s="25">
        <v>1</v>
      </c>
      <c r="F14" s="25">
        <v>1</v>
      </c>
      <c r="G14" s="25">
        <v>1</v>
      </c>
      <c r="H14" s="25">
        <v>0</v>
      </c>
      <c r="I14" s="25">
        <v>0</v>
      </c>
      <c r="J14" s="25">
        <v>0</v>
      </c>
      <c r="K14" s="25">
        <v>0</v>
      </c>
      <c r="L14" s="3">
        <f t="shared" si="0"/>
        <v>0.6</v>
      </c>
      <c r="M14" s="26" t="str">
        <f t="shared" si="1"/>
        <v>sedang</v>
      </c>
      <c r="N14" s="3">
        <f t="shared" si="2"/>
        <v>1</v>
      </c>
      <c r="O14" s="26" t="str">
        <f t="shared" si="3"/>
        <v>soal diterima baik</v>
      </c>
      <c r="P14" s="19"/>
      <c r="Q14" s="26">
        <v>9</v>
      </c>
      <c r="R14" s="29">
        <f t="shared" si="5"/>
        <v>1</v>
      </c>
      <c r="S14" s="29">
        <f t="shared" si="6"/>
        <v>1</v>
      </c>
      <c r="T14" s="29">
        <f t="shared" si="7"/>
        <v>0</v>
      </c>
      <c r="U14" s="29">
        <f t="shared" si="8"/>
        <v>0</v>
      </c>
      <c r="V14" s="29">
        <f t="shared" si="9"/>
        <v>0</v>
      </c>
      <c r="W14" s="29">
        <f t="shared" si="10"/>
        <v>0</v>
      </c>
      <c r="X14" s="29">
        <f t="shared" si="11"/>
        <v>0</v>
      </c>
      <c r="Y14" s="29">
        <f t="shared" si="12"/>
        <v>0</v>
      </c>
      <c r="Z14" s="29">
        <f t="shared" si="13"/>
        <v>0</v>
      </c>
      <c r="AA14" s="29">
        <f t="shared" si="14"/>
        <v>0</v>
      </c>
      <c r="AB14" s="3">
        <f t="shared" si="15"/>
        <v>0.2</v>
      </c>
      <c r="AC14" s="3">
        <f t="shared" si="16"/>
        <v>0.8</v>
      </c>
      <c r="AD14" s="3">
        <f t="shared" si="17"/>
        <v>0.16000000000000003</v>
      </c>
      <c r="AE14" s="19"/>
    </row>
    <row r="15" spans="1:31" ht="56.25" customHeight="1" x14ac:dyDescent="0.35">
      <c r="A15" s="30" t="s">
        <v>11</v>
      </c>
      <c r="B15" s="25">
        <v>1</v>
      </c>
      <c r="C15" s="25">
        <v>1</v>
      </c>
      <c r="D15" s="25">
        <v>1</v>
      </c>
      <c r="E15" s="25">
        <v>0</v>
      </c>
      <c r="F15" s="25">
        <v>1</v>
      </c>
      <c r="G15" s="25">
        <v>0</v>
      </c>
      <c r="H15" s="25">
        <v>0</v>
      </c>
      <c r="I15" s="25">
        <v>0</v>
      </c>
      <c r="J15" s="25">
        <v>0</v>
      </c>
      <c r="K15" s="25">
        <v>0</v>
      </c>
      <c r="L15" s="3">
        <f t="shared" si="0"/>
        <v>0.4</v>
      </c>
      <c r="M15" s="26" t="str">
        <f t="shared" si="1"/>
        <v>sedang</v>
      </c>
      <c r="N15" s="3">
        <f t="shared" si="2"/>
        <v>1</v>
      </c>
      <c r="O15" s="26" t="str">
        <f t="shared" si="3"/>
        <v>soal diterima baik</v>
      </c>
      <c r="P15" s="19"/>
      <c r="Q15" s="26">
        <v>10</v>
      </c>
      <c r="R15" s="29">
        <f t="shared" si="5"/>
        <v>1</v>
      </c>
      <c r="S15" s="29">
        <f t="shared" si="6"/>
        <v>1</v>
      </c>
      <c r="T15" s="29">
        <f t="shared" si="7"/>
        <v>1</v>
      </c>
      <c r="U15" s="29">
        <f t="shared" si="8"/>
        <v>1</v>
      </c>
      <c r="V15" s="29">
        <f t="shared" si="9"/>
        <v>1</v>
      </c>
      <c r="W15" s="29">
        <f t="shared" si="10"/>
        <v>1</v>
      </c>
      <c r="X15" s="29">
        <f t="shared" si="11"/>
        <v>0</v>
      </c>
      <c r="Y15" s="29">
        <f t="shared" si="12"/>
        <v>0</v>
      </c>
      <c r="Z15" s="29">
        <f t="shared" si="13"/>
        <v>0</v>
      </c>
      <c r="AA15" s="29">
        <f t="shared" si="14"/>
        <v>0</v>
      </c>
      <c r="AB15" s="3">
        <f t="shared" si="15"/>
        <v>0.6</v>
      </c>
      <c r="AC15" s="3">
        <f t="shared" si="16"/>
        <v>0.4</v>
      </c>
      <c r="AD15" s="3">
        <f t="shared" si="17"/>
        <v>0.24</v>
      </c>
      <c r="AE15" s="19"/>
    </row>
    <row r="16" spans="1:31" ht="58.5" customHeight="1" x14ac:dyDescent="0.35">
      <c r="A16" s="28" t="s">
        <v>12</v>
      </c>
      <c r="B16" s="25">
        <v>1</v>
      </c>
      <c r="C16" s="25">
        <v>1</v>
      </c>
      <c r="D16" s="25">
        <v>1</v>
      </c>
      <c r="E16" s="25">
        <v>0</v>
      </c>
      <c r="F16" s="25">
        <v>1</v>
      </c>
      <c r="G16" s="25">
        <v>0</v>
      </c>
      <c r="H16" s="25">
        <v>0</v>
      </c>
      <c r="I16" s="25">
        <v>0</v>
      </c>
      <c r="J16" s="25">
        <v>1</v>
      </c>
      <c r="K16" s="25">
        <v>1</v>
      </c>
      <c r="L16" s="3">
        <f t="shared" si="0"/>
        <v>0.6</v>
      </c>
      <c r="M16" s="26" t="str">
        <f t="shared" si="1"/>
        <v>sedang</v>
      </c>
      <c r="N16" s="3">
        <f t="shared" si="2"/>
        <v>0.5</v>
      </c>
      <c r="O16" s="26" t="str">
        <f t="shared" si="3"/>
        <v>soal diterima baik</v>
      </c>
      <c r="P16" s="19"/>
      <c r="Q16" s="26">
        <v>11</v>
      </c>
      <c r="R16" s="29">
        <f t="shared" si="5"/>
        <v>1</v>
      </c>
      <c r="S16" s="29">
        <f t="shared" si="6"/>
        <v>1</v>
      </c>
      <c r="T16" s="29">
        <f t="shared" si="7"/>
        <v>1</v>
      </c>
      <c r="U16" s="29">
        <f t="shared" si="8"/>
        <v>0</v>
      </c>
      <c r="V16" s="29">
        <f t="shared" si="9"/>
        <v>1</v>
      </c>
      <c r="W16" s="29">
        <f t="shared" si="10"/>
        <v>0</v>
      </c>
      <c r="X16" s="29">
        <f t="shared" si="11"/>
        <v>0</v>
      </c>
      <c r="Y16" s="29">
        <f t="shared" si="12"/>
        <v>0</v>
      </c>
      <c r="Z16" s="29">
        <f t="shared" si="13"/>
        <v>0</v>
      </c>
      <c r="AA16" s="29">
        <f t="shared" si="14"/>
        <v>0</v>
      </c>
      <c r="AB16" s="3">
        <f t="shared" si="15"/>
        <v>0.4</v>
      </c>
      <c r="AC16" s="3">
        <f t="shared" si="16"/>
        <v>0.6</v>
      </c>
      <c r="AD16" s="3">
        <f t="shared" si="17"/>
        <v>0.24</v>
      </c>
      <c r="AE16" s="19"/>
    </row>
    <row r="17" spans="1:31" ht="53.25" customHeight="1" x14ac:dyDescent="0.35">
      <c r="A17" s="30" t="s">
        <v>13</v>
      </c>
      <c r="B17" s="25">
        <v>1</v>
      </c>
      <c r="C17" s="25">
        <v>1</v>
      </c>
      <c r="D17" s="25">
        <v>1</v>
      </c>
      <c r="E17" s="25">
        <v>1</v>
      </c>
      <c r="F17" s="25">
        <v>1</v>
      </c>
      <c r="G17" s="25">
        <v>1</v>
      </c>
      <c r="H17" s="25">
        <v>0</v>
      </c>
      <c r="I17" s="25">
        <v>0</v>
      </c>
      <c r="J17" s="25">
        <v>0</v>
      </c>
      <c r="K17" s="25">
        <v>0</v>
      </c>
      <c r="L17" s="3">
        <f t="shared" si="0"/>
        <v>0.6</v>
      </c>
      <c r="M17" s="26" t="str">
        <f t="shared" si="1"/>
        <v>sedang</v>
      </c>
      <c r="N17" s="3">
        <f t="shared" si="2"/>
        <v>1</v>
      </c>
      <c r="O17" s="26" t="str">
        <f t="shared" si="3"/>
        <v>soal diterima baik</v>
      </c>
      <c r="P17" s="19"/>
      <c r="Q17" s="26">
        <v>12</v>
      </c>
      <c r="R17" s="29">
        <f t="shared" si="5"/>
        <v>1</v>
      </c>
      <c r="S17" s="29">
        <f t="shared" si="6"/>
        <v>1</v>
      </c>
      <c r="T17" s="29">
        <f t="shared" si="7"/>
        <v>1</v>
      </c>
      <c r="U17" s="29">
        <f t="shared" si="8"/>
        <v>0</v>
      </c>
      <c r="V17" s="29">
        <f t="shared" si="9"/>
        <v>1</v>
      </c>
      <c r="W17" s="29">
        <f t="shared" si="10"/>
        <v>0</v>
      </c>
      <c r="X17" s="29">
        <f t="shared" si="11"/>
        <v>0</v>
      </c>
      <c r="Y17" s="29">
        <f t="shared" si="12"/>
        <v>0</v>
      </c>
      <c r="Z17" s="29">
        <f t="shared" si="13"/>
        <v>1</v>
      </c>
      <c r="AA17" s="29">
        <f t="shared" si="14"/>
        <v>1</v>
      </c>
      <c r="AB17" s="3">
        <f t="shared" si="15"/>
        <v>0.6</v>
      </c>
      <c r="AC17" s="3">
        <f t="shared" si="16"/>
        <v>0.4</v>
      </c>
      <c r="AD17" s="3">
        <f t="shared" si="17"/>
        <v>0.24</v>
      </c>
      <c r="AE17" s="19"/>
    </row>
    <row r="18" spans="1:31" ht="48.75" customHeight="1" x14ac:dyDescent="0.35">
      <c r="A18" s="24" t="s">
        <v>14</v>
      </c>
      <c r="B18" s="25">
        <v>1</v>
      </c>
      <c r="C18" s="25">
        <v>1</v>
      </c>
      <c r="D18" s="25">
        <v>1</v>
      </c>
      <c r="E18" s="25">
        <v>0</v>
      </c>
      <c r="F18" s="25">
        <v>1</v>
      </c>
      <c r="G18" s="25">
        <v>0</v>
      </c>
      <c r="H18" s="25">
        <v>0</v>
      </c>
      <c r="I18" s="25">
        <v>0</v>
      </c>
      <c r="J18" s="25">
        <v>0</v>
      </c>
      <c r="K18" s="25">
        <v>0</v>
      </c>
      <c r="L18" s="3">
        <f t="shared" si="0"/>
        <v>0.4</v>
      </c>
      <c r="M18" s="26" t="str">
        <f t="shared" si="1"/>
        <v>sedang</v>
      </c>
      <c r="N18" s="3">
        <f t="shared" si="2"/>
        <v>1</v>
      </c>
      <c r="O18" s="26" t="str">
        <f t="shared" si="3"/>
        <v>soal diterima baik</v>
      </c>
      <c r="P18" s="19"/>
      <c r="Q18" s="26">
        <v>13</v>
      </c>
      <c r="R18" s="29">
        <f t="shared" si="5"/>
        <v>1</v>
      </c>
      <c r="S18" s="29">
        <f t="shared" si="6"/>
        <v>1</v>
      </c>
      <c r="T18" s="29">
        <f t="shared" si="7"/>
        <v>1</v>
      </c>
      <c r="U18" s="29">
        <f t="shared" si="8"/>
        <v>1</v>
      </c>
      <c r="V18" s="29">
        <f t="shared" si="9"/>
        <v>1</v>
      </c>
      <c r="W18" s="29">
        <f t="shared" si="10"/>
        <v>1</v>
      </c>
      <c r="X18" s="29">
        <f t="shared" si="11"/>
        <v>0</v>
      </c>
      <c r="Y18" s="29">
        <f t="shared" si="12"/>
        <v>0</v>
      </c>
      <c r="Z18" s="29">
        <f t="shared" si="13"/>
        <v>0</v>
      </c>
      <c r="AA18" s="29">
        <f t="shared" si="14"/>
        <v>0</v>
      </c>
      <c r="AB18" s="3">
        <f t="shared" si="15"/>
        <v>0.6</v>
      </c>
      <c r="AC18" s="3">
        <f t="shared" si="16"/>
        <v>0.4</v>
      </c>
      <c r="AD18" s="3">
        <f t="shared" si="17"/>
        <v>0.24</v>
      </c>
      <c r="AE18" s="19"/>
    </row>
    <row r="19" spans="1:31" ht="27.75" customHeight="1" x14ac:dyDescent="0.35">
      <c r="A19" s="24" t="s">
        <v>15</v>
      </c>
      <c r="B19" s="25">
        <v>1</v>
      </c>
      <c r="C19" s="25">
        <v>1</v>
      </c>
      <c r="D19" s="25">
        <v>1</v>
      </c>
      <c r="E19" s="25">
        <v>0</v>
      </c>
      <c r="F19" s="25">
        <v>1</v>
      </c>
      <c r="G19" s="25">
        <v>0</v>
      </c>
      <c r="H19" s="25">
        <v>0</v>
      </c>
      <c r="I19" s="25">
        <v>0</v>
      </c>
      <c r="J19" s="25">
        <v>0</v>
      </c>
      <c r="K19" s="25">
        <v>0</v>
      </c>
      <c r="L19" s="3">
        <f t="shared" si="0"/>
        <v>0.4</v>
      </c>
      <c r="M19" s="26" t="str">
        <f t="shared" si="1"/>
        <v>sedang</v>
      </c>
      <c r="N19" s="3">
        <f t="shared" si="2"/>
        <v>1</v>
      </c>
      <c r="O19" s="26" t="str">
        <f t="shared" si="3"/>
        <v>soal diterima baik</v>
      </c>
      <c r="P19" s="19"/>
      <c r="Q19" s="26">
        <v>14</v>
      </c>
      <c r="R19" s="29">
        <f t="shared" si="5"/>
        <v>1</v>
      </c>
      <c r="S19" s="29">
        <f t="shared" si="6"/>
        <v>1</v>
      </c>
      <c r="T19" s="29">
        <f t="shared" si="7"/>
        <v>1</v>
      </c>
      <c r="U19" s="29">
        <f t="shared" si="8"/>
        <v>0</v>
      </c>
      <c r="V19" s="29">
        <f t="shared" si="9"/>
        <v>1</v>
      </c>
      <c r="W19" s="29">
        <f t="shared" si="10"/>
        <v>0</v>
      </c>
      <c r="X19" s="29">
        <f t="shared" si="11"/>
        <v>0</v>
      </c>
      <c r="Y19" s="29">
        <f t="shared" si="12"/>
        <v>0</v>
      </c>
      <c r="Z19" s="29">
        <f t="shared" si="13"/>
        <v>0</v>
      </c>
      <c r="AA19" s="29">
        <f t="shared" si="14"/>
        <v>0</v>
      </c>
      <c r="AB19" s="3">
        <f t="shared" si="15"/>
        <v>0.4</v>
      </c>
      <c r="AC19" s="3">
        <f t="shared" si="16"/>
        <v>0.6</v>
      </c>
      <c r="AD19" s="3">
        <f t="shared" si="17"/>
        <v>0.24</v>
      </c>
      <c r="AE19" s="19"/>
    </row>
    <row r="20" spans="1:31" ht="26.25" customHeight="1" x14ac:dyDescent="0.35">
      <c r="A20" s="24" t="s">
        <v>16</v>
      </c>
      <c r="B20" s="25">
        <v>1</v>
      </c>
      <c r="C20" s="25">
        <v>1</v>
      </c>
      <c r="D20" s="25">
        <v>1</v>
      </c>
      <c r="E20" s="25">
        <v>0</v>
      </c>
      <c r="F20" s="25">
        <v>1</v>
      </c>
      <c r="G20" s="25">
        <v>0</v>
      </c>
      <c r="H20" s="25">
        <v>1</v>
      </c>
      <c r="I20" s="25">
        <v>1</v>
      </c>
      <c r="J20" s="25">
        <v>0</v>
      </c>
      <c r="K20" s="25">
        <v>0</v>
      </c>
      <c r="L20" s="3">
        <f t="shared" si="0"/>
        <v>0.6</v>
      </c>
      <c r="M20" s="26" t="str">
        <f t="shared" si="1"/>
        <v>sedang</v>
      </c>
      <c r="N20" s="3">
        <f t="shared" si="2"/>
        <v>0.5</v>
      </c>
      <c r="O20" s="26" t="str">
        <f t="shared" si="3"/>
        <v>soal diterima baik</v>
      </c>
      <c r="P20" s="19"/>
      <c r="Q20" s="26">
        <v>15</v>
      </c>
      <c r="R20" s="29">
        <f t="shared" si="5"/>
        <v>1</v>
      </c>
      <c r="S20" s="29">
        <f t="shared" si="6"/>
        <v>1</v>
      </c>
      <c r="T20" s="29">
        <f t="shared" si="7"/>
        <v>1</v>
      </c>
      <c r="U20" s="29">
        <f t="shared" si="8"/>
        <v>0</v>
      </c>
      <c r="V20" s="29">
        <f t="shared" si="9"/>
        <v>1</v>
      </c>
      <c r="W20" s="29">
        <f t="shared" si="10"/>
        <v>0</v>
      </c>
      <c r="X20" s="29">
        <f t="shared" si="11"/>
        <v>0</v>
      </c>
      <c r="Y20" s="29">
        <f t="shared" si="12"/>
        <v>0</v>
      </c>
      <c r="Z20" s="29">
        <f t="shared" si="13"/>
        <v>0</v>
      </c>
      <c r="AA20" s="29">
        <f t="shared" si="14"/>
        <v>0</v>
      </c>
      <c r="AB20" s="3">
        <f t="shared" si="15"/>
        <v>0.4</v>
      </c>
      <c r="AC20" s="3">
        <f t="shared" si="16"/>
        <v>0.6</v>
      </c>
      <c r="AD20" s="3">
        <f t="shared" si="17"/>
        <v>0.24</v>
      </c>
      <c r="AE20" s="19"/>
    </row>
    <row r="21" spans="1:31" ht="57.75" customHeight="1" x14ac:dyDescent="0.35">
      <c r="A21" s="24" t="s">
        <v>17</v>
      </c>
      <c r="B21" s="25">
        <v>1</v>
      </c>
      <c r="C21" s="25">
        <v>1</v>
      </c>
      <c r="D21" s="25">
        <v>0</v>
      </c>
      <c r="E21" s="25">
        <v>1</v>
      </c>
      <c r="F21" s="25">
        <v>0</v>
      </c>
      <c r="G21" s="25">
        <v>1</v>
      </c>
      <c r="H21" s="25">
        <v>0</v>
      </c>
      <c r="I21" s="25">
        <v>0</v>
      </c>
      <c r="J21" s="25">
        <v>0</v>
      </c>
      <c r="K21" s="25">
        <v>0</v>
      </c>
      <c r="L21" s="3">
        <f t="shared" si="0"/>
        <v>0.4</v>
      </c>
      <c r="M21" s="26" t="str">
        <f t="shared" si="1"/>
        <v>sedang</v>
      </c>
      <c r="N21" s="3">
        <f t="shared" si="2"/>
        <v>0.5</v>
      </c>
      <c r="O21" s="26" t="str">
        <f t="shared" si="3"/>
        <v>soal diterima baik</v>
      </c>
      <c r="P21" s="19"/>
      <c r="Q21" s="26">
        <v>16</v>
      </c>
      <c r="R21" s="29">
        <f t="shared" si="5"/>
        <v>1</v>
      </c>
      <c r="S21" s="29">
        <f t="shared" si="6"/>
        <v>1</v>
      </c>
      <c r="T21" s="29">
        <f t="shared" si="7"/>
        <v>1</v>
      </c>
      <c r="U21" s="29">
        <f t="shared" si="8"/>
        <v>0</v>
      </c>
      <c r="V21" s="29">
        <f t="shared" si="9"/>
        <v>1</v>
      </c>
      <c r="W21" s="29">
        <f t="shared" si="10"/>
        <v>0</v>
      </c>
      <c r="X21" s="29">
        <f t="shared" si="11"/>
        <v>1</v>
      </c>
      <c r="Y21" s="29">
        <f t="shared" si="12"/>
        <v>1</v>
      </c>
      <c r="Z21" s="29">
        <f t="shared" si="13"/>
        <v>0</v>
      </c>
      <c r="AA21" s="29">
        <f t="shared" si="14"/>
        <v>0</v>
      </c>
      <c r="AB21" s="3">
        <f t="shared" si="15"/>
        <v>0.6</v>
      </c>
      <c r="AC21" s="3">
        <f t="shared" si="16"/>
        <v>0.4</v>
      </c>
      <c r="AD21" s="3">
        <f t="shared" si="17"/>
        <v>0.24</v>
      </c>
      <c r="AE21" s="19"/>
    </row>
    <row r="22" spans="1:31" ht="26.25" customHeight="1" x14ac:dyDescent="0.35">
      <c r="A22" s="30" t="s">
        <v>18</v>
      </c>
      <c r="B22" s="25">
        <v>1</v>
      </c>
      <c r="C22" s="25">
        <v>1</v>
      </c>
      <c r="D22" s="25">
        <v>0</v>
      </c>
      <c r="E22" s="25">
        <v>0</v>
      </c>
      <c r="F22" s="25">
        <v>0</v>
      </c>
      <c r="G22" s="25">
        <v>0</v>
      </c>
      <c r="H22" s="25">
        <v>0</v>
      </c>
      <c r="I22" s="25">
        <v>0</v>
      </c>
      <c r="J22" s="25">
        <v>0</v>
      </c>
      <c r="K22" s="25">
        <v>0</v>
      </c>
      <c r="L22" s="3">
        <f t="shared" si="0"/>
        <v>0.2</v>
      </c>
      <c r="M22" s="26" t="str">
        <f t="shared" si="1"/>
        <v>sukar</v>
      </c>
      <c r="N22" s="3">
        <f t="shared" si="2"/>
        <v>0.5</v>
      </c>
      <c r="O22" s="26" t="str">
        <f t="shared" si="3"/>
        <v>soal diterima baik</v>
      </c>
      <c r="P22" s="19"/>
      <c r="Q22" s="26">
        <v>17</v>
      </c>
      <c r="R22" s="29">
        <f t="shared" si="5"/>
        <v>1</v>
      </c>
      <c r="S22" s="29">
        <f t="shared" si="6"/>
        <v>1</v>
      </c>
      <c r="T22" s="29">
        <f t="shared" si="7"/>
        <v>0</v>
      </c>
      <c r="U22" s="29">
        <f t="shared" si="8"/>
        <v>1</v>
      </c>
      <c r="V22" s="29">
        <f t="shared" si="9"/>
        <v>0</v>
      </c>
      <c r="W22" s="29">
        <f t="shared" si="10"/>
        <v>1</v>
      </c>
      <c r="X22" s="29">
        <f t="shared" si="11"/>
        <v>0</v>
      </c>
      <c r="Y22" s="29">
        <f t="shared" si="12"/>
        <v>0</v>
      </c>
      <c r="Z22" s="29">
        <f t="shared" si="13"/>
        <v>0</v>
      </c>
      <c r="AA22" s="29">
        <f t="shared" si="14"/>
        <v>0</v>
      </c>
      <c r="AB22" s="3">
        <f t="shared" si="15"/>
        <v>0.4</v>
      </c>
      <c r="AC22" s="3">
        <f t="shared" si="16"/>
        <v>0.6</v>
      </c>
      <c r="AD22" s="3">
        <f t="shared" si="17"/>
        <v>0.24</v>
      </c>
      <c r="AE22" s="19"/>
    </row>
    <row r="23" spans="1:31" ht="54" customHeight="1" x14ac:dyDescent="0.35">
      <c r="A23" s="30" t="s">
        <v>99</v>
      </c>
      <c r="B23" s="25">
        <v>1</v>
      </c>
      <c r="C23" s="25">
        <v>1</v>
      </c>
      <c r="D23" s="25">
        <v>1</v>
      </c>
      <c r="E23" s="25">
        <v>1</v>
      </c>
      <c r="F23" s="25">
        <v>1</v>
      </c>
      <c r="G23" s="25">
        <v>1</v>
      </c>
      <c r="H23" s="25">
        <v>0</v>
      </c>
      <c r="I23" s="25">
        <v>0</v>
      </c>
      <c r="J23" s="25">
        <v>0</v>
      </c>
      <c r="K23" s="25">
        <v>0</v>
      </c>
      <c r="L23" s="3">
        <f t="shared" si="0"/>
        <v>0.6</v>
      </c>
      <c r="M23" s="26" t="str">
        <f t="shared" si="1"/>
        <v>sedang</v>
      </c>
      <c r="N23" s="3">
        <f t="shared" si="2"/>
        <v>1</v>
      </c>
      <c r="O23" s="26" t="str">
        <f t="shared" si="3"/>
        <v>soal diterima baik</v>
      </c>
      <c r="P23" s="19"/>
      <c r="Q23" s="26">
        <v>18</v>
      </c>
      <c r="R23" s="29">
        <f t="shared" si="5"/>
        <v>1</v>
      </c>
      <c r="S23" s="29">
        <f t="shared" si="6"/>
        <v>1</v>
      </c>
      <c r="T23" s="29">
        <f t="shared" si="7"/>
        <v>0</v>
      </c>
      <c r="U23" s="29">
        <f t="shared" si="8"/>
        <v>0</v>
      </c>
      <c r="V23" s="29">
        <f t="shared" si="9"/>
        <v>0</v>
      </c>
      <c r="W23" s="29">
        <f t="shared" si="10"/>
        <v>0</v>
      </c>
      <c r="X23" s="29">
        <f t="shared" si="11"/>
        <v>0</v>
      </c>
      <c r="Y23" s="29">
        <f t="shared" si="12"/>
        <v>0</v>
      </c>
      <c r="Z23" s="29">
        <f t="shared" si="13"/>
        <v>0</v>
      </c>
      <c r="AA23" s="29">
        <f t="shared" si="14"/>
        <v>0</v>
      </c>
      <c r="AB23" s="3">
        <f t="shared" si="15"/>
        <v>0.2</v>
      </c>
      <c r="AC23" s="3">
        <f t="shared" si="16"/>
        <v>0.8</v>
      </c>
      <c r="AD23" s="3">
        <f t="shared" si="17"/>
        <v>0.16000000000000003</v>
      </c>
      <c r="AE23" s="19"/>
    </row>
    <row r="24" spans="1:31" ht="36.75" customHeight="1" x14ac:dyDescent="0.35">
      <c r="A24" s="30" t="s">
        <v>19</v>
      </c>
      <c r="B24" s="25">
        <v>1</v>
      </c>
      <c r="C24" s="25">
        <v>1</v>
      </c>
      <c r="D24" s="25">
        <v>0</v>
      </c>
      <c r="E24" s="25">
        <v>0</v>
      </c>
      <c r="F24" s="25">
        <v>0</v>
      </c>
      <c r="G24" s="25">
        <v>0</v>
      </c>
      <c r="H24" s="25">
        <v>0</v>
      </c>
      <c r="I24" s="25">
        <v>0</v>
      </c>
      <c r="J24" s="25">
        <v>0</v>
      </c>
      <c r="K24" s="25">
        <v>0</v>
      </c>
      <c r="L24" s="3">
        <f t="shared" si="0"/>
        <v>0.2</v>
      </c>
      <c r="M24" s="26" t="str">
        <f t="shared" si="1"/>
        <v>sukar</v>
      </c>
      <c r="N24" s="3">
        <f t="shared" si="2"/>
        <v>0.5</v>
      </c>
      <c r="O24" s="26" t="str">
        <f t="shared" si="3"/>
        <v>soal diterima baik</v>
      </c>
      <c r="P24" s="19"/>
      <c r="Q24" s="26">
        <v>19</v>
      </c>
      <c r="R24" s="29">
        <f t="shared" si="5"/>
        <v>1</v>
      </c>
      <c r="S24" s="29">
        <f t="shared" si="6"/>
        <v>1</v>
      </c>
      <c r="T24" s="29">
        <f t="shared" si="7"/>
        <v>1</v>
      </c>
      <c r="U24" s="29">
        <f t="shared" si="8"/>
        <v>1</v>
      </c>
      <c r="V24" s="29">
        <f t="shared" si="9"/>
        <v>1</v>
      </c>
      <c r="W24" s="29">
        <f t="shared" si="10"/>
        <v>1</v>
      </c>
      <c r="X24" s="29">
        <f t="shared" si="11"/>
        <v>0</v>
      </c>
      <c r="Y24" s="29">
        <f t="shared" si="12"/>
        <v>0</v>
      </c>
      <c r="Z24" s="29">
        <f t="shared" si="13"/>
        <v>0</v>
      </c>
      <c r="AA24" s="29">
        <f t="shared" si="14"/>
        <v>0</v>
      </c>
      <c r="AB24" s="3">
        <f t="shared" si="15"/>
        <v>0.6</v>
      </c>
      <c r="AC24" s="3">
        <f t="shared" si="16"/>
        <v>0.4</v>
      </c>
      <c r="AD24" s="3">
        <f t="shared" si="17"/>
        <v>0.24</v>
      </c>
      <c r="AE24" s="19"/>
    </row>
    <row r="25" spans="1:31" ht="38.25" customHeight="1" x14ac:dyDescent="0.35">
      <c r="A25" s="30" t="s">
        <v>20</v>
      </c>
      <c r="B25" s="25">
        <v>1</v>
      </c>
      <c r="C25" s="25">
        <v>1</v>
      </c>
      <c r="D25" s="25">
        <v>0</v>
      </c>
      <c r="E25" s="25">
        <v>0</v>
      </c>
      <c r="F25" s="25">
        <v>0</v>
      </c>
      <c r="G25" s="25">
        <v>0</v>
      </c>
      <c r="H25" s="25">
        <v>0</v>
      </c>
      <c r="I25" s="25">
        <v>0</v>
      </c>
      <c r="J25" s="25">
        <v>0</v>
      </c>
      <c r="K25" s="25">
        <v>0</v>
      </c>
      <c r="L25" s="3">
        <f t="shared" si="0"/>
        <v>0.2</v>
      </c>
      <c r="M25" s="26" t="str">
        <f t="shared" si="1"/>
        <v>sukar</v>
      </c>
      <c r="N25" s="3">
        <f t="shared" si="2"/>
        <v>0.5</v>
      </c>
      <c r="O25" s="26" t="str">
        <f t="shared" si="3"/>
        <v>soal diterima baik</v>
      </c>
      <c r="P25" s="19"/>
      <c r="Q25" s="26">
        <v>20</v>
      </c>
      <c r="R25" s="29">
        <f t="shared" si="5"/>
        <v>1</v>
      </c>
      <c r="S25" s="29">
        <f t="shared" si="6"/>
        <v>1</v>
      </c>
      <c r="T25" s="29">
        <f t="shared" si="7"/>
        <v>0</v>
      </c>
      <c r="U25" s="29">
        <f t="shared" si="8"/>
        <v>0</v>
      </c>
      <c r="V25" s="29">
        <f t="shared" si="9"/>
        <v>0</v>
      </c>
      <c r="W25" s="29">
        <f t="shared" si="10"/>
        <v>0</v>
      </c>
      <c r="X25" s="29">
        <f t="shared" si="11"/>
        <v>0</v>
      </c>
      <c r="Y25" s="29">
        <f t="shared" si="12"/>
        <v>0</v>
      </c>
      <c r="Z25" s="29">
        <f t="shared" si="13"/>
        <v>0</v>
      </c>
      <c r="AA25" s="29">
        <f t="shared" si="14"/>
        <v>0</v>
      </c>
      <c r="AB25" s="3">
        <f t="shared" si="15"/>
        <v>0.2</v>
      </c>
      <c r="AC25" s="3">
        <f t="shared" si="16"/>
        <v>0.8</v>
      </c>
      <c r="AD25" s="3">
        <f t="shared" si="17"/>
        <v>0.16000000000000003</v>
      </c>
      <c r="AE25" s="19"/>
    </row>
    <row r="26" spans="1:31" ht="38.25" customHeight="1" x14ac:dyDescent="0.35">
      <c r="A26" s="28" t="s">
        <v>21</v>
      </c>
      <c r="B26" s="25">
        <v>1</v>
      </c>
      <c r="C26" s="25">
        <v>1</v>
      </c>
      <c r="D26" s="25">
        <v>1</v>
      </c>
      <c r="E26" s="25">
        <v>0</v>
      </c>
      <c r="F26" s="25">
        <v>1</v>
      </c>
      <c r="G26" s="25">
        <v>0</v>
      </c>
      <c r="H26" s="25">
        <v>0</v>
      </c>
      <c r="I26" s="25">
        <v>0</v>
      </c>
      <c r="J26" s="25">
        <v>1</v>
      </c>
      <c r="K26" s="25">
        <v>1</v>
      </c>
      <c r="L26" s="3">
        <f t="shared" si="0"/>
        <v>0.6</v>
      </c>
      <c r="M26" s="26" t="str">
        <f t="shared" si="1"/>
        <v>sedang</v>
      </c>
      <c r="N26" s="3">
        <f t="shared" si="2"/>
        <v>0.5</v>
      </c>
      <c r="O26" s="26" t="str">
        <f t="shared" si="3"/>
        <v>soal diterima baik</v>
      </c>
      <c r="P26" s="19"/>
      <c r="Q26" s="26">
        <v>21</v>
      </c>
      <c r="R26" s="29">
        <f t="shared" si="5"/>
        <v>1</v>
      </c>
      <c r="S26" s="29">
        <f t="shared" si="6"/>
        <v>1</v>
      </c>
      <c r="T26" s="29">
        <f t="shared" si="7"/>
        <v>0</v>
      </c>
      <c r="U26" s="29">
        <f t="shared" si="8"/>
        <v>0</v>
      </c>
      <c r="V26" s="29">
        <f t="shared" si="9"/>
        <v>0</v>
      </c>
      <c r="W26" s="29">
        <f t="shared" si="10"/>
        <v>0</v>
      </c>
      <c r="X26" s="29">
        <f t="shared" si="11"/>
        <v>0</v>
      </c>
      <c r="Y26" s="29">
        <f t="shared" si="12"/>
        <v>0</v>
      </c>
      <c r="Z26" s="29">
        <f t="shared" si="13"/>
        <v>0</v>
      </c>
      <c r="AA26" s="29">
        <f t="shared" si="14"/>
        <v>0</v>
      </c>
      <c r="AB26" s="3">
        <f t="shared" si="15"/>
        <v>0.2</v>
      </c>
      <c r="AC26" s="3">
        <f t="shared" si="16"/>
        <v>0.8</v>
      </c>
      <c r="AD26" s="3">
        <f t="shared" si="17"/>
        <v>0.16000000000000003</v>
      </c>
      <c r="AE26" s="19"/>
    </row>
    <row r="27" spans="1:31" ht="24.75" customHeight="1" x14ac:dyDescent="0.35">
      <c r="A27" s="24" t="s">
        <v>22</v>
      </c>
      <c r="B27" s="25">
        <v>1</v>
      </c>
      <c r="C27" s="25">
        <v>1</v>
      </c>
      <c r="D27" s="25">
        <v>1</v>
      </c>
      <c r="E27" s="25">
        <v>0</v>
      </c>
      <c r="F27" s="25">
        <v>1</v>
      </c>
      <c r="G27" s="25">
        <v>0</v>
      </c>
      <c r="H27" s="25">
        <v>0</v>
      </c>
      <c r="I27" s="25">
        <v>0</v>
      </c>
      <c r="J27" s="25">
        <v>0</v>
      </c>
      <c r="K27" s="25">
        <v>0</v>
      </c>
      <c r="L27" s="3">
        <f t="shared" si="0"/>
        <v>0.4</v>
      </c>
      <c r="M27" s="26" t="str">
        <f t="shared" si="1"/>
        <v>sedang</v>
      </c>
      <c r="N27" s="3">
        <f t="shared" si="2"/>
        <v>1</v>
      </c>
      <c r="O27" s="26" t="str">
        <f t="shared" si="3"/>
        <v>soal diterima baik</v>
      </c>
      <c r="P27" s="19"/>
      <c r="Q27" s="26">
        <v>22</v>
      </c>
      <c r="R27" s="29">
        <f t="shared" si="5"/>
        <v>1</v>
      </c>
      <c r="S27" s="29">
        <f t="shared" si="6"/>
        <v>1</v>
      </c>
      <c r="T27" s="29">
        <f t="shared" si="7"/>
        <v>1</v>
      </c>
      <c r="U27" s="29">
        <f t="shared" si="8"/>
        <v>0</v>
      </c>
      <c r="V27" s="29">
        <f t="shared" si="9"/>
        <v>1</v>
      </c>
      <c r="W27" s="29">
        <f t="shared" si="10"/>
        <v>0</v>
      </c>
      <c r="X27" s="29">
        <f t="shared" si="11"/>
        <v>0</v>
      </c>
      <c r="Y27" s="29">
        <f t="shared" si="12"/>
        <v>0</v>
      </c>
      <c r="Z27" s="29">
        <f t="shared" si="13"/>
        <v>1</v>
      </c>
      <c r="AA27" s="29">
        <f t="shared" si="14"/>
        <v>1</v>
      </c>
      <c r="AB27" s="3">
        <f t="shared" si="15"/>
        <v>0.6</v>
      </c>
      <c r="AC27" s="3">
        <f t="shared" si="16"/>
        <v>0.4</v>
      </c>
      <c r="AD27" s="3">
        <f t="shared" si="17"/>
        <v>0.24</v>
      </c>
      <c r="AE27" s="19"/>
    </row>
    <row r="28" spans="1:31" ht="34.5" customHeight="1" x14ac:dyDescent="0.35">
      <c r="A28" s="24" t="s">
        <v>23</v>
      </c>
      <c r="B28" s="25">
        <v>1</v>
      </c>
      <c r="C28" s="25">
        <v>1</v>
      </c>
      <c r="D28" s="25">
        <v>1</v>
      </c>
      <c r="E28" s="25">
        <v>0</v>
      </c>
      <c r="F28" s="25">
        <v>1</v>
      </c>
      <c r="G28" s="25">
        <v>0</v>
      </c>
      <c r="H28" s="25">
        <v>0</v>
      </c>
      <c r="I28" s="25">
        <v>0</v>
      </c>
      <c r="J28" s="25">
        <v>0</v>
      </c>
      <c r="K28" s="25">
        <v>0</v>
      </c>
      <c r="L28" s="3">
        <f t="shared" si="0"/>
        <v>0.4</v>
      </c>
      <c r="M28" s="26" t="str">
        <f t="shared" si="1"/>
        <v>sedang</v>
      </c>
      <c r="N28" s="3">
        <f t="shared" si="2"/>
        <v>1</v>
      </c>
      <c r="O28" s="26" t="str">
        <f t="shared" si="3"/>
        <v>soal diterima baik</v>
      </c>
      <c r="P28" s="19"/>
      <c r="Q28" s="26">
        <v>23</v>
      </c>
      <c r="R28" s="29">
        <f t="shared" si="5"/>
        <v>1</v>
      </c>
      <c r="S28" s="29">
        <f t="shared" si="6"/>
        <v>1</v>
      </c>
      <c r="T28" s="29">
        <f t="shared" si="7"/>
        <v>1</v>
      </c>
      <c r="U28" s="29">
        <f t="shared" si="8"/>
        <v>0</v>
      </c>
      <c r="V28" s="29">
        <f t="shared" si="9"/>
        <v>1</v>
      </c>
      <c r="W28" s="29">
        <f t="shared" si="10"/>
        <v>0</v>
      </c>
      <c r="X28" s="29">
        <f t="shared" si="11"/>
        <v>0</v>
      </c>
      <c r="Y28" s="29">
        <f t="shared" si="12"/>
        <v>0</v>
      </c>
      <c r="Z28" s="29">
        <f t="shared" si="13"/>
        <v>0</v>
      </c>
      <c r="AA28" s="29">
        <f t="shared" si="14"/>
        <v>0</v>
      </c>
      <c r="AB28" s="3">
        <f t="shared" si="15"/>
        <v>0.4</v>
      </c>
      <c r="AC28" s="3">
        <f t="shared" si="16"/>
        <v>0.6</v>
      </c>
      <c r="AD28" s="3">
        <f t="shared" si="17"/>
        <v>0.24</v>
      </c>
      <c r="AE28" s="19"/>
    </row>
    <row r="29" spans="1:31" ht="47.25" customHeight="1" x14ac:dyDescent="0.35">
      <c r="A29" s="24" t="s">
        <v>24</v>
      </c>
      <c r="B29" s="25">
        <v>1</v>
      </c>
      <c r="C29" s="25">
        <v>1</v>
      </c>
      <c r="D29" s="25">
        <v>1</v>
      </c>
      <c r="E29" s="25">
        <v>1</v>
      </c>
      <c r="F29" s="25">
        <v>1</v>
      </c>
      <c r="G29" s="25">
        <v>1</v>
      </c>
      <c r="H29" s="25">
        <v>1</v>
      </c>
      <c r="I29" s="25">
        <v>1</v>
      </c>
      <c r="J29" s="25">
        <v>0</v>
      </c>
      <c r="K29" s="25">
        <v>0</v>
      </c>
      <c r="L29" s="3">
        <f t="shared" si="0"/>
        <v>0.8</v>
      </c>
      <c r="M29" s="26" t="str">
        <f t="shared" si="1"/>
        <v>mudah</v>
      </c>
      <c r="N29" s="3">
        <f t="shared" si="2"/>
        <v>0.5</v>
      </c>
      <c r="O29" s="26" t="str">
        <f t="shared" si="3"/>
        <v>soal diterima baik</v>
      </c>
      <c r="P29" s="19"/>
      <c r="Q29" s="26">
        <v>24</v>
      </c>
      <c r="R29" s="29">
        <f t="shared" si="5"/>
        <v>1</v>
      </c>
      <c r="S29" s="29">
        <f t="shared" si="6"/>
        <v>1</v>
      </c>
      <c r="T29" s="29">
        <f t="shared" si="7"/>
        <v>1</v>
      </c>
      <c r="U29" s="29">
        <f t="shared" si="8"/>
        <v>0</v>
      </c>
      <c r="V29" s="29">
        <f t="shared" si="9"/>
        <v>1</v>
      </c>
      <c r="W29" s="29">
        <f t="shared" si="10"/>
        <v>0</v>
      </c>
      <c r="X29" s="29">
        <f t="shared" si="11"/>
        <v>0</v>
      </c>
      <c r="Y29" s="29">
        <f t="shared" si="12"/>
        <v>0</v>
      </c>
      <c r="Z29" s="29">
        <f t="shared" si="13"/>
        <v>0</v>
      </c>
      <c r="AA29" s="29">
        <f t="shared" si="14"/>
        <v>0</v>
      </c>
      <c r="AB29" s="3">
        <f t="shared" si="15"/>
        <v>0.4</v>
      </c>
      <c r="AC29" s="3">
        <f t="shared" si="16"/>
        <v>0.6</v>
      </c>
      <c r="AD29" s="3">
        <f t="shared" si="17"/>
        <v>0.24</v>
      </c>
      <c r="AE29" s="19"/>
    </row>
    <row r="30" spans="1:31" ht="33.75" customHeight="1" x14ac:dyDescent="0.35">
      <c r="A30" s="24" t="s">
        <v>25</v>
      </c>
      <c r="B30" s="25">
        <v>0</v>
      </c>
      <c r="C30" s="25">
        <v>0</v>
      </c>
      <c r="D30" s="25">
        <v>1</v>
      </c>
      <c r="E30" s="25">
        <v>1</v>
      </c>
      <c r="F30" s="25">
        <v>1</v>
      </c>
      <c r="G30" s="25">
        <v>1</v>
      </c>
      <c r="H30" s="25">
        <v>0</v>
      </c>
      <c r="I30" s="25">
        <v>0</v>
      </c>
      <c r="J30" s="25">
        <v>0</v>
      </c>
      <c r="K30" s="25">
        <v>0</v>
      </c>
      <c r="L30" s="3">
        <f t="shared" si="0"/>
        <v>0.4</v>
      </c>
      <c r="M30" s="26" t="str">
        <f t="shared" si="1"/>
        <v>sedang</v>
      </c>
      <c r="N30" s="3">
        <f t="shared" si="2"/>
        <v>0.5</v>
      </c>
      <c r="O30" s="26" t="str">
        <f t="shared" si="3"/>
        <v>soal diterima baik</v>
      </c>
      <c r="P30" s="19"/>
      <c r="Q30" s="26">
        <v>25</v>
      </c>
      <c r="R30" s="29">
        <f t="shared" si="5"/>
        <v>1</v>
      </c>
      <c r="S30" s="29">
        <f t="shared" si="6"/>
        <v>1</v>
      </c>
      <c r="T30" s="29">
        <f t="shared" si="7"/>
        <v>1</v>
      </c>
      <c r="U30" s="29">
        <f t="shared" si="8"/>
        <v>1</v>
      </c>
      <c r="V30" s="29">
        <f t="shared" si="9"/>
        <v>1</v>
      </c>
      <c r="W30" s="29">
        <f t="shared" si="10"/>
        <v>1</v>
      </c>
      <c r="X30" s="29">
        <f t="shared" si="11"/>
        <v>1</v>
      </c>
      <c r="Y30" s="29">
        <f t="shared" si="12"/>
        <v>1</v>
      </c>
      <c r="Z30" s="29">
        <f t="shared" si="13"/>
        <v>0</v>
      </c>
      <c r="AA30" s="29">
        <f t="shared" si="14"/>
        <v>0</v>
      </c>
      <c r="AB30" s="3">
        <f t="shared" si="15"/>
        <v>0.8</v>
      </c>
      <c r="AC30" s="3">
        <f t="shared" si="16"/>
        <v>0.19999999999999996</v>
      </c>
      <c r="AD30" s="3">
        <f t="shared" si="17"/>
        <v>0.15999999999999998</v>
      </c>
      <c r="AE30" s="19"/>
    </row>
    <row r="31" spans="1:31" ht="75.75" customHeight="1" x14ac:dyDescent="0.35">
      <c r="A31" s="28" t="s">
        <v>26</v>
      </c>
      <c r="B31" s="25">
        <v>1</v>
      </c>
      <c r="C31" s="25">
        <v>1</v>
      </c>
      <c r="D31" s="25">
        <v>1</v>
      </c>
      <c r="E31" s="25">
        <v>1</v>
      </c>
      <c r="F31" s="25">
        <v>1</v>
      </c>
      <c r="G31" s="25">
        <v>1</v>
      </c>
      <c r="H31" s="25">
        <v>1</v>
      </c>
      <c r="I31" s="25">
        <v>1</v>
      </c>
      <c r="J31" s="25">
        <v>0</v>
      </c>
      <c r="K31" s="25">
        <v>0</v>
      </c>
      <c r="L31" s="3">
        <f t="shared" si="0"/>
        <v>0.8</v>
      </c>
      <c r="M31" s="26" t="str">
        <f t="shared" si="1"/>
        <v>mudah</v>
      </c>
      <c r="N31" s="3">
        <f t="shared" si="2"/>
        <v>0.5</v>
      </c>
      <c r="O31" s="26" t="str">
        <f t="shared" si="3"/>
        <v>soal diterima baik</v>
      </c>
      <c r="P31" s="19"/>
      <c r="Q31" s="26">
        <v>26</v>
      </c>
      <c r="R31" s="29">
        <f t="shared" si="5"/>
        <v>0</v>
      </c>
      <c r="S31" s="29">
        <f t="shared" si="6"/>
        <v>0</v>
      </c>
      <c r="T31" s="29">
        <f t="shared" si="7"/>
        <v>1</v>
      </c>
      <c r="U31" s="29">
        <f t="shared" si="8"/>
        <v>1</v>
      </c>
      <c r="V31" s="29">
        <f t="shared" si="9"/>
        <v>1</v>
      </c>
      <c r="W31" s="29">
        <f t="shared" si="10"/>
        <v>1</v>
      </c>
      <c r="X31" s="29">
        <f t="shared" si="11"/>
        <v>0</v>
      </c>
      <c r="Y31" s="29">
        <f t="shared" si="12"/>
        <v>0</v>
      </c>
      <c r="Z31" s="29">
        <f t="shared" si="13"/>
        <v>0</v>
      </c>
      <c r="AA31" s="29">
        <f t="shared" si="14"/>
        <v>0</v>
      </c>
      <c r="AB31" s="3">
        <f t="shared" si="15"/>
        <v>0.4</v>
      </c>
      <c r="AC31" s="3">
        <f t="shared" si="16"/>
        <v>0.6</v>
      </c>
      <c r="AD31" s="3">
        <f t="shared" si="17"/>
        <v>0.24</v>
      </c>
      <c r="AE31" s="19"/>
    </row>
    <row r="32" spans="1:31" ht="78.75" customHeight="1" x14ac:dyDescent="0.35">
      <c r="A32" s="24" t="s">
        <v>27</v>
      </c>
      <c r="B32" s="25">
        <v>1</v>
      </c>
      <c r="C32" s="25">
        <v>1</v>
      </c>
      <c r="D32" s="25">
        <v>1</v>
      </c>
      <c r="E32" s="25">
        <v>1</v>
      </c>
      <c r="F32" s="25">
        <v>1</v>
      </c>
      <c r="G32" s="25">
        <v>1</v>
      </c>
      <c r="H32" s="25">
        <v>0</v>
      </c>
      <c r="I32" s="25">
        <v>0</v>
      </c>
      <c r="J32" s="25">
        <v>0</v>
      </c>
      <c r="K32" s="25">
        <v>0</v>
      </c>
      <c r="L32" s="3">
        <f t="shared" si="0"/>
        <v>0.6</v>
      </c>
      <c r="M32" s="26" t="str">
        <f t="shared" si="1"/>
        <v>sedang</v>
      </c>
      <c r="N32" s="3">
        <f t="shared" si="2"/>
        <v>1</v>
      </c>
      <c r="O32" s="26" t="str">
        <f t="shared" si="3"/>
        <v>soal diterima baik</v>
      </c>
      <c r="P32" s="19"/>
      <c r="Q32" s="26">
        <v>27</v>
      </c>
      <c r="R32" s="29">
        <f t="shared" si="5"/>
        <v>1</v>
      </c>
      <c r="S32" s="29">
        <f t="shared" si="6"/>
        <v>1</v>
      </c>
      <c r="T32" s="29">
        <f t="shared" si="7"/>
        <v>1</v>
      </c>
      <c r="U32" s="29">
        <f t="shared" si="8"/>
        <v>1</v>
      </c>
      <c r="V32" s="29">
        <f t="shared" si="9"/>
        <v>1</v>
      </c>
      <c r="W32" s="29">
        <f t="shared" si="10"/>
        <v>1</v>
      </c>
      <c r="X32" s="29">
        <f t="shared" si="11"/>
        <v>1</v>
      </c>
      <c r="Y32" s="29">
        <f t="shared" si="12"/>
        <v>1</v>
      </c>
      <c r="Z32" s="29">
        <f t="shared" si="13"/>
        <v>0</v>
      </c>
      <c r="AA32" s="29">
        <f t="shared" si="14"/>
        <v>0</v>
      </c>
      <c r="AB32" s="3">
        <f t="shared" si="15"/>
        <v>0.8</v>
      </c>
      <c r="AC32" s="3">
        <f t="shared" si="16"/>
        <v>0.19999999999999996</v>
      </c>
      <c r="AD32" s="3">
        <f t="shared" si="17"/>
        <v>0.15999999999999998</v>
      </c>
      <c r="AE32" s="19"/>
    </row>
    <row r="33" spans="1:31" ht="89.25" customHeight="1" x14ac:dyDescent="0.35">
      <c r="A33" s="28" t="s">
        <v>28</v>
      </c>
      <c r="B33" s="25">
        <v>1</v>
      </c>
      <c r="C33" s="25">
        <v>1</v>
      </c>
      <c r="D33" s="25">
        <v>0</v>
      </c>
      <c r="E33" s="25">
        <v>0</v>
      </c>
      <c r="F33" s="25">
        <v>0</v>
      </c>
      <c r="G33" s="25">
        <v>0</v>
      </c>
      <c r="H33" s="25">
        <v>0</v>
      </c>
      <c r="I33" s="25">
        <v>0</v>
      </c>
      <c r="J33" s="25">
        <v>0</v>
      </c>
      <c r="K33" s="25">
        <v>0</v>
      </c>
      <c r="L33" s="3">
        <f t="shared" si="0"/>
        <v>0.2</v>
      </c>
      <c r="M33" s="26" t="str">
        <f t="shared" si="1"/>
        <v>sukar</v>
      </c>
      <c r="N33" s="3">
        <f t="shared" si="2"/>
        <v>0.5</v>
      </c>
      <c r="O33" s="26" t="str">
        <f t="shared" si="3"/>
        <v>soal diterima baik</v>
      </c>
      <c r="P33" s="19"/>
      <c r="Q33" s="26">
        <v>28</v>
      </c>
      <c r="R33" s="29">
        <f t="shared" si="5"/>
        <v>1</v>
      </c>
      <c r="S33" s="29">
        <f t="shared" si="6"/>
        <v>1</v>
      </c>
      <c r="T33" s="29">
        <f t="shared" si="7"/>
        <v>1</v>
      </c>
      <c r="U33" s="29">
        <f t="shared" si="8"/>
        <v>1</v>
      </c>
      <c r="V33" s="29">
        <f t="shared" si="9"/>
        <v>1</v>
      </c>
      <c r="W33" s="29">
        <f t="shared" si="10"/>
        <v>1</v>
      </c>
      <c r="X33" s="29">
        <f t="shared" si="11"/>
        <v>0</v>
      </c>
      <c r="Y33" s="29">
        <f t="shared" si="12"/>
        <v>0</v>
      </c>
      <c r="Z33" s="29">
        <f t="shared" si="13"/>
        <v>0</v>
      </c>
      <c r="AA33" s="29">
        <f t="shared" si="14"/>
        <v>0</v>
      </c>
      <c r="AB33" s="3">
        <f t="shared" si="15"/>
        <v>0.6</v>
      </c>
      <c r="AC33" s="3">
        <f t="shared" si="16"/>
        <v>0.4</v>
      </c>
      <c r="AD33" s="3">
        <f t="shared" si="17"/>
        <v>0.24</v>
      </c>
      <c r="AE33" s="19"/>
    </row>
    <row r="34" spans="1:31" ht="45" customHeight="1" x14ac:dyDescent="0.35">
      <c r="A34" s="28" t="s">
        <v>29</v>
      </c>
      <c r="B34" s="25">
        <v>1</v>
      </c>
      <c r="C34" s="25">
        <v>1</v>
      </c>
      <c r="D34" s="25">
        <v>1</v>
      </c>
      <c r="E34" s="25">
        <v>1</v>
      </c>
      <c r="F34" s="25">
        <v>1</v>
      </c>
      <c r="G34" s="25">
        <v>1</v>
      </c>
      <c r="H34" s="25">
        <v>0</v>
      </c>
      <c r="I34" s="25">
        <v>0</v>
      </c>
      <c r="J34" s="25">
        <v>0</v>
      </c>
      <c r="K34" s="25">
        <v>0</v>
      </c>
      <c r="L34" s="3">
        <f t="shared" si="0"/>
        <v>0.6</v>
      </c>
      <c r="M34" s="26" t="str">
        <f t="shared" si="1"/>
        <v>sedang</v>
      </c>
      <c r="N34" s="3">
        <f t="shared" si="2"/>
        <v>1</v>
      </c>
      <c r="O34" s="26" t="str">
        <f t="shared" si="3"/>
        <v>soal diterima baik</v>
      </c>
      <c r="P34" s="19"/>
      <c r="Q34" s="26">
        <v>29</v>
      </c>
      <c r="R34" s="29">
        <f t="shared" si="5"/>
        <v>1</v>
      </c>
      <c r="S34" s="29">
        <f t="shared" si="6"/>
        <v>1</v>
      </c>
      <c r="T34" s="29">
        <f t="shared" si="7"/>
        <v>0</v>
      </c>
      <c r="U34" s="29">
        <f t="shared" si="8"/>
        <v>0</v>
      </c>
      <c r="V34" s="29">
        <f t="shared" si="9"/>
        <v>0</v>
      </c>
      <c r="W34" s="29">
        <f t="shared" si="10"/>
        <v>0</v>
      </c>
      <c r="X34" s="29">
        <f t="shared" si="11"/>
        <v>0</v>
      </c>
      <c r="Y34" s="29">
        <f t="shared" si="12"/>
        <v>0</v>
      </c>
      <c r="Z34" s="29">
        <f t="shared" si="13"/>
        <v>0</v>
      </c>
      <c r="AA34" s="29">
        <f t="shared" si="14"/>
        <v>0</v>
      </c>
      <c r="AB34" s="3">
        <f t="shared" si="15"/>
        <v>0.2</v>
      </c>
      <c r="AC34" s="3">
        <f t="shared" si="16"/>
        <v>0.8</v>
      </c>
      <c r="AD34" s="3">
        <f t="shared" si="17"/>
        <v>0.16000000000000003</v>
      </c>
      <c r="AE34" s="19"/>
    </row>
    <row r="35" spans="1:31" ht="51" customHeight="1" x14ac:dyDescent="0.35">
      <c r="A35" s="24" t="s">
        <v>30</v>
      </c>
      <c r="B35" s="25">
        <v>1</v>
      </c>
      <c r="C35" s="25">
        <v>1</v>
      </c>
      <c r="D35" s="25">
        <v>1</v>
      </c>
      <c r="E35" s="25">
        <v>1</v>
      </c>
      <c r="F35" s="25">
        <v>1</v>
      </c>
      <c r="G35" s="25">
        <v>1</v>
      </c>
      <c r="H35" s="25">
        <v>0</v>
      </c>
      <c r="I35" s="25">
        <v>0</v>
      </c>
      <c r="J35" s="25">
        <v>0</v>
      </c>
      <c r="K35" s="25">
        <v>0</v>
      </c>
      <c r="L35" s="3">
        <f t="shared" si="0"/>
        <v>0.6</v>
      </c>
      <c r="M35" s="26" t="str">
        <f t="shared" si="1"/>
        <v>sedang</v>
      </c>
      <c r="N35" s="3">
        <f t="shared" si="2"/>
        <v>1</v>
      </c>
      <c r="O35" s="26" t="str">
        <f t="shared" si="3"/>
        <v>soal diterima baik</v>
      </c>
      <c r="P35" s="19"/>
      <c r="Q35" s="26">
        <v>30</v>
      </c>
      <c r="R35" s="29">
        <f t="shared" si="5"/>
        <v>1</v>
      </c>
      <c r="S35" s="29">
        <f t="shared" si="6"/>
        <v>1</v>
      </c>
      <c r="T35" s="29">
        <f t="shared" si="7"/>
        <v>1</v>
      </c>
      <c r="U35" s="29">
        <f t="shared" si="8"/>
        <v>1</v>
      </c>
      <c r="V35" s="29">
        <f t="shared" si="9"/>
        <v>1</v>
      </c>
      <c r="W35" s="29">
        <f t="shared" si="10"/>
        <v>1</v>
      </c>
      <c r="X35" s="29">
        <f t="shared" si="11"/>
        <v>0</v>
      </c>
      <c r="Y35" s="29">
        <f t="shared" si="12"/>
        <v>0</v>
      </c>
      <c r="Z35" s="29">
        <f t="shared" si="13"/>
        <v>0</v>
      </c>
      <c r="AA35" s="29">
        <f t="shared" si="14"/>
        <v>0</v>
      </c>
      <c r="AB35" s="3">
        <f t="shared" si="15"/>
        <v>0.6</v>
      </c>
      <c r="AC35" s="3">
        <f t="shared" si="16"/>
        <v>0.4</v>
      </c>
      <c r="AD35" s="3">
        <f t="shared" si="17"/>
        <v>0.24</v>
      </c>
      <c r="AE35" s="19"/>
    </row>
    <row r="36" spans="1:31" ht="42" customHeight="1" x14ac:dyDescent="0.35">
      <c r="A36" s="24" t="s">
        <v>31</v>
      </c>
      <c r="B36" s="25">
        <v>0</v>
      </c>
      <c r="C36" s="25">
        <v>0</v>
      </c>
      <c r="D36" s="25">
        <v>1</v>
      </c>
      <c r="E36" s="25">
        <v>0</v>
      </c>
      <c r="F36" s="25">
        <v>1</v>
      </c>
      <c r="G36" s="25">
        <v>0</v>
      </c>
      <c r="H36" s="25">
        <v>0</v>
      </c>
      <c r="I36" s="25">
        <v>0</v>
      </c>
      <c r="J36" s="25">
        <v>0</v>
      </c>
      <c r="K36" s="25">
        <v>0</v>
      </c>
      <c r="L36" s="3">
        <f t="shared" si="0"/>
        <v>0.2</v>
      </c>
      <c r="M36" s="26" t="str">
        <f t="shared" si="1"/>
        <v>sukar</v>
      </c>
      <c r="N36" s="3">
        <f t="shared" si="2"/>
        <v>0.5</v>
      </c>
      <c r="O36" s="26" t="str">
        <f t="shared" si="3"/>
        <v>soal diterima baik</v>
      </c>
      <c r="P36" s="19"/>
      <c r="Q36" s="26">
        <v>31</v>
      </c>
      <c r="R36" s="29">
        <f t="shared" si="5"/>
        <v>1</v>
      </c>
      <c r="S36" s="29">
        <f t="shared" si="6"/>
        <v>1</v>
      </c>
      <c r="T36" s="29">
        <f t="shared" si="7"/>
        <v>1</v>
      </c>
      <c r="U36" s="29">
        <f t="shared" si="8"/>
        <v>1</v>
      </c>
      <c r="V36" s="29">
        <f t="shared" si="9"/>
        <v>1</v>
      </c>
      <c r="W36" s="29">
        <f t="shared" si="10"/>
        <v>1</v>
      </c>
      <c r="X36" s="29">
        <f t="shared" si="11"/>
        <v>0</v>
      </c>
      <c r="Y36" s="29">
        <f t="shared" si="12"/>
        <v>0</v>
      </c>
      <c r="Z36" s="29">
        <f t="shared" si="13"/>
        <v>0</v>
      </c>
      <c r="AA36" s="29">
        <f t="shared" si="14"/>
        <v>0</v>
      </c>
      <c r="AB36" s="3">
        <f t="shared" si="15"/>
        <v>0.6</v>
      </c>
      <c r="AC36" s="3">
        <f t="shared" si="16"/>
        <v>0.4</v>
      </c>
      <c r="AD36" s="3">
        <f t="shared" si="17"/>
        <v>0.24</v>
      </c>
      <c r="AE36" s="19"/>
    </row>
    <row r="37" spans="1:31" ht="57" customHeight="1" x14ac:dyDescent="0.35">
      <c r="A37" s="28" t="s">
        <v>32</v>
      </c>
      <c r="B37" s="25">
        <v>1</v>
      </c>
      <c r="C37" s="25">
        <v>1</v>
      </c>
      <c r="D37" s="25">
        <v>1</v>
      </c>
      <c r="E37" s="25">
        <v>1</v>
      </c>
      <c r="F37" s="25">
        <v>1</v>
      </c>
      <c r="G37" s="25">
        <v>1</v>
      </c>
      <c r="H37" s="25">
        <v>0</v>
      </c>
      <c r="I37" s="25">
        <v>0</v>
      </c>
      <c r="J37" s="25">
        <v>0</v>
      </c>
      <c r="K37" s="25">
        <v>0</v>
      </c>
      <c r="L37" s="3">
        <f t="shared" si="0"/>
        <v>0.6</v>
      </c>
      <c r="M37" s="26" t="str">
        <f t="shared" si="1"/>
        <v>sedang</v>
      </c>
      <c r="N37" s="3">
        <f t="shared" si="2"/>
        <v>1</v>
      </c>
      <c r="O37" s="26" t="str">
        <f t="shared" si="3"/>
        <v>soal diterima baik</v>
      </c>
      <c r="P37" s="19"/>
      <c r="Q37" s="26">
        <v>32</v>
      </c>
      <c r="R37" s="29">
        <f t="shared" si="5"/>
        <v>0</v>
      </c>
      <c r="S37" s="29">
        <f t="shared" si="6"/>
        <v>0</v>
      </c>
      <c r="T37" s="29">
        <f t="shared" si="7"/>
        <v>1</v>
      </c>
      <c r="U37" s="29">
        <f t="shared" si="8"/>
        <v>0</v>
      </c>
      <c r="V37" s="29">
        <f t="shared" si="9"/>
        <v>1</v>
      </c>
      <c r="W37" s="29">
        <f t="shared" si="10"/>
        <v>0</v>
      </c>
      <c r="X37" s="29">
        <f t="shared" si="11"/>
        <v>0</v>
      </c>
      <c r="Y37" s="29">
        <f t="shared" si="12"/>
        <v>0</v>
      </c>
      <c r="Z37" s="29">
        <f t="shared" si="13"/>
        <v>0</v>
      </c>
      <c r="AA37" s="29">
        <f t="shared" si="14"/>
        <v>0</v>
      </c>
      <c r="AB37" s="3">
        <f t="shared" si="15"/>
        <v>0.2</v>
      </c>
      <c r="AC37" s="3">
        <f t="shared" si="16"/>
        <v>0.8</v>
      </c>
      <c r="AD37" s="3">
        <f t="shared" si="17"/>
        <v>0.16000000000000003</v>
      </c>
      <c r="AE37" s="19"/>
    </row>
    <row r="38" spans="1:31" ht="57" customHeight="1" x14ac:dyDescent="0.35">
      <c r="A38" s="24" t="s">
        <v>33</v>
      </c>
      <c r="B38" s="25">
        <v>0</v>
      </c>
      <c r="C38" s="25">
        <v>0</v>
      </c>
      <c r="D38" s="25">
        <v>1</v>
      </c>
      <c r="E38" s="25">
        <v>1</v>
      </c>
      <c r="F38" s="25">
        <v>1</v>
      </c>
      <c r="G38" s="25">
        <v>1</v>
      </c>
      <c r="H38" s="25">
        <v>0</v>
      </c>
      <c r="I38" s="25">
        <v>0</v>
      </c>
      <c r="J38" s="25">
        <v>0</v>
      </c>
      <c r="K38" s="25">
        <v>0</v>
      </c>
      <c r="L38" s="3">
        <f t="shared" si="0"/>
        <v>0.4</v>
      </c>
      <c r="M38" s="26" t="str">
        <f t="shared" si="1"/>
        <v>sedang</v>
      </c>
      <c r="N38" s="3">
        <f t="shared" si="2"/>
        <v>0.5</v>
      </c>
      <c r="O38" s="26" t="str">
        <f t="shared" si="3"/>
        <v>soal diterima baik</v>
      </c>
      <c r="P38" s="19"/>
      <c r="Q38" s="26">
        <v>33</v>
      </c>
      <c r="R38" s="29">
        <f t="shared" si="5"/>
        <v>1</v>
      </c>
      <c r="S38" s="29">
        <f t="shared" si="6"/>
        <v>1</v>
      </c>
      <c r="T38" s="29">
        <f t="shared" si="7"/>
        <v>1</v>
      </c>
      <c r="U38" s="29">
        <f t="shared" si="8"/>
        <v>1</v>
      </c>
      <c r="V38" s="29">
        <f t="shared" si="9"/>
        <v>1</v>
      </c>
      <c r="W38" s="29">
        <f t="shared" si="10"/>
        <v>1</v>
      </c>
      <c r="X38" s="29">
        <f t="shared" si="11"/>
        <v>0</v>
      </c>
      <c r="Y38" s="29">
        <f t="shared" si="12"/>
        <v>0</v>
      </c>
      <c r="Z38" s="29">
        <f t="shared" si="13"/>
        <v>0</v>
      </c>
      <c r="AA38" s="29">
        <f t="shared" si="14"/>
        <v>0</v>
      </c>
      <c r="AB38" s="3">
        <f t="shared" si="15"/>
        <v>0.6</v>
      </c>
      <c r="AC38" s="3">
        <f t="shared" si="16"/>
        <v>0.4</v>
      </c>
      <c r="AD38" s="3">
        <f t="shared" si="17"/>
        <v>0.24</v>
      </c>
      <c r="AE38" s="19"/>
    </row>
    <row r="39" spans="1:31" ht="125.25" customHeight="1" x14ac:dyDescent="0.35">
      <c r="A39" s="30" t="s">
        <v>34</v>
      </c>
      <c r="B39" s="25">
        <v>1</v>
      </c>
      <c r="C39" s="25">
        <v>1</v>
      </c>
      <c r="D39" s="25">
        <v>1</v>
      </c>
      <c r="E39" s="25">
        <v>0</v>
      </c>
      <c r="F39" s="25">
        <v>1</v>
      </c>
      <c r="G39" s="25">
        <v>0</v>
      </c>
      <c r="H39" s="25">
        <v>0</v>
      </c>
      <c r="I39" s="25">
        <v>0</v>
      </c>
      <c r="J39" s="25">
        <v>0</v>
      </c>
      <c r="K39" s="25">
        <v>0</v>
      </c>
      <c r="L39" s="3">
        <f t="shared" si="0"/>
        <v>0.4</v>
      </c>
      <c r="M39" s="26" t="str">
        <f t="shared" si="1"/>
        <v>sedang</v>
      </c>
      <c r="N39" s="3">
        <f t="shared" si="2"/>
        <v>1</v>
      </c>
      <c r="O39" s="26" t="str">
        <f t="shared" si="3"/>
        <v>soal diterima baik</v>
      </c>
      <c r="P39" s="19"/>
      <c r="Q39" s="26">
        <v>34</v>
      </c>
      <c r="R39" s="29">
        <f t="shared" si="5"/>
        <v>0</v>
      </c>
      <c r="S39" s="29">
        <f t="shared" si="6"/>
        <v>0</v>
      </c>
      <c r="T39" s="29">
        <f t="shared" si="7"/>
        <v>1</v>
      </c>
      <c r="U39" s="29">
        <f t="shared" si="8"/>
        <v>1</v>
      </c>
      <c r="V39" s="29">
        <f t="shared" si="9"/>
        <v>1</v>
      </c>
      <c r="W39" s="29">
        <f t="shared" si="10"/>
        <v>1</v>
      </c>
      <c r="X39" s="29">
        <f t="shared" si="11"/>
        <v>0</v>
      </c>
      <c r="Y39" s="29">
        <f t="shared" si="12"/>
        <v>0</v>
      </c>
      <c r="Z39" s="29">
        <f t="shared" si="13"/>
        <v>0</v>
      </c>
      <c r="AA39" s="29">
        <f t="shared" si="14"/>
        <v>0</v>
      </c>
      <c r="AB39" s="3">
        <f t="shared" si="15"/>
        <v>0.4</v>
      </c>
      <c r="AC39" s="3">
        <f t="shared" si="16"/>
        <v>0.6</v>
      </c>
      <c r="AD39" s="3">
        <f t="shared" si="17"/>
        <v>0.24</v>
      </c>
      <c r="AE39" s="19"/>
    </row>
    <row r="40" spans="1:31" ht="58.5" customHeight="1" x14ac:dyDescent="0.35">
      <c r="A40" s="30" t="s">
        <v>35</v>
      </c>
      <c r="B40" s="25">
        <v>1</v>
      </c>
      <c r="C40" s="25">
        <v>1</v>
      </c>
      <c r="D40" s="25">
        <v>1</v>
      </c>
      <c r="E40" s="25">
        <v>0</v>
      </c>
      <c r="F40" s="25">
        <v>1</v>
      </c>
      <c r="G40" s="25">
        <v>0</v>
      </c>
      <c r="H40" s="25">
        <v>0</v>
      </c>
      <c r="I40" s="25">
        <v>0</v>
      </c>
      <c r="J40" s="25">
        <v>0</v>
      </c>
      <c r="K40" s="25">
        <v>0</v>
      </c>
      <c r="L40" s="3">
        <f t="shared" si="0"/>
        <v>0.4</v>
      </c>
      <c r="M40" s="26" t="str">
        <f t="shared" si="1"/>
        <v>sedang</v>
      </c>
      <c r="N40" s="3">
        <f t="shared" si="2"/>
        <v>1</v>
      </c>
      <c r="O40" s="26" t="str">
        <f t="shared" si="3"/>
        <v>soal diterima baik</v>
      </c>
      <c r="P40" s="19"/>
      <c r="Q40" s="26">
        <v>35</v>
      </c>
      <c r="R40" s="29">
        <f t="shared" si="5"/>
        <v>1</v>
      </c>
      <c r="S40" s="29">
        <f t="shared" si="6"/>
        <v>1</v>
      </c>
      <c r="T40" s="29">
        <f t="shared" si="7"/>
        <v>1</v>
      </c>
      <c r="U40" s="29">
        <f t="shared" si="8"/>
        <v>0</v>
      </c>
      <c r="V40" s="29">
        <f t="shared" si="9"/>
        <v>1</v>
      </c>
      <c r="W40" s="29">
        <f t="shared" si="10"/>
        <v>0</v>
      </c>
      <c r="X40" s="29">
        <f t="shared" si="11"/>
        <v>0</v>
      </c>
      <c r="Y40" s="29">
        <f t="shared" si="12"/>
        <v>0</v>
      </c>
      <c r="Z40" s="29">
        <f t="shared" si="13"/>
        <v>0</v>
      </c>
      <c r="AA40" s="29">
        <f t="shared" si="14"/>
        <v>0</v>
      </c>
      <c r="AB40" s="3">
        <f t="shared" si="15"/>
        <v>0.4</v>
      </c>
      <c r="AC40" s="3">
        <f t="shared" si="16"/>
        <v>0.6</v>
      </c>
      <c r="AD40" s="3">
        <f t="shared" si="17"/>
        <v>0.24</v>
      </c>
      <c r="AE40" s="19"/>
    </row>
    <row r="41" spans="1:31" ht="41.25" customHeight="1" x14ac:dyDescent="0.35">
      <c r="A41" s="30" t="s">
        <v>36</v>
      </c>
      <c r="B41" s="25">
        <v>1</v>
      </c>
      <c r="C41" s="25">
        <v>1</v>
      </c>
      <c r="D41" s="25">
        <v>1</v>
      </c>
      <c r="E41" s="25">
        <v>1</v>
      </c>
      <c r="F41" s="25">
        <v>1</v>
      </c>
      <c r="G41" s="25">
        <v>1</v>
      </c>
      <c r="H41" s="25">
        <v>1</v>
      </c>
      <c r="I41" s="25">
        <v>1</v>
      </c>
      <c r="J41" s="25">
        <v>0</v>
      </c>
      <c r="K41" s="25">
        <v>0</v>
      </c>
      <c r="L41" s="3">
        <f t="shared" si="0"/>
        <v>0.8</v>
      </c>
      <c r="M41" s="26" t="str">
        <f t="shared" si="1"/>
        <v>mudah</v>
      </c>
      <c r="N41" s="3">
        <f t="shared" si="2"/>
        <v>0.5</v>
      </c>
      <c r="O41" s="26" t="str">
        <f t="shared" si="3"/>
        <v>soal diterima baik</v>
      </c>
      <c r="P41" s="19"/>
      <c r="Q41" s="26">
        <v>36</v>
      </c>
      <c r="R41" s="29">
        <f t="shared" si="5"/>
        <v>1</v>
      </c>
      <c r="S41" s="29">
        <f t="shared" si="6"/>
        <v>1</v>
      </c>
      <c r="T41" s="29">
        <f t="shared" si="7"/>
        <v>1</v>
      </c>
      <c r="U41" s="29">
        <f t="shared" si="8"/>
        <v>0</v>
      </c>
      <c r="V41" s="29">
        <f t="shared" si="9"/>
        <v>1</v>
      </c>
      <c r="W41" s="29">
        <f t="shared" si="10"/>
        <v>0</v>
      </c>
      <c r="X41" s="29">
        <f t="shared" si="11"/>
        <v>0</v>
      </c>
      <c r="Y41" s="29">
        <f t="shared" si="12"/>
        <v>0</v>
      </c>
      <c r="Z41" s="29">
        <f t="shared" si="13"/>
        <v>0</v>
      </c>
      <c r="AA41" s="29">
        <f t="shared" si="14"/>
        <v>0</v>
      </c>
      <c r="AB41" s="3">
        <f t="shared" si="15"/>
        <v>0.4</v>
      </c>
      <c r="AC41" s="3">
        <f t="shared" si="16"/>
        <v>0.6</v>
      </c>
      <c r="AD41" s="3">
        <f t="shared" si="17"/>
        <v>0.24</v>
      </c>
      <c r="AE41" s="19"/>
    </row>
    <row r="42" spans="1:31" ht="46.5" customHeight="1" x14ac:dyDescent="0.35">
      <c r="A42" s="28" t="s">
        <v>37</v>
      </c>
      <c r="B42" s="25">
        <v>1</v>
      </c>
      <c r="C42" s="25">
        <v>1</v>
      </c>
      <c r="D42" s="25">
        <v>0</v>
      </c>
      <c r="E42" s="25">
        <v>1</v>
      </c>
      <c r="F42" s="25">
        <v>0</v>
      </c>
      <c r="G42" s="25">
        <v>1</v>
      </c>
      <c r="H42" s="25">
        <v>0</v>
      </c>
      <c r="I42" s="25">
        <v>0</v>
      </c>
      <c r="J42" s="25">
        <v>0</v>
      </c>
      <c r="K42" s="25">
        <v>0</v>
      </c>
      <c r="L42" s="3">
        <f t="shared" si="0"/>
        <v>0.4</v>
      </c>
      <c r="M42" s="26" t="str">
        <f t="shared" si="1"/>
        <v>sedang</v>
      </c>
      <c r="N42" s="3">
        <f t="shared" si="2"/>
        <v>0.5</v>
      </c>
      <c r="O42" s="26" t="str">
        <f t="shared" si="3"/>
        <v>soal diterima baik</v>
      </c>
      <c r="P42" s="19"/>
      <c r="Q42" s="26">
        <v>37</v>
      </c>
      <c r="R42" s="29">
        <f t="shared" si="5"/>
        <v>1</v>
      </c>
      <c r="S42" s="29">
        <f t="shared" si="6"/>
        <v>1</v>
      </c>
      <c r="T42" s="29">
        <f t="shared" si="7"/>
        <v>1</v>
      </c>
      <c r="U42" s="29">
        <f t="shared" si="8"/>
        <v>1</v>
      </c>
      <c r="V42" s="29">
        <f t="shared" si="9"/>
        <v>1</v>
      </c>
      <c r="W42" s="29">
        <f t="shared" si="10"/>
        <v>1</v>
      </c>
      <c r="X42" s="29">
        <f t="shared" si="11"/>
        <v>1</v>
      </c>
      <c r="Y42" s="29">
        <f t="shared" si="12"/>
        <v>1</v>
      </c>
      <c r="Z42" s="29">
        <f t="shared" si="13"/>
        <v>0</v>
      </c>
      <c r="AA42" s="29">
        <f t="shared" si="14"/>
        <v>0</v>
      </c>
      <c r="AB42" s="3">
        <f t="shared" si="15"/>
        <v>0.8</v>
      </c>
      <c r="AC42" s="3">
        <f t="shared" si="16"/>
        <v>0.19999999999999996</v>
      </c>
      <c r="AD42" s="3">
        <f t="shared" si="17"/>
        <v>0.15999999999999998</v>
      </c>
      <c r="AE42" s="19"/>
    </row>
    <row r="43" spans="1:31" ht="81.75" customHeight="1" x14ac:dyDescent="0.35">
      <c r="A43" s="24" t="s">
        <v>38</v>
      </c>
      <c r="B43" s="25">
        <v>1</v>
      </c>
      <c r="C43" s="25">
        <v>1</v>
      </c>
      <c r="D43" s="25">
        <v>1</v>
      </c>
      <c r="E43" s="25">
        <v>1</v>
      </c>
      <c r="F43" s="25">
        <v>1</v>
      </c>
      <c r="G43" s="25">
        <v>1</v>
      </c>
      <c r="H43" s="25">
        <v>0</v>
      </c>
      <c r="I43" s="25">
        <v>0</v>
      </c>
      <c r="J43" s="25">
        <v>0</v>
      </c>
      <c r="K43" s="25">
        <v>0</v>
      </c>
      <c r="L43" s="3">
        <f t="shared" si="0"/>
        <v>0.6</v>
      </c>
      <c r="M43" s="26" t="str">
        <f t="shared" si="1"/>
        <v>sedang</v>
      </c>
      <c r="N43" s="3">
        <f t="shared" si="2"/>
        <v>1</v>
      </c>
      <c r="O43" s="26" t="str">
        <f t="shared" si="3"/>
        <v>soal diterima baik</v>
      </c>
      <c r="P43" s="19"/>
      <c r="Q43" s="26">
        <v>38</v>
      </c>
      <c r="R43" s="29">
        <f t="shared" si="5"/>
        <v>1</v>
      </c>
      <c r="S43" s="29">
        <f t="shared" si="6"/>
        <v>1</v>
      </c>
      <c r="T43" s="29">
        <f t="shared" si="7"/>
        <v>0</v>
      </c>
      <c r="U43" s="29">
        <f t="shared" si="8"/>
        <v>1</v>
      </c>
      <c r="V43" s="29">
        <f t="shared" si="9"/>
        <v>0</v>
      </c>
      <c r="W43" s="29">
        <f t="shared" si="10"/>
        <v>1</v>
      </c>
      <c r="X43" s="29">
        <f t="shared" si="11"/>
        <v>0</v>
      </c>
      <c r="Y43" s="29">
        <f t="shared" si="12"/>
        <v>0</v>
      </c>
      <c r="Z43" s="29">
        <f t="shared" si="13"/>
        <v>0</v>
      </c>
      <c r="AA43" s="29">
        <f t="shared" si="14"/>
        <v>0</v>
      </c>
      <c r="AB43" s="3">
        <f t="shared" si="15"/>
        <v>0.4</v>
      </c>
      <c r="AC43" s="3">
        <f t="shared" si="16"/>
        <v>0.6</v>
      </c>
      <c r="AD43" s="3">
        <f t="shared" si="17"/>
        <v>0.24</v>
      </c>
      <c r="AE43" s="19"/>
    </row>
    <row r="44" spans="1:31" ht="95.25" customHeight="1" x14ac:dyDescent="0.35">
      <c r="A44" s="24" t="s">
        <v>39</v>
      </c>
      <c r="B44" s="25">
        <v>1</v>
      </c>
      <c r="C44" s="25">
        <v>1</v>
      </c>
      <c r="D44" s="25">
        <v>1</v>
      </c>
      <c r="E44" s="25">
        <v>1</v>
      </c>
      <c r="F44" s="25">
        <v>1</v>
      </c>
      <c r="G44" s="25">
        <v>1</v>
      </c>
      <c r="H44" s="25">
        <v>0</v>
      </c>
      <c r="I44" s="25">
        <v>0</v>
      </c>
      <c r="J44" s="25">
        <v>0</v>
      </c>
      <c r="K44" s="25">
        <v>0</v>
      </c>
      <c r="L44" s="3">
        <f t="shared" si="0"/>
        <v>0.6</v>
      </c>
      <c r="M44" s="26" t="str">
        <f t="shared" si="1"/>
        <v>sedang</v>
      </c>
      <c r="N44" s="3">
        <f t="shared" si="2"/>
        <v>1</v>
      </c>
      <c r="O44" s="26" t="str">
        <f t="shared" si="3"/>
        <v>soal diterima baik</v>
      </c>
      <c r="P44" s="19"/>
      <c r="Q44" s="26">
        <v>39</v>
      </c>
      <c r="R44" s="29">
        <f t="shared" si="5"/>
        <v>1</v>
      </c>
      <c r="S44" s="29">
        <f t="shared" si="6"/>
        <v>1</v>
      </c>
      <c r="T44" s="29">
        <f t="shared" si="7"/>
        <v>1</v>
      </c>
      <c r="U44" s="29">
        <f t="shared" si="8"/>
        <v>1</v>
      </c>
      <c r="V44" s="29">
        <f t="shared" si="9"/>
        <v>1</v>
      </c>
      <c r="W44" s="29">
        <f t="shared" si="10"/>
        <v>1</v>
      </c>
      <c r="X44" s="29">
        <f t="shared" si="11"/>
        <v>0</v>
      </c>
      <c r="Y44" s="29">
        <f t="shared" si="12"/>
        <v>0</v>
      </c>
      <c r="Z44" s="29">
        <f t="shared" si="13"/>
        <v>0</v>
      </c>
      <c r="AA44" s="29">
        <f t="shared" si="14"/>
        <v>0</v>
      </c>
      <c r="AB44" s="3">
        <f t="shared" si="15"/>
        <v>0.6</v>
      </c>
      <c r="AC44" s="3">
        <f t="shared" si="16"/>
        <v>0.4</v>
      </c>
      <c r="AD44" s="3">
        <f t="shared" si="17"/>
        <v>0.24</v>
      </c>
      <c r="AE44" s="19"/>
    </row>
    <row r="45" spans="1:31" ht="78" customHeight="1" x14ac:dyDescent="0.35">
      <c r="A45" s="24" t="s">
        <v>40</v>
      </c>
      <c r="B45" s="25">
        <v>0</v>
      </c>
      <c r="C45" s="25">
        <v>0</v>
      </c>
      <c r="D45" s="25">
        <v>1</v>
      </c>
      <c r="E45" s="25">
        <v>1</v>
      </c>
      <c r="F45" s="25">
        <v>1</v>
      </c>
      <c r="G45" s="25">
        <v>1</v>
      </c>
      <c r="H45" s="25">
        <v>0</v>
      </c>
      <c r="I45" s="25">
        <v>0</v>
      </c>
      <c r="J45" s="25">
        <v>0</v>
      </c>
      <c r="K45" s="25">
        <v>0</v>
      </c>
      <c r="L45" s="3">
        <f t="shared" si="0"/>
        <v>0.4</v>
      </c>
      <c r="M45" s="26" t="str">
        <f t="shared" si="1"/>
        <v>sedang</v>
      </c>
      <c r="N45" s="3">
        <f t="shared" si="2"/>
        <v>0.5</v>
      </c>
      <c r="O45" s="26" t="str">
        <f t="shared" si="3"/>
        <v>soal diterima baik</v>
      </c>
      <c r="P45" s="19"/>
      <c r="Q45" s="26">
        <v>40</v>
      </c>
      <c r="R45" s="29">
        <f t="shared" si="5"/>
        <v>1</v>
      </c>
      <c r="S45" s="29">
        <f t="shared" si="6"/>
        <v>1</v>
      </c>
      <c r="T45" s="29">
        <f t="shared" si="7"/>
        <v>1</v>
      </c>
      <c r="U45" s="29">
        <f t="shared" si="8"/>
        <v>1</v>
      </c>
      <c r="V45" s="29">
        <f t="shared" si="9"/>
        <v>1</v>
      </c>
      <c r="W45" s="29">
        <f t="shared" si="10"/>
        <v>1</v>
      </c>
      <c r="X45" s="29">
        <f t="shared" si="11"/>
        <v>0</v>
      </c>
      <c r="Y45" s="29">
        <f t="shared" si="12"/>
        <v>0</v>
      </c>
      <c r="Z45" s="29">
        <f t="shared" si="13"/>
        <v>0</v>
      </c>
      <c r="AA45" s="29">
        <f t="shared" si="14"/>
        <v>0</v>
      </c>
      <c r="AB45" s="3">
        <f t="shared" si="15"/>
        <v>0.6</v>
      </c>
      <c r="AC45" s="3">
        <f t="shared" si="16"/>
        <v>0.4</v>
      </c>
      <c r="AD45" s="3">
        <f t="shared" si="17"/>
        <v>0.24</v>
      </c>
      <c r="AE45" s="19"/>
    </row>
    <row r="46" spans="1:31" ht="57.75" customHeight="1" x14ac:dyDescent="0.35">
      <c r="A46" s="30" t="s">
        <v>41</v>
      </c>
      <c r="B46" s="25">
        <v>1</v>
      </c>
      <c r="C46" s="25">
        <v>1</v>
      </c>
      <c r="D46" s="25">
        <v>0</v>
      </c>
      <c r="E46" s="25">
        <v>1</v>
      </c>
      <c r="F46" s="25">
        <v>0</v>
      </c>
      <c r="G46" s="25">
        <v>1</v>
      </c>
      <c r="H46" s="25">
        <v>0</v>
      </c>
      <c r="I46" s="25">
        <v>0</v>
      </c>
      <c r="J46" s="25">
        <v>0</v>
      </c>
      <c r="K46" s="25">
        <v>0</v>
      </c>
      <c r="L46" s="3">
        <f t="shared" si="0"/>
        <v>0.4</v>
      </c>
      <c r="M46" s="26" t="str">
        <f t="shared" si="1"/>
        <v>sedang</v>
      </c>
      <c r="N46" s="3">
        <f t="shared" si="2"/>
        <v>0.5</v>
      </c>
      <c r="O46" s="26" t="str">
        <f t="shared" si="3"/>
        <v>soal diterima baik</v>
      </c>
      <c r="P46" s="19"/>
      <c r="Q46" s="26">
        <v>41</v>
      </c>
      <c r="R46" s="29">
        <f t="shared" si="5"/>
        <v>0</v>
      </c>
      <c r="S46" s="29">
        <f t="shared" si="6"/>
        <v>0</v>
      </c>
      <c r="T46" s="29">
        <f t="shared" si="7"/>
        <v>1</v>
      </c>
      <c r="U46" s="29">
        <f t="shared" si="8"/>
        <v>1</v>
      </c>
      <c r="V46" s="29">
        <f t="shared" si="9"/>
        <v>1</v>
      </c>
      <c r="W46" s="29">
        <f t="shared" si="10"/>
        <v>1</v>
      </c>
      <c r="X46" s="29">
        <f t="shared" si="11"/>
        <v>0</v>
      </c>
      <c r="Y46" s="29">
        <f t="shared" si="12"/>
        <v>0</v>
      </c>
      <c r="Z46" s="29">
        <f t="shared" si="13"/>
        <v>0</v>
      </c>
      <c r="AA46" s="29">
        <f t="shared" si="14"/>
        <v>0</v>
      </c>
      <c r="AB46" s="3">
        <f t="shared" si="15"/>
        <v>0.4</v>
      </c>
      <c r="AC46" s="3">
        <f t="shared" si="16"/>
        <v>0.6</v>
      </c>
      <c r="AD46" s="3">
        <f t="shared" si="17"/>
        <v>0.24</v>
      </c>
      <c r="AE46" s="19"/>
    </row>
    <row r="47" spans="1:31" ht="85.5" customHeight="1" x14ac:dyDescent="0.35">
      <c r="A47" s="28" t="s">
        <v>42</v>
      </c>
      <c r="B47" s="25">
        <v>1</v>
      </c>
      <c r="C47" s="25">
        <v>1</v>
      </c>
      <c r="D47" s="25">
        <v>1</v>
      </c>
      <c r="E47" s="25">
        <v>1</v>
      </c>
      <c r="F47" s="25">
        <v>1</v>
      </c>
      <c r="G47" s="25">
        <v>1</v>
      </c>
      <c r="H47" s="25">
        <v>1</v>
      </c>
      <c r="I47" s="25">
        <v>1</v>
      </c>
      <c r="J47" s="25">
        <v>0</v>
      </c>
      <c r="K47" s="25">
        <v>0</v>
      </c>
      <c r="L47" s="3">
        <f t="shared" si="0"/>
        <v>0.8</v>
      </c>
      <c r="M47" s="26" t="str">
        <f t="shared" si="1"/>
        <v>mudah</v>
      </c>
      <c r="N47" s="3">
        <f t="shared" si="2"/>
        <v>0.5</v>
      </c>
      <c r="O47" s="26" t="str">
        <f t="shared" si="3"/>
        <v>soal diterima baik</v>
      </c>
      <c r="P47" s="19"/>
      <c r="Q47" s="26">
        <v>42</v>
      </c>
      <c r="R47" s="29">
        <f t="shared" si="5"/>
        <v>1</v>
      </c>
      <c r="S47" s="29">
        <f t="shared" si="6"/>
        <v>1</v>
      </c>
      <c r="T47" s="29">
        <f t="shared" si="7"/>
        <v>0</v>
      </c>
      <c r="U47" s="29">
        <f t="shared" si="8"/>
        <v>1</v>
      </c>
      <c r="V47" s="29">
        <f t="shared" si="9"/>
        <v>0</v>
      </c>
      <c r="W47" s="29">
        <f t="shared" si="10"/>
        <v>1</v>
      </c>
      <c r="X47" s="29">
        <f t="shared" si="11"/>
        <v>0</v>
      </c>
      <c r="Y47" s="29">
        <f t="shared" si="12"/>
        <v>0</v>
      </c>
      <c r="Z47" s="29">
        <f t="shared" si="13"/>
        <v>0</v>
      </c>
      <c r="AA47" s="29">
        <f t="shared" si="14"/>
        <v>0</v>
      </c>
      <c r="AB47" s="3">
        <f t="shared" si="15"/>
        <v>0.4</v>
      </c>
      <c r="AC47" s="3">
        <f t="shared" si="16"/>
        <v>0.6</v>
      </c>
      <c r="AD47" s="3">
        <f t="shared" si="17"/>
        <v>0.24</v>
      </c>
      <c r="AE47" s="19"/>
    </row>
    <row r="48" spans="1:31" ht="63" customHeight="1" x14ac:dyDescent="0.35">
      <c r="A48" s="24" t="s">
        <v>43</v>
      </c>
      <c r="B48" s="25">
        <v>1</v>
      </c>
      <c r="C48" s="25">
        <v>1</v>
      </c>
      <c r="D48" s="25">
        <v>1</v>
      </c>
      <c r="E48" s="25">
        <v>1</v>
      </c>
      <c r="F48" s="25">
        <v>1</v>
      </c>
      <c r="G48" s="25">
        <v>1</v>
      </c>
      <c r="H48" s="25">
        <v>1</v>
      </c>
      <c r="I48" s="25">
        <v>1</v>
      </c>
      <c r="J48" s="25">
        <v>0</v>
      </c>
      <c r="K48" s="25">
        <v>0</v>
      </c>
      <c r="L48" s="3">
        <f t="shared" si="0"/>
        <v>0.8</v>
      </c>
      <c r="M48" s="26" t="str">
        <f t="shared" si="1"/>
        <v>mudah</v>
      </c>
      <c r="N48" s="3">
        <f t="shared" si="2"/>
        <v>0.5</v>
      </c>
      <c r="O48" s="26" t="str">
        <f t="shared" si="3"/>
        <v>soal diterima baik</v>
      </c>
      <c r="P48" s="19"/>
      <c r="Q48" s="26">
        <v>43</v>
      </c>
      <c r="R48" s="29">
        <f t="shared" si="5"/>
        <v>1</v>
      </c>
      <c r="S48" s="29">
        <f t="shared" si="6"/>
        <v>1</v>
      </c>
      <c r="T48" s="29">
        <f t="shared" si="7"/>
        <v>1</v>
      </c>
      <c r="U48" s="29">
        <f t="shared" si="8"/>
        <v>1</v>
      </c>
      <c r="V48" s="29">
        <f t="shared" si="9"/>
        <v>1</v>
      </c>
      <c r="W48" s="29">
        <f t="shared" si="10"/>
        <v>1</v>
      </c>
      <c r="X48" s="29">
        <f t="shared" si="11"/>
        <v>1</v>
      </c>
      <c r="Y48" s="29">
        <f t="shared" si="12"/>
        <v>1</v>
      </c>
      <c r="Z48" s="29">
        <f t="shared" si="13"/>
        <v>0</v>
      </c>
      <c r="AA48" s="29">
        <f t="shared" si="14"/>
        <v>0</v>
      </c>
      <c r="AB48" s="3">
        <f t="shared" si="15"/>
        <v>0.8</v>
      </c>
      <c r="AC48" s="3">
        <f t="shared" si="16"/>
        <v>0.19999999999999996</v>
      </c>
      <c r="AD48" s="3">
        <f t="shared" si="17"/>
        <v>0.15999999999999998</v>
      </c>
      <c r="AE48" s="19"/>
    </row>
    <row r="49" spans="1:31" ht="78.75" customHeight="1" x14ac:dyDescent="0.35">
      <c r="A49" s="30" t="s">
        <v>44</v>
      </c>
      <c r="B49" s="25">
        <v>1</v>
      </c>
      <c r="C49" s="25">
        <v>1</v>
      </c>
      <c r="D49" s="25">
        <v>1</v>
      </c>
      <c r="E49" s="25">
        <v>1</v>
      </c>
      <c r="F49" s="25">
        <v>1</v>
      </c>
      <c r="G49" s="25">
        <v>1</v>
      </c>
      <c r="H49" s="25">
        <v>1</v>
      </c>
      <c r="I49" s="25">
        <v>1</v>
      </c>
      <c r="J49" s="25">
        <v>0</v>
      </c>
      <c r="K49" s="25">
        <v>0</v>
      </c>
      <c r="L49" s="3">
        <f t="shared" si="0"/>
        <v>0.8</v>
      </c>
      <c r="M49" s="26" t="str">
        <f t="shared" si="1"/>
        <v>mudah</v>
      </c>
      <c r="N49" s="3">
        <f t="shared" si="2"/>
        <v>0.5</v>
      </c>
      <c r="O49" s="26" t="str">
        <f t="shared" si="3"/>
        <v>soal diterima baik</v>
      </c>
      <c r="P49" s="19"/>
      <c r="Q49" s="26">
        <v>44</v>
      </c>
      <c r="R49" s="29">
        <f t="shared" si="5"/>
        <v>1</v>
      </c>
      <c r="S49" s="29">
        <f t="shared" si="6"/>
        <v>1</v>
      </c>
      <c r="T49" s="29">
        <f t="shared" si="7"/>
        <v>1</v>
      </c>
      <c r="U49" s="29">
        <f t="shared" si="8"/>
        <v>1</v>
      </c>
      <c r="V49" s="29">
        <f t="shared" si="9"/>
        <v>1</v>
      </c>
      <c r="W49" s="29">
        <f t="shared" si="10"/>
        <v>1</v>
      </c>
      <c r="X49" s="29">
        <f t="shared" si="11"/>
        <v>1</v>
      </c>
      <c r="Y49" s="29">
        <f t="shared" si="12"/>
        <v>1</v>
      </c>
      <c r="Z49" s="29">
        <f t="shared" si="13"/>
        <v>0</v>
      </c>
      <c r="AA49" s="29">
        <f t="shared" si="14"/>
        <v>0</v>
      </c>
      <c r="AB49" s="3">
        <f t="shared" si="15"/>
        <v>0.8</v>
      </c>
      <c r="AC49" s="3">
        <f t="shared" si="16"/>
        <v>0.19999999999999996</v>
      </c>
      <c r="AD49" s="3">
        <f t="shared" si="17"/>
        <v>0.15999999999999998</v>
      </c>
      <c r="AE49" s="19"/>
    </row>
    <row r="50" spans="1:31" ht="83.25" customHeight="1" x14ac:dyDescent="0.35">
      <c r="A50" s="30" t="s">
        <v>45</v>
      </c>
      <c r="B50" s="25">
        <v>1</v>
      </c>
      <c r="C50" s="25">
        <v>1</v>
      </c>
      <c r="D50" s="25">
        <v>1</v>
      </c>
      <c r="E50" s="25">
        <v>1</v>
      </c>
      <c r="F50" s="25">
        <v>1</v>
      </c>
      <c r="G50" s="25">
        <v>1</v>
      </c>
      <c r="H50" s="25">
        <v>0</v>
      </c>
      <c r="I50" s="25">
        <v>0</v>
      </c>
      <c r="J50" s="25">
        <v>1</v>
      </c>
      <c r="K50" s="25">
        <v>1</v>
      </c>
      <c r="L50" s="3">
        <f t="shared" si="0"/>
        <v>0.8</v>
      </c>
      <c r="M50" s="26" t="str">
        <f t="shared" si="1"/>
        <v>mudah</v>
      </c>
      <c r="N50" s="3">
        <f t="shared" si="2"/>
        <v>0.5</v>
      </c>
      <c r="O50" s="26" t="str">
        <f t="shared" si="3"/>
        <v>soal diterima baik</v>
      </c>
      <c r="P50" s="19"/>
      <c r="Q50" s="26">
        <v>45</v>
      </c>
      <c r="R50" s="29">
        <f t="shared" si="5"/>
        <v>1</v>
      </c>
      <c r="S50" s="29">
        <f t="shared" si="6"/>
        <v>1</v>
      </c>
      <c r="T50" s="29">
        <f t="shared" si="7"/>
        <v>1</v>
      </c>
      <c r="U50" s="29">
        <f t="shared" si="8"/>
        <v>1</v>
      </c>
      <c r="V50" s="29">
        <f t="shared" si="9"/>
        <v>1</v>
      </c>
      <c r="W50" s="29">
        <f t="shared" si="10"/>
        <v>1</v>
      </c>
      <c r="X50" s="29">
        <f t="shared" si="11"/>
        <v>1</v>
      </c>
      <c r="Y50" s="29">
        <f t="shared" si="12"/>
        <v>1</v>
      </c>
      <c r="Z50" s="29">
        <f t="shared" si="13"/>
        <v>0</v>
      </c>
      <c r="AA50" s="29">
        <f t="shared" si="14"/>
        <v>0</v>
      </c>
      <c r="AB50" s="3">
        <f t="shared" si="15"/>
        <v>0.8</v>
      </c>
      <c r="AC50" s="3">
        <f t="shared" si="16"/>
        <v>0.19999999999999996</v>
      </c>
      <c r="AD50" s="3">
        <f t="shared" si="17"/>
        <v>0.15999999999999998</v>
      </c>
      <c r="AE50" s="19"/>
    </row>
    <row r="51" spans="1:31" ht="50.25" customHeight="1" x14ac:dyDescent="0.35">
      <c r="A51" s="24" t="s">
        <v>46</v>
      </c>
      <c r="B51" s="25">
        <v>1</v>
      </c>
      <c r="C51" s="25">
        <v>1</v>
      </c>
      <c r="D51" s="25">
        <v>1</v>
      </c>
      <c r="E51" s="25">
        <v>1</v>
      </c>
      <c r="F51" s="25">
        <v>1</v>
      </c>
      <c r="G51" s="25">
        <v>1</v>
      </c>
      <c r="H51" s="25">
        <v>1</v>
      </c>
      <c r="I51" s="25">
        <v>1</v>
      </c>
      <c r="J51" s="25">
        <v>0</v>
      </c>
      <c r="K51" s="25">
        <v>0</v>
      </c>
      <c r="L51" s="3">
        <f t="shared" si="0"/>
        <v>0.8</v>
      </c>
      <c r="M51" s="26" t="str">
        <f t="shared" si="1"/>
        <v>mudah</v>
      </c>
      <c r="N51" s="3">
        <f t="shared" si="2"/>
        <v>0.5</v>
      </c>
      <c r="O51" s="26" t="str">
        <f t="shared" si="3"/>
        <v>soal diterima baik</v>
      </c>
      <c r="P51" s="19"/>
      <c r="Q51" s="26">
        <v>46</v>
      </c>
      <c r="R51" s="29">
        <f t="shared" si="5"/>
        <v>1</v>
      </c>
      <c r="S51" s="29">
        <f t="shared" si="6"/>
        <v>1</v>
      </c>
      <c r="T51" s="29">
        <f t="shared" si="7"/>
        <v>1</v>
      </c>
      <c r="U51" s="29">
        <f t="shared" si="8"/>
        <v>1</v>
      </c>
      <c r="V51" s="29">
        <f t="shared" si="9"/>
        <v>1</v>
      </c>
      <c r="W51" s="29">
        <f t="shared" si="10"/>
        <v>1</v>
      </c>
      <c r="X51" s="29">
        <f t="shared" si="11"/>
        <v>0</v>
      </c>
      <c r="Y51" s="29">
        <f t="shared" si="12"/>
        <v>0</v>
      </c>
      <c r="Z51" s="29">
        <f t="shared" si="13"/>
        <v>1</v>
      </c>
      <c r="AA51" s="29">
        <f t="shared" si="14"/>
        <v>1</v>
      </c>
      <c r="AB51" s="3">
        <f t="shared" si="15"/>
        <v>0.8</v>
      </c>
      <c r="AC51" s="3">
        <f t="shared" si="16"/>
        <v>0.19999999999999996</v>
      </c>
      <c r="AD51" s="3">
        <f t="shared" si="17"/>
        <v>0.15999999999999998</v>
      </c>
      <c r="AE51" s="19"/>
    </row>
    <row r="52" spans="1:31" ht="98.25" customHeight="1" x14ac:dyDescent="0.35">
      <c r="A52" s="24" t="s">
        <v>47</v>
      </c>
      <c r="B52" s="25">
        <v>1</v>
      </c>
      <c r="C52" s="25">
        <v>1</v>
      </c>
      <c r="D52" s="25">
        <v>0</v>
      </c>
      <c r="E52" s="25">
        <v>0</v>
      </c>
      <c r="F52" s="25">
        <v>0</v>
      </c>
      <c r="G52" s="25">
        <v>0</v>
      </c>
      <c r="H52" s="25">
        <v>0</v>
      </c>
      <c r="I52" s="25">
        <v>0</v>
      </c>
      <c r="J52" s="25">
        <v>0</v>
      </c>
      <c r="K52" s="25">
        <v>0</v>
      </c>
      <c r="L52" s="3">
        <f t="shared" si="0"/>
        <v>0.2</v>
      </c>
      <c r="M52" s="26" t="str">
        <f t="shared" si="1"/>
        <v>sukar</v>
      </c>
      <c r="N52" s="3">
        <f t="shared" si="2"/>
        <v>0.5</v>
      </c>
      <c r="O52" s="26" t="str">
        <f t="shared" si="3"/>
        <v>soal diterima baik</v>
      </c>
      <c r="P52" s="19"/>
      <c r="Q52" s="26">
        <v>47</v>
      </c>
      <c r="R52" s="29">
        <f t="shared" si="5"/>
        <v>1</v>
      </c>
      <c r="S52" s="29">
        <f t="shared" si="6"/>
        <v>1</v>
      </c>
      <c r="T52" s="29">
        <f t="shared" si="7"/>
        <v>1</v>
      </c>
      <c r="U52" s="29">
        <f t="shared" si="8"/>
        <v>1</v>
      </c>
      <c r="V52" s="29">
        <f t="shared" si="9"/>
        <v>1</v>
      </c>
      <c r="W52" s="29">
        <f t="shared" si="10"/>
        <v>1</v>
      </c>
      <c r="X52" s="29">
        <f t="shared" si="11"/>
        <v>1</v>
      </c>
      <c r="Y52" s="29">
        <f t="shared" si="12"/>
        <v>1</v>
      </c>
      <c r="Z52" s="29">
        <f t="shared" si="13"/>
        <v>0</v>
      </c>
      <c r="AA52" s="29">
        <f t="shared" si="14"/>
        <v>0</v>
      </c>
      <c r="AB52" s="3">
        <f t="shared" si="15"/>
        <v>0.8</v>
      </c>
      <c r="AC52" s="3">
        <f t="shared" si="16"/>
        <v>0.19999999999999996</v>
      </c>
      <c r="AD52" s="3">
        <f t="shared" si="17"/>
        <v>0.15999999999999998</v>
      </c>
      <c r="AE52" s="19"/>
    </row>
    <row r="53" spans="1:31" ht="43.5" customHeight="1" x14ac:dyDescent="0.35">
      <c r="A53" s="28" t="s">
        <v>48</v>
      </c>
      <c r="B53" s="25">
        <v>1</v>
      </c>
      <c r="C53" s="25">
        <v>1</v>
      </c>
      <c r="D53" s="25">
        <v>1</v>
      </c>
      <c r="E53" s="25">
        <v>1</v>
      </c>
      <c r="F53" s="25">
        <v>1</v>
      </c>
      <c r="G53" s="25">
        <v>1</v>
      </c>
      <c r="H53" s="25">
        <v>0</v>
      </c>
      <c r="I53" s="25">
        <v>0</v>
      </c>
      <c r="J53" s="25">
        <v>0</v>
      </c>
      <c r="K53" s="25">
        <v>0</v>
      </c>
      <c r="L53" s="3">
        <f t="shared" si="0"/>
        <v>0.6</v>
      </c>
      <c r="M53" s="26" t="str">
        <f t="shared" si="1"/>
        <v>sedang</v>
      </c>
      <c r="N53" s="3">
        <f t="shared" si="2"/>
        <v>1</v>
      </c>
      <c r="O53" s="26" t="str">
        <f t="shared" si="3"/>
        <v>soal diterima baik</v>
      </c>
      <c r="P53" s="19"/>
      <c r="Q53" s="26">
        <v>48</v>
      </c>
      <c r="R53" s="29">
        <f t="shared" si="5"/>
        <v>1</v>
      </c>
      <c r="S53" s="29">
        <f t="shared" si="6"/>
        <v>1</v>
      </c>
      <c r="T53" s="29">
        <f t="shared" si="7"/>
        <v>0</v>
      </c>
      <c r="U53" s="29">
        <f t="shared" si="8"/>
        <v>0</v>
      </c>
      <c r="V53" s="29">
        <f t="shared" si="9"/>
        <v>0</v>
      </c>
      <c r="W53" s="29">
        <f t="shared" si="10"/>
        <v>0</v>
      </c>
      <c r="X53" s="29">
        <f t="shared" si="11"/>
        <v>0</v>
      </c>
      <c r="Y53" s="29">
        <f t="shared" si="12"/>
        <v>0</v>
      </c>
      <c r="Z53" s="29">
        <f t="shared" si="13"/>
        <v>0</v>
      </c>
      <c r="AA53" s="29">
        <f t="shared" si="14"/>
        <v>0</v>
      </c>
      <c r="AB53" s="3">
        <f t="shared" si="15"/>
        <v>0.2</v>
      </c>
      <c r="AC53" s="3">
        <f t="shared" si="16"/>
        <v>0.8</v>
      </c>
      <c r="AD53" s="3">
        <f t="shared" si="17"/>
        <v>0.16000000000000003</v>
      </c>
      <c r="AE53" s="19"/>
    </row>
    <row r="54" spans="1:31" ht="61.5" customHeight="1" x14ac:dyDescent="0.35">
      <c r="A54" s="30" t="s">
        <v>49</v>
      </c>
      <c r="B54" s="25">
        <v>1</v>
      </c>
      <c r="C54" s="25">
        <v>1</v>
      </c>
      <c r="D54" s="25">
        <v>1</v>
      </c>
      <c r="E54" s="25">
        <v>1</v>
      </c>
      <c r="F54" s="25">
        <v>1</v>
      </c>
      <c r="G54" s="25">
        <v>1</v>
      </c>
      <c r="H54" s="25">
        <v>0</v>
      </c>
      <c r="I54" s="25">
        <v>0</v>
      </c>
      <c r="J54" s="25">
        <v>1</v>
      </c>
      <c r="K54" s="25">
        <v>1</v>
      </c>
      <c r="L54" s="3">
        <f t="shared" si="0"/>
        <v>0.8</v>
      </c>
      <c r="M54" s="26" t="str">
        <f t="shared" si="1"/>
        <v>mudah</v>
      </c>
      <c r="N54" s="3">
        <f t="shared" si="2"/>
        <v>0.5</v>
      </c>
      <c r="O54" s="26" t="str">
        <f t="shared" si="3"/>
        <v>soal diterima baik</v>
      </c>
      <c r="P54" s="19"/>
      <c r="Q54" s="26">
        <v>49</v>
      </c>
      <c r="R54" s="29">
        <f t="shared" si="5"/>
        <v>1</v>
      </c>
      <c r="S54" s="29">
        <f t="shared" si="6"/>
        <v>1</v>
      </c>
      <c r="T54" s="29">
        <f t="shared" si="7"/>
        <v>1</v>
      </c>
      <c r="U54" s="29">
        <f t="shared" si="8"/>
        <v>1</v>
      </c>
      <c r="V54" s="29">
        <f t="shared" si="9"/>
        <v>1</v>
      </c>
      <c r="W54" s="29">
        <f t="shared" si="10"/>
        <v>1</v>
      </c>
      <c r="X54" s="29">
        <f t="shared" si="11"/>
        <v>0</v>
      </c>
      <c r="Y54" s="29">
        <f t="shared" si="12"/>
        <v>0</v>
      </c>
      <c r="Z54" s="29">
        <f t="shared" si="13"/>
        <v>0</v>
      </c>
      <c r="AA54" s="29">
        <f t="shared" si="14"/>
        <v>0</v>
      </c>
      <c r="AB54" s="3">
        <f t="shared" si="15"/>
        <v>0.6</v>
      </c>
      <c r="AC54" s="3">
        <f t="shared" si="16"/>
        <v>0.4</v>
      </c>
      <c r="AD54" s="3">
        <f t="shared" si="17"/>
        <v>0.24</v>
      </c>
      <c r="AE54" s="19"/>
    </row>
    <row r="55" spans="1:31" ht="86.25" customHeight="1" x14ac:dyDescent="0.35">
      <c r="A55" s="28" t="s">
        <v>50</v>
      </c>
      <c r="B55" s="25">
        <v>1</v>
      </c>
      <c r="C55" s="25">
        <v>1</v>
      </c>
      <c r="D55" s="25">
        <v>1</v>
      </c>
      <c r="E55" s="25">
        <v>0</v>
      </c>
      <c r="F55" s="25">
        <v>1</v>
      </c>
      <c r="G55" s="25">
        <v>0</v>
      </c>
      <c r="H55" s="25">
        <v>0</v>
      </c>
      <c r="I55" s="25">
        <v>0</v>
      </c>
      <c r="J55" s="25">
        <v>0</v>
      </c>
      <c r="K55" s="25">
        <v>0</v>
      </c>
      <c r="L55" s="3">
        <f t="shared" si="0"/>
        <v>0.4</v>
      </c>
      <c r="M55" s="26" t="str">
        <f t="shared" si="1"/>
        <v>sedang</v>
      </c>
      <c r="N55" s="3">
        <f t="shared" si="2"/>
        <v>1</v>
      </c>
      <c r="O55" s="26" t="str">
        <f t="shared" si="3"/>
        <v>soal diterima baik</v>
      </c>
      <c r="P55" s="19"/>
      <c r="Q55" s="26">
        <v>50</v>
      </c>
      <c r="R55" s="29">
        <f t="shared" si="5"/>
        <v>1</v>
      </c>
      <c r="S55" s="29">
        <f t="shared" si="6"/>
        <v>1</v>
      </c>
      <c r="T55" s="29">
        <f t="shared" si="7"/>
        <v>1</v>
      </c>
      <c r="U55" s="29">
        <f t="shared" si="8"/>
        <v>1</v>
      </c>
      <c r="V55" s="29">
        <f t="shared" si="9"/>
        <v>1</v>
      </c>
      <c r="W55" s="29">
        <f t="shared" si="10"/>
        <v>1</v>
      </c>
      <c r="X55" s="29">
        <f t="shared" si="11"/>
        <v>0</v>
      </c>
      <c r="Y55" s="29">
        <f t="shared" si="12"/>
        <v>0</v>
      </c>
      <c r="Z55" s="29">
        <f t="shared" si="13"/>
        <v>1</v>
      </c>
      <c r="AA55" s="29">
        <f t="shared" si="14"/>
        <v>1</v>
      </c>
      <c r="AB55" s="3">
        <f t="shared" si="15"/>
        <v>0.8</v>
      </c>
      <c r="AC55" s="3">
        <f t="shared" si="16"/>
        <v>0.19999999999999996</v>
      </c>
      <c r="AD55" s="3">
        <f t="shared" si="17"/>
        <v>0.15999999999999998</v>
      </c>
      <c r="AE55" s="19"/>
    </row>
    <row r="56" spans="1:31" ht="69" customHeight="1" x14ac:dyDescent="0.35">
      <c r="A56" s="28" t="s">
        <v>51</v>
      </c>
      <c r="B56" s="25">
        <v>1</v>
      </c>
      <c r="C56" s="25">
        <v>1</v>
      </c>
      <c r="D56" s="25">
        <v>1</v>
      </c>
      <c r="E56" s="25">
        <v>1</v>
      </c>
      <c r="F56" s="25">
        <v>1</v>
      </c>
      <c r="G56" s="25">
        <v>1</v>
      </c>
      <c r="H56" s="25">
        <v>0</v>
      </c>
      <c r="I56" s="25">
        <v>0</v>
      </c>
      <c r="J56" s="25">
        <v>1</v>
      </c>
      <c r="K56" s="25">
        <v>1</v>
      </c>
      <c r="L56" s="3">
        <f t="shared" si="0"/>
        <v>0.8</v>
      </c>
      <c r="M56" s="26" t="str">
        <f t="shared" si="1"/>
        <v>mudah</v>
      </c>
      <c r="N56" s="3">
        <f t="shared" si="2"/>
        <v>0.5</v>
      </c>
      <c r="O56" s="26" t="str">
        <f t="shared" si="3"/>
        <v>soal diterima baik</v>
      </c>
      <c r="P56" s="19"/>
      <c r="Q56" s="26">
        <v>51</v>
      </c>
      <c r="R56" s="29">
        <f t="shared" si="5"/>
        <v>1</v>
      </c>
      <c r="S56" s="29">
        <f t="shared" si="6"/>
        <v>1</v>
      </c>
      <c r="T56" s="29">
        <f t="shared" si="7"/>
        <v>1</v>
      </c>
      <c r="U56" s="29">
        <f t="shared" si="8"/>
        <v>0</v>
      </c>
      <c r="V56" s="29">
        <f t="shared" si="9"/>
        <v>1</v>
      </c>
      <c r="W56" s="29">
        <f t="shared" si="10"/>
        <v>0</v>
      </c>
      <c r="X56" s="29">
        <f t="shared" si="11"/>
        <v>0</v>
      </c>
      <c r="Y56" s="29">
        <f t="shared" si="12"/>
        <v>0</v>
      </c>
      <c r="Z56" s="29">
        <f t="shared" si="13"/>
        <v>0</v>
      </c>
      <c r="AA56" s="29">
        <f t="shared" si="14"/>
        <v>0</v>
      </c>
      <c r="AB56" s="3">
        <f t="shared" si="15"/>
        <v>0.4</v>
      </c>
      <c r="AC56" s="3">
        <f t="shared" si="16"/>
        <v>0.6</v>
      </c>
      <c r="AD56" s="3">
        <f t="shared" si="17"/>
        <v>0.24</v>
      </c>
      <c r="AE56" s="19"/>
    </row>
    <row r="57" spans="1:31" ht="60.75" customHeight="1" x14ac:dyDescent="0.35">
      <c r="A57" s="28" t="s">
        <v>52</v>
      </c>
      <c r="B57" s="25">
        <v>1</v>
      </c>
      <c r="C57" s="25">
        <v>1</v>
      </c>
      <c r="D57" s="25">
        <v>1</v>
      </c>
      <c r="E57" s="25">
        <v>1</v>
      </c>
      <c r="F57" s="25">
        <v>1</v>
      </c>
      <c r="G57" s="25">
        <v>1</v>
      </c>
      <c r="H57" s="25">
        <v>0</v>
      </c>
      <c r="I57" s="25">
        <v>0</v>
      </c>
      <c r="J57" s="25">
        <v>1</v>
      </c>
      <c r="K57" s="25">
        <v>1</v>
      </c>
      <c r="L57" s="3">
        <f t="shared" si="0"/>
        <v>0.8</v>
      </c>
      <c r="M57" s="26" t="str">
        <f t="shared" si="1"/>
        <v>mudah</v>
      </c>
      <c r="N57" s="3">
        <f t="shared" si="2"/>
        <v>0.5</v>
      </c>
      <c r="O57" s="26" t="str">
        <f t="shared" si="3"/>
        <v>soal diterima baik</v>
      </c>
      <c r="P57" s="19"/>
      <c r="Q57" s="26">
        <v>52</v>
      </c>
      <c r="R57" s="29">
        <f t="shared" si="5"/>
        <v>1</v>
      </c>
      <c r="S57" s="29">
        <f t="shared" si="6"/>
        <v>1</v>
      </c>
      <c r="T57" s="29">
        <f t="shared" si="7"/>
        <v>1</v>
      </c>
      <c r="U57" s="29">
        <f t="shared" si="8"/>
        <v>1</v>
      </c>
      <c r="V57" s="29">
        <f t="shared" si="9"/>
        <v>1</v>
      </c>
      <c r="W57" s="29">
        <f t="shared" si="10"/>
        <v>1</v>
      </c>
      <c r="X57" s="29">
        <f t="shared" si="11"/>
        <v>0</v>
      </c>
      <c r="Y57" s="29">
        <f t="shared" si="12"/>
        <v>0</v>
      </c>
      <c r="Z57" s="29">
        <f t="shared" si="13"/>
        <v>1</v>
      </c>
      <c r="AA57" s="29">
        <f t="shared" si="14"/>
        <v>1</v>
      </c>
      <c r="AB57" s="3">
        <f t="shared" si="15"/>
        <v>0.8</v>
      </c>
      <c r="AC57" s="3">
        <f t="shared" si="16"/>
        <v>0.19999999999999996</v>
      </c>
      <c r="AD57" s="3">
        <f t="shared" si="17"/>
        <v>0.15999999999999998</v>
      </c>
      <c r="AE57" s="19"/>
    </row>
    <row r="58" spans="1:31" ht="43.5" customHeight="1" x14ac:dyDescent="0.35">
      <c r="A58" s="30" t="s">
        <v>53</v>
      </c>
      <c r="B58" s="25">
        <v>1</v>
      </c>
      <c r="C58" s="25">
        <v>1</v>
      </c>
      <c r="D58" s="25">
        <v>1</v>
      </c>
      <c r="E58" s="25">
        <v>1</v>
      </c>
      <c r="F58" s="25">
        <v>1</v>
      </c>
      <c r="G58" s="25">
        <v>1</v>
      </c>
      <c r="H58" s="25">
        <v>0</v>
      </c>
      <c r="I58" s="25">
        <v>0</v>
      </c>
      <c r="J58" s="25">
        <v>0</v>
      </c>
      <c r="K58" s="25">
        <v>0</v>
      </c>
      <c r="L58" s="3">
        <f t="shared" si="0"/>
        <v>0.6</v>
      </c>
      <c r="M58" s="26" t="str">
        <f t="shared" si="1"/>
        <v>sedang</v>
      </c>
      <c r="N58" s="3">
        <f t="shared" si="2"/>
        <v>1</v>
      </c>
      <c r="O58" s="26" t="str">
        <f t="shared" si="3"/>
        <v>soal diterima baik</v>
      </c>
      <c r="P58" s="19"/>
      <c r="Q58" s="26">
        <v>53</v>
      </c>
      <c r="R58" s="29">
        <f t="shared" si="5"/>
        <v>1</v>
      </c>
      <c r="S58" s="29">
        <f t="shared" si="6"/>
        <v>1</v>
      </c>
      <c r="T58" s="29">
        <f t="shared" si="7"/>
        <v>1</v>
      </c>
      <c r="U58" s="29">
        <f t="shared" si="8"/>
        <v>1</v>
      </c>
      <c r="V58" s="29">
        <f t="shared" si="9"/>
        <v>1</v>
      </c>
      <c r="W58" s="29">
        <f t="shared" si="10"/>
        <v>1</v>
      </c>
      <c r="X58" s="29">
        <f t="shared" si="11"/>
        <v>0</v>
      </c>
      <c r="Y58" s="29">
        <f t="shared" si="12"/>
        <v>0</v>
      </c>
      <c r="Z58" s="29">
        <f t="shared" si="13"/>
        <v>1</v>
      </c>
      <c r="AA58" s="29">
        <f t="shared" si="14"/>
        <v>1</v>
      </c>
      <c r="AB58" s="3">
        <f t="shared" si="15"/>
        <v>0.8</v>
      </c>
      <c r="AC58" s="3">
        <f t="shared" si="16"/>
        <v>0.19999999999999996</v>
      </c>
      <c r="AD58" s="3">
        <f t="shared" si="17"/>
        <v>0.15999999999999998</v>
      </c>
      <c r="AE58" s="19"/>
    </row>
    <row r="59" spans="1:31" ht="49.5" customHeight="1" x14ac:dyDescent="0.35">
      <c r="A59" s="30" t="s">
        <v>54</v>
      </c>
      <c r="B59" s="25">
        <v>1</v>
      </c>
      <c r="C59" s="25">
        <v>1</v>
      </c>
      <c r="D59" s="25">
        <v>1</v>
      </c>
      <c r="E59" s="25">
        <v>0</v>
      </c>
      <c r="F59" s="25">
        <v>1</v>
      </c>
      <c r="G59" s="25">
        <v>0</v>
      </c>
      <c r="H59" s="25">
        <v>0</v>
      </c>
      <c r="I59" s="25">
        <v>0</v>
      </c>
      <c r="J59" s="25">
        <v>0</v>
      </c>
      <c r="K59" s="25">
        <v>0</v>
      </c>
      <c r="L59" s="3">
        <f t="shared" si="0"/>
        <v>0.4</v>
      </c>
      <c r="M59" s="26" t="str">
        <f t="shared" si="1"/>
        <v>sedang</v>
      </c>
      <c r="N59" s="3">
        <f t="shared" si="2"/>
        <v>1</v>
      </c>
      <c r="O59" s="26" t="str">
        <f t="shared" si="3"/>
        <v>soal diterima baik</v>
      </c>
      <c r="P59" s="19"/>
      <c r="Q59" s="26">
        <v>54</v>
      </c>
      <c r="R59" s="29">
        <f t="shared" si="5"/>
        <v>1</v>
      </c>
      <c r="S59" s="29">
        <f t="shared" si="6"/>
        <v>1</v>
      </c>
      <c r="T59" s="29">
        <f t="shared" si="7"/>
        <v>1</v>
      </c>
      <c r="U59" s="29">
        <f t="shared" si="8"/>
        <v>1</v>
      </c>
      <c r="V59" s="29">
        <f t="shared" si="9"/>
        <v>1</v>
      </c>
      <c r="W59" s="29">
        <f t="shared" si="10"/>
        <v>1</v>
      </c>
      <c r="X59" s="29">
        <f t="shared" si="11"/>
        <v>0</v>
      </c>
      <c r="Y59" s="29">
        <f t="shared" si="12"/>
        <v>0</v>
      </c>
      <c r="Z59" s="29">
        <f t="shared" si="13"/>
        <v>0</v>
      </c>
      <c r="AA59" s="29">
        <f t="shared" si="14"/>
        <v>0</v>
      </c>
      <c r="AB59" s="3">
        <f t="shared" si="15"/>
        <v>0.6</v>
      </c>
      <c r="AC59" s="3">
        <f t="shared" si="16"/>
        <v>0.4</v>
      </c>
      <c r="AD59" s="3">
        <f t="shared" si="17"/>
        <v>0.24</v>
      </c>
      <c r="AE59" s="19"/>
    </row>
    <row r="60" spans="1:31" ht="50.25" customHeight="1" x14ac:dyDescent="0.35">
      <c r="A60" s="28" t="s">
        <v>55</v>
      </c>
      <c r="B60" s="25">
        <v>1</v>
      </c>
      <c r="C60" s="25">
        <v>1</v>
      </c>
      <c r="D60" s="25">
        <v>1</v>
      </c>
      <c r="E60" s="25">
        <v>1</v>
      </c>
      <c r="F60" s="25">
        <v>1</v>
      </c>
      <c r="G60" s="25">
        <v>1</v>
      </c>
      <c r="H60" s="25">
        <v>1</v>
      </c>
      <c r="I60" s="25">
        <v>1</v>
      </c>
      <c r="J60" s="25">
        <v>0</v>
      </c>
      <c r="K60" s="25">
        <v>0</v>
      </c>
      <c r="L60" s="3">
        <f t="shared" si="0"/>
        <v>0.8</v>
      </c>
      <c r="M60" s="26" t="str">
        <f t="shared" si="1"/>
        <v>mudah</v>
      </c>
      <c r="N60" s="3">
        <f t="shared" si="2"/>
        <v>0.5</v>
      </c>
      <c r="O60" s="26" t="str">
        <f t="shared" si="3"/>
        <v>soal diterima baik</v>
      </c>
      <c r="P60" s="19"/>
      <c r="Q60" s="26">
        <v>55</v>
      </c>
      <c r="R60" s="29">
        <f t="shared" si="5"/>
        <v>1</v>
      </c>
      <c r="S60" s="29">
        <f t="shared" si="6"/>
        <v>1</v>
      </c>
      <c r="T60" s="29">
        <f t="shared" si="7"/>
        <v>1</v>
      </c>
      <c r="U60" s="29">
        <f t="shared" si="8"/>
        <v>0</v>
      </c>
      <c r="V60" s="29">
        <f t="shared" si="9"/>
        <v>1</v>
      </c>
      <c r="W60" s="29">
        <f t="shared" si="10"/>
        <v>0</v>
      </c>
      <c r="X60" s="29">
        <f t="shared" si="11"/>
        <v>0</v>
      </c>
      <c r="Y60" s="29">
        <f t="shared" si="12"/>
        <v>0</v>
      </c>
      <c r="Z60" s="29">
        <f t="shared" si="13"/>
        <v>0</v>
      </c>
      <c r="AA60" s="29">
        <f t="shared" si="14"/>
        <v>0</v>
      </c>
      <c r="AB60" s="3">
        <f t="shared" si="15"/>
        <v>0.4</v>
      </c>
      <c r="AC60" s="3">
        <f t="shared" si="16"/>
        <v>0.6</v>
      </c>
      <c r="AD60" s="3">
        <f t="shared" si="17"/>
        <v>0.24</v>
      </c>
      <c r="AE60" s="19"/>
    </row>
    <row r="61" spans="1:31" ht="31.5" customHeight="1" x14ac:dyDescent="0.35">
      <c r="A61" s="24" t="s">
        <v>56</v>
      </c>
      <c r="B61" s="25">
        <v>1</v>
      </c>
      <c r="C61" s="25">
        <v>1</v>
      </c>
      <c r="D61" s="25">
        <v>1</v>
      </c>
      <c r="E61" s="25">
        <v>1</v>
      </c>
      <c r="F61" s="25">
        <v>1</v>
      </c>
      <c r="G61" s="25">
        <v>1</v>
      </c>
      <c r="H61" s="25">
        <v>0</v>
      </c>
      <c r="I61" s="25">
        <v>0</v>
      </c>
      <c r="J61" s="25">
        <v>0</v>
      </c>
      <c r="K61" s="25">
        <v>0</v>
      </c>
      <c r="L61" s="3">
        <f t="shared" si="0"/>
        <v>0.6</v>
      </c>
      <c r="M61" s="26" t="str">
        <f t="shared" si="1"/>
        <v>sedang</v>
      </c>
      <c r="N61" s="3">
        <f t="shared" si="2"/>
        <v>1</v>
      </c>
      <c r="O61" s="26" t="str">
        <f t="shared" si="3"/>
        <v>soal diterima baik</v>
      </c>
      <c r="P61" s="19"/>
      <c r="Q61" s="26">
        <v>56</v>
      </c>
      <c r="R61" s="29">
        <f t="shared" si="5"/>
        <v>1</v>
      </c>
      <c r="S61" s="29">
        <f t="shared" si="6"/>
        <v>1</v>
      </c>
      <c r="T61" s="29">
        <f t="shared" si="7"/>
        <v>1</v>
      </c>
      <c r="U61" s="29">
        <f t="shared" si="8"/>
        <v>1</v>
      </c>
      <c r="V61" s="29">
        <f t="shared" si="9"/>
        <v>1</v>
      </c>
      <c r="W61" s="29">
        <f t="shared" si="10"/>
        <v>1</v>
      </c>
      <c r="X61" s="29">
        <f t="shared" si="11"/>
        <v>1</v>
      </c>
      <c r="Y61" s="29">
        <f t="shared" si="12"/>
        <v>1</v>
      </c>
      <c r="Z61" s="29">
        <f t="shared" si="13"/>
        <v>0</v>
      </c>
      <c r="AA61" s="29">
        <f t="shared" si="14"/>
        <v>0</v>
      </c>
      <c r="AB61" s="3">
        <f t="shared" si="15"/>
        <v>0.8</v>
      </c>
      <c r="AC61" s="3">
        <f t="shared" si="16"/>
        <v>0.19999999999999996</v>
      </c>
      <c r="AD61" s="3">
        <f t="shared" si="17"/>
        <v>0.15999999999999998</v>
      </c>
      <c r="AE61" s="19"/>
    </row>
    <row r="62" spans="1:31" ht="34.5" customHeight="1" x14ac:dyDescent="0.35">
      <c r="A62" s="24" t="s">
        <v>57</v>
      </c>
      <c r="B62" s="25">
        <v>1</v>
      </c>
      <c r="C62" s="25">
        <v>1</v>
      </c>
      <c r="D62" s="25">
        <v>1</v>
      </c>
      <c r="E62" s="25">
        <v>0</v>
      </c>
      <c r="F62" s="25">
        <v>1</v>
      </c>
      <c r="G62" s="25">
        <v>0</v>
      </c>
      <c r="H62" s="25">
        <v>0</v>
      </c>
      <c r="I62" s="25">
        <v>0</v>
      </c>
      <c r="J62" s="25">
        <v>0</v>
      </c>
      <c r="K62" s="25">
        <v>0</v>
      </c>
      <c r="L62" s="3">
        <f t="shared" si="0"/>
        <v>0.4</v>
      </c>
      <c r="M62" s="26" t="str">
        <f t="shared" si="1"/>
        <v>sedang</v>
      </c>
      <c r="N62" s="3">
        <f t="shared" si="2"/>
        <v>1</v>
      </c>
      <c r="O62" s="26" t="str">
        <f t="shared" si="3"/>
        <v>soal diterima baik</v>
      </c>
      <c r="P62" s="19"/>
      <c r="Q62" s="26">
        <v>57</v>
      </c>
      <c r="R62" s="29">
        <f t="shared" si="5"/>
        <v>1</v>
      </c>
      <c r="S62" s="29">
        <f t="shared" si="6"/>
        <v>1</v>
      </c>
      <c r="T62" s="29">
        <f t="shared" si="7"/>
        <v>1</v>
      </c>
      <c r="U62" s="29">
        <f t="shared" si="8"/>
        <v>1</v>
      </c>
      <c r="V62" s="29">
        <f t="shared" si="9"/>
        <v>1</v>
      </c>
      <c r="W62" s="29">
        <f t="shared" si="10"/>
        <v>1</v>
      </c>
      <c r="X62" s="29">
        <f t="shared" si="11"/>
        <v>0</v>
      </c>
      <c r="Y62" s="29">
        <f t="shared" si="12"/>
        <v>0</v>
      </c>
      <c r="Z62" s="29">
        <f t="shared" si="13"/>
        <v>0</v>
      </c>
      <c r="AA62" s="29">
        <f t="shared" si="14"/>
        <v>0</v>
      </c>
      <c r="AB62" s="3">
        <f t="shared" si="15"/>
        <v>0.6</v>
      </c>
      <c r="AC62" s="3">
        <f t="shared" si="16"/>
        <v>0.4</v>
      </c>
      <c r="AD62" s="3">
        <f t="shared" si="17"/>
        <v>0.24</v>
      </c>
      <c r="AE62" s="19"/>
    </row>
    <row r="63" spans="1:31" ht="95.25" customHeight="1" x14ac:dyDescent="0.35">
      <c r="A63" s="24" t="s">
        <v>58</v>
      </c>
      <c r="B63" s="25">
        <v>1</v>
      </c>
      <c r="C63" s="25">
        <v>1</v>
      </c>
      <c r="D63" s="25">
        <v>0</v>
      </c>
      <c r="E63" s="25">
        <v>0</v>
      </c>
      <c r="F63" s="25">
        <v>0</v>
      </c>
      <c r="G63" s="25">
        <v>0</v>
      </c>
      <c r="H63" s="25">
        <v>0</v>
      </c>
      <c r="I63" s="25">
        <v>0</v>
      </c>
      <c r="J63" s="25">
        <v>0</v>
      </c>
      <c r="K63" s="25">
        <v>0</v>
      </c>
      <c r="L63" s="3">
        <f t="shared" si="0"/>
        <v>0.2</v>
      </c>
      <c r="M63" s="26" t="str">
        <f t="shared" si="1"/>
        <v>sukar</v>
      </c>
      <c r="N63" s="3">
        <f t="shared" si="2"/>
        <v>0.5</v>
      </c>
      <c r="O63" s="26" t="str">
        <f t="shared" si="3"/>
        <v>soal diterima baik</v>
      </c>
      <c r="P63" s="19"/>
      <c r="Q63" s="26">
        <v>58</v>
      </c>
      <c r="R63" s="29">
        <f t="shared" si="5"/>
        <v>1</v>
      </c>
      <c r="S63" s="29">
        <f t="shared" si="6"/>
        <v>1</v>
      </c>
      <c r="T63" s="29">
        <f t="shared" si="7"/>
        <v>1</v>
      </c>
      <c r="U63" s="29">
        <f t="shared" si="8"/>
        <v>0</v>
      </c>
      <c r="V63" s="29">
        <f t="shared" si="9"/>
        <v>1</v>
      </c>
      <c r="W63" s="29">
        <f t="shared" si="10"/>
        <v>0</v>
      </c>
      <c r="X63" s="29">
        <f t="shared" si="11"/>
        <v>0</v>
      </c>
      <c r="Y63" s="29">
        <f t="shared" si="12"/>
        <v>0</v>
      </c>
      <c r="Z63" s="29">
        <f t="shared" si="13"/>
        <v>0</v>
      </c>
      <c r="AA63" s="29">
        <f t="shared" si="14"/>
        <v>0</v>
      </c>
      <c r="AB63" s="3">
        <f t="shared" si="15"/>
        <v>0.4</v>
      </c>
      <c r="AC63" s="3">
        <f t="shared" si="16"/>
        <v>0.6</v>
      </c>
      <c r="AD63" s="3">
        <f t="shared" si="17"/>
        <v>0.24</v>
      </c>
      <c r="AE63" s="19"/>
    </row>
    <row r="64" spans="1:31" ht="72.75" customHeight="1" x14ac:dyDescent="0.35">
      <c r="A64" s="24" t="s">
        <v>59</v>
      </c>
      <c r="B64" s="25">
        <v>1</v>
      </c>
      <c r="C64" s="25">
        <v>1</v>
      </c>
      <c r="D64" s="25">
        <v>1</v>
      </c>
      <c r="E64" s="25">
        <v>0</v>
      </c>
      <c r="F64" s="25">
        <v>1</v>
      </c>
      <c r="G64" s="25">
        <v>0</v>
      </c>
      <c r="H64" s="25">
        <v>1</v>
      </c>
      <c r="I64" s="25">
        <v>1</v>
      </c>
      <c r="J64" s="25">
        <v>0</v>
      </c>
      <c r="K64" s="25">
        <v>0</v>
      </c>
      <c r="L64" s="3">
        <f t="shared" si="0"/>
        <v>0.6</v>
      </c>
      <c r="M64" s="26" t="str">
        <f t="shared" si="1"/>
        <v>sedang</v>
      </c>
      <c r="N64" s="3">
        <f t="shared" si="2"/>
        <v>0.5</v>
      </c>
      <c r="O64" s="26" t="str">
        <f t="shared" si="3"/>
        <v>soal diterima baik</v>
      </c>
      <c r="P64" s="19"/>
      <c r="Q64" s="26">
        <v>59</v>
      </c>
      <c r="R64" s="29">
        <f t="shared" si="5"/>
        <v>1</v>
      </c>
      <c r="S64" s="29">
        <f t="shared" si="6"/>
        <v>1</v>
      </c>
      <c r="T64" s="29">
        <f t="shared" si="7"/>
        <v>0</v>
      </c>
      <c r="U64" s="29">
        <f t="shared" si="8"/>
        <v>0</v>
      </c>
      <c r="V64" s="29">
        <f t="shared" si="9"/>
        <v>0</v>
      </c>
      <c r="W64" s="29">
        <f t="shared" si="10"/>
        <v>0</v>
      </c>
      <c r="X64" s="29">
        <f t="shared" si="11"/>
        <v>0</v>
      </c>
      <c r="Y64" s="29">
        <f t="shared" si="12"/>
        <v>0</v>
      </c>
      <c r="Z64" s="29">
        <f t="shared" si="13"/>
        <v>0</v>
      </c>
      <c r="AA64" s="29">
        <f t="shared" si="14"/>
        <v>0</v>
      </c>
      <c r="AB64" s="3">
        <f t="shared" si="15"/>
        <v>0.2</v>
      </c>
      <c r="AC64" s="3">
        <f t="shared" si="16"/>
        <v>0.8</v>
      </c>
      <c r="AD64" s="3">
        <f t="shared" si="17"/>
        <v>0.16000000000000003</v>
      </c>
      <c r="AE64" s="19"/>
    </row>
    <row r="65" spans="1:31" ht="90.75" customHeight="1" x14ac:dyDescent="0.35">
      <c r="A65" s="30" t="s">
        <v>60</v>
      </c>
      <c r="B65" s="25">
        <v>1</v>
      </c>
      <c r="C65" s="25">
        <v>1</v>
      </c>
      <c r="D65" s="25">
        <v>1</v>
      </c>
      <c r="E65" s="25">
        <v>1</v>
      </c>
      <c r="F65" s="25">
        <v>1</v>
      </c>
      <c r="G65" s="25">
        <v>1</v>
      </c>
      <c r="H65" s="25">
        <v>0</v>
      </c>
      <c r="I65" s="25">
        <v>0</v>
      </c>
      <c r="J65" s="25">
        <v>1</v>
      </c>
      <c r="K65" s="25">
        <v>1</v>
      </c>
      <c r="L65" s="3">
        <f t="shared" si="0"/>
        <v>0.8</v>
      </c>
      <c r="M65" s="26" t="str">
        <f t="shared" si="1"/>
        <v>mudah</v>
      </c>
      <c r="N65" s="3">
        <f t="shared" si="2"/>
        <v>0.5</v>
      </c>
      <c r="O65" s="26" t="str">
        <f t="shared" si="3"/>
        <v>soal diterima baik</v>
      </c>
      <c r="P65" s="19"/>
      <c r="Q65" s="26">
        <v>60</v>
      </c>
      <c r="R65" s="29">
        <f t="shared" si="5"/>
        <v>1</v>
      </c>
      <c r="S65" s="29">
        <f t="shared" si="6"/>
        <v>1</v>
      </c>
      <c r="T65" s="29">
        <f t="shared" si="7"/>
        <v>1</v>
      </c>
      <c r="U65" s="29">
        <f t="shared" si="8"/>
        <v>0</v>
      </c>
      <c r="V65" s="29">
        <f t="shared" si="9"/>
        <v>1</v>
      </c>
      <c r="W65" s="29">
        <f t="shared" si="10"/>
        <v>0</v>
      </c>
      <c r="X65" s="29">
        <f t="shared" si="11"/>
        <v>1</v>
      </c>
      <c r="Y65" s="29">
        <f t="shared" si="12"/>
        <v>1</v>
      </c>
      <c r="Z65" s="29">
        <f t="shared" si="13"/>
        <v>0</v>
      </c>
      <c r="AA65" s="29">
        <f t="shared" si="14"/>
        <v>0</v>
      </c>
      <c r="AB65" s="3">
        <f t="shared" si="15"/>
        <v>0.6</v>
      </c>
      <c r="AC65" s="3">
        <f t="shared" si="16"/>
        <v>0.4</v>
      </c>
      <c r="AD65" s="3">
        <f t="shared" si="17"/>
        <v>0.24</v>
      </c>
      <c r="AE65" s="19"/>
    </row>
    <row r="66" spans="1:31" ht="80.25" customHeight="1" x14ac:dyDescent="0.35">
      <c r="A66" s="24" t="s">
        <v>61</v>
      </c>
      <c r="B66" s="25">
        <v>0</v>
      </c>
      <c r="C66" s="25">
        <v>0</v>
      </c>
      <c r="D66" s="25">
        <v>1</v>
      </c>
      <c r="E66" s="25">
        <v>1</v>
      </c>
      <c r="F66" s="25">
        <v>1</v>
      </c>
      <c r="G66" s="25">
        <v>1</v>
      </c>
      <c r="H66" s="25">
        <v>0</v>
      </c>
      <c r="I66" s="25">
        <v>0</v>
      </c>
      <c r="J66" s="25">
        <v>0</v>
      </c>
      <c r="K66" s="25">
        <v>0</v>
      </c>
      <c r="L66" s="3">
        <f t="shared" si="0"/>
        <v>0.4</v>
      </c>
      <c r="M66" s="26" t="str">
        <f t="shared" si="1"/>
        <v>sedang</v>
      </c>
      <c r="N66" s="3">
        <f t="shared" si="2"/>
        <v>0.5</v>
      </c>
      <c r="O66" s="26" t="str">
        <f t="shared" si="3"/>
        <v>soal diterima baik</v>
      </c>
      <c r="P66" s="19"/>
      <c r="Q66" s="26">
        <v>61</v>
      </c>
      <c r="R66" s="29">
        <f t="shared" si="5"/>
        <v>1</v>
      </c>
      <c r="S66" s="29">
        <f t="shared" si="6"/>
        <v>1</v>
      </c>
      <c r="T66" s="29">
        <f t="shared" si="7"/>
        <v>1</v>
      </c>
      <c r="U66" s="29">
        <f t="shared" si="8"/>
        <v>1</v>
      </c>
      <c r="V66" s="29">
        <f t="shared" si="9"/>
        <v>1</v>
      </c>
      <c r="W66" s="29">
        <f t="shared" si="10"/>
        <v>1</v>
      </c>
      <c r="X66" s="29">
        <f t="shared" si="11"/>
        <v>0</v>
      </c>
      <c r="Y66" s="29">
        <f t="shared" si="12"/>
        <v>0</v>
      </c>
      <c r="Z66" s="29">
        <f t="shared" si="13"/>
        <v>1</v>
      </c>
      <c r="AA66" s="29">
        <f t="shared" si="14"/>
        <v>1</v>
      </c>
      <c r="AB66" s="3">
        <f t="shared" si="15"/>
        <v>0.8</v>
      </c>
      <c r="AC66" s="3">
        <f t="shared" si="16"/>
        <v>0.19999999999999996</v>
      </c>
      <c r="AD66" s="3">
        <f t="shared" si="17"/>
        <v>0.15999999999999998</v>
      </c>
      <c r="AE66" s="19"/>
    </row>
    <row r="67" spans="1:31" ht="78" customHeight="1" x14ac:dyDescent="0.35">
      <c r="A67" s="30" t="s">
        <v>62</v>
      </c>
      <c r="B67" s="25">
        <v>1</v>
      </c>
      <c r="C67" s="25">
        <v>1</v>
      </c>
      <c r="D67" s="25">
        <v>1</v>
      </c>
      <c r="E67" s="25">
        <v>0</v>
      </c>
      <c r="F67" s="25">
        <v>1</v>
      </c>
      <c r="G67" s="25">
        <v>0</v>
      </c>
      <c r="H67" s="25">
        <v>0</v>
      </c>
      <c r="I67" s="25">
        <v>0</v>
      </c>
      <c r="J67" s="25">
        <v>1</v>
      </c>
      <c r="K67" s="25">
        <v>1</v>
      </c>
      <c r="L67" s="3">
        <f t="shared" si="0"/>
        <v>0.6</v>
      </c>
      <c r="M67" s="26" t="str">
        <f t="shared" si="1"/>
        <v>sedang</v>
      </c>
      <c r="N67" s="3">
        <f t="shared" si="2"/>
        <v>0.5</v>
      </c>
      <c r="O67" s="26" t="str">
        <f t="shared" si="3"/>
        <v>soal diterima baik</v>
      </c>
      <c r="P67" s="19"/>
      <c r="Q67" s="26">
        <v>62</v>
      </c>
      <c r="R67" s="29">
        <f t="shared" si="5"/>
        <v>0</v>
      </c>
      <c r="S67" s="29">
        <f t="shared" si="6"/>
        <v>0</v>
      </c>
      <c r="T67" s="29">
        <f t="shared" si="7"/>
        <v>1</v>
      </c>
      <c r="U67" s="29">
        <f t="shared" si="8"/>
        <v>1</v>
      </c>
      <c r="V67" s="29">
        <f t="shared" si="9"/>
        <v>1</v>
      </c>
      <c r="W67" s="29">
        <f t="shared" si="10"/>
        <v>1</v>
      </c>
      <c r="X67" s="29">
        <f t="shared" si="11"/>
        <v>0</v>
      </c>
      <c r="Y67" s="29">
        <f t="shared" si="12"/>
        <v>0</v>
      </c>
      <c r="Z67" s="29">
        <f t="shared" si="13"/>
        <v>0</v>
      </c>
      <c r="AA67" s="29">
        <f t="shared" si="14"/>
        <v>0</v>
      </c>
      <c r="AB67" s="3">
        <f t="shared" si="15"/>
        <v>0.4</v>
      </c>
      <c r="AC67" s="3">
        <f t="shared" si="16"/>
        <v>0.6</v>
      </c>
      <c r="AD67" s="3">
        <f t="shared" si="17"/>
        <v>0.24</v>
      </c>
      <c r="AE67" s="19"/>
    </row>
    <row r="68" spans="1:31" ht="64.5" customHeight="1" x14ac:dyDescent="0.35">
      <c r="A68" s="30" t="s">
        <v>63</v>
      </c>
      <c r="B68" s="25">
        <v>1</v>
      </c>
      <c r="C68" s="25">
        <v>1</v>
      </c>
      <c r="D68" s="25">
        <v>1</v>
      </c>
      <c r="E68" s="25">
        <v>1</v>
      </c>
      <c r="F68" s="25">
        <v>1</v>
      </c>
      <c r="G68" s="25">
        <v>1</v>
      </c>
      <c r="H68" s="25">
        <v>1</v>
      </c>
      <c r="I68" s="25">
        <v>1</v>
      </c>
      <c r="J68" s="25">
        <v>0</v>
      </c>
      <c r="K68" s="25">
        <v>0</v>
      </c>
      <c r="L68" s="3">
        <f t="shared" si="0"/>
        <v>0.8</v>
      </c>
      <c r="M68" s="26" t="str">
        <f t="shared" si="1"/>
        <v>mudah</v>
      </c>
      <c r="N68" s="3">
        <f t="shared" si="2"/>
        <v>0.5</v>
      </c>
      <c r="O68" s="26" t="str">
        <f t="shared" si="3"/>
        <v>soal diterima baik</v>
      </c>
      <c r="P68" s="19"/>
      <c r="Q68" s="26">
        <v>63</v>
      </c>
      <c r="R68" s="29">
        <f t="shared" si="5"/>
        <v>1</v>
      </c>
      <c r="S68" s="29">
        <f t="shared" si="6"/>
        <v>1</v>
      </c>
      <c r="T68" s="29">
        <f t="shared" si="7"/>
        <v>1</v>
      </c>
      <c r="U68" s="29">
        <f t="shared" si="8"/>
        <v>0</v>
      </c>
      <c r="V68" s="29">
        <f t="shared" si="9"/>
        <v>1</v>
      </c>
      <c r="W68" s="29">
        <f t="shared" si="10"/>
        <v>0</v>
      </c>
      <c r="X68" s="29">
        <f t="shared" si="11"/>
        <v>0</v>
      </c>
      <c r="Y68" s="29">
        <f t="shared" si="12"/>
        <v>0</v>
      </c>
      <c r="Z68" s="29">
        <f t="shared" si="13"/>
        <v>1</v>
      </c>
      <c r="AA68" s="29">
        <f t="shared" si="14"/>
        <v>1</v>
      </c>
      <c r="AB68" s="3">
        <f t="shared" si="15"/>
        <v>0.6</v>
      </c>
      <c r="AC68" s="3">
        <f t="shared" si="16"/>
        <v>0.4</v>
      </c>
      <c r="AD68" s="3">
        <f t="shared" si="17"/>
        <v>0.24</v>
      </c>
      <c r="AE68" s="19"/>
    </row>
    <row r="69" spans="1:31" ht="85.5" customHeight="1" x14ac:dyDescent="0.35">
      <c r="A69" s="30" t="s">
        <v>100</v>
      </c>
      <c r="B69" s="25">
        <v>1</v>
      </c>
      <c r="C69" s="25">
        <v>1</v>
      </c>
      <c r="D69" s="25">
        <v>1</v>
      </c>
      <c r="E69" s="25">
        <v>0</v>
      </c>
      <c r="F69" s="25">
        <v>1</v>
      </c>
      <c r="G69" s="25">
        <v>0</v>
      </c>
      <c r="H69" s="25">
        <v>0</v>
      </c>
      <c r="I69" s="25">
        <v>0</v>
      </c>
      <c r="J69" s="25">
        <v>1</v>
      </c>
      <c r="K69" s="25">
        <v>1</v>
      </c>
      <c r="L69" s="3">
        <f t="shared" si="0"/>
        <v>0.6</v>
      </c>
      <c r="M69" s="26" t="str">
        <f t="shared" si="1"/>
        <v>sedang</v>
      </c>
      <c r="N69" s="3">
        <f t="shared" si="2"/>
        <v>0.5</v>
      </c>
      <c r="O69" s="26" t="str">
        <f t="shared" si="3"/>
        <v>soal diterima baik</v>
      </c>
      <c r="P69" s="19"/>
      <c r="Q69" s="26">
        <v>64</v>
      </c>
      <c r="R69" s="29">
        <f t="shared" si="5"/>
        <v>1</v>
      </c>
      <c r="S69" s="29">
        <f t="shared" si="6"/>
        <v>1</v>
      </c>
      <c r="T69" s="29">
        <f t="shared" si="7"/>
        <v>1</v>
      </c>
      <c r="U69" s="29">
        <f t="shared" si="8"/>
        <v>1</v>
      </c>
      <c r="V69" s="29">
        <f t="shared" si="9"/>
        <v>1</v>
      </c>
      <c r="W69" s="29">
        <f t="shared" si="10"/>
        <v>1</v>
      </c>
      <c r="X69" s="29">
        <f t="shared" si="11"/>
        <v>1</v>
      </c>
      <c r="Y69" s="29">
        <f t="shared" si="12"/>
        <v>1</v>
      </c>
      <c r="Z69" s="29">
        <f t="shared" si="13"/>
        <v>0</v>
      </c>
      <c r="AA69" s="29">
        <f t="shared" si="14"/>
        <v>0</v>
      </c>
      <c r="AB69" s="3">
        <f t="shared" si="15"/>
        <v>0.8</v>
      </c>
      <c r="AC69" s="3">
        <f t="shared" si="16"/>
        <v>0.19999999999999996</v>
      </c>
      <c r="AD69" s="3">
        <f t="shared" si="17"/>
        <v>0.15999999999999998</v>
      </c>
      <c r="AE69" s="19"/>
    </row>
    <row r="70" spans="1:31" ht="42" customHeight="1" x14ac:dyDescent="0.35">
      <c r="A70" s="28" t="s">
        <v>64</v>
      </c>
      <c r="B70" s="25">
        <v>1</v>
      </c>
      <c r="C70" s="25">
        <v>1</v>
      </c>
      <c r="D70" s="25">
        <v>1</v>
      </c>
      <c r="E70" s="25">
        <v>0</v>
      </c>
      <c r="F70" s="25">
        <v>1</v>
      </c>
      <c r="G70" s="25">
        <v>0</v>
      </c>
      <c r="H70" s="25">
        <v>1</v>
      </c>
      <c r="I70" s="25">
        <v>1</v>
      </c>
      <c r="J70" s="25">
        <v>0</v>
      </c>
      <c r="K70" s="25">
        <v>0</v>
      </c>
      <c r="L70" s="3">
        <f t="shared" ref="L70:L104" si="18">SUM(B70:K70)/10</f>
        <v>0.6</v>
      </c>
      <c r="M70" s="26" t="str">
        <f t="shared" ref="M70:M104" si="19">IF(L70&lt;0.31,"sukar",IF(L70&lt;0.71,"sedang","mudah"))</f>
        <v>sedang</v>
      </c>
      <c r="N70" s="3">
        <f t="shared" ref="N70:N103" si="20">ABS((SUM(B70:D70,F70)-SUM(H70:K70))*2/8)</f>
        <v>0.5</v>
      </c>
      <c r="O70" s="26" t="str">
        <f t="shared" ref="O70:O104" si="21">IF(N70&lt;0.2,"soal dibuang",IF(N70&lt;0.3,"soal diperbaiki",IF(N70&lt;0.4,"soal diterima tapi perlu diperbaiki","soal diterima baik")))</f>
        <v>soal diterima baik</v>
      </c>
      <c r="P70" s="19"/>
      <c r="Q70" s="26">
        <v>65</v>
      </c>
      <c r="R70" s="29">
        <f t="shared" si="5"/>
        <v>1</v>
      </c>
      <c r="S70" s="29">
        <f t="shared" si="6"/>
        <v>1</v>
      </c>
      <c r="T70" s="29">
        <f t="shared" si="7"/>
        <v>1</v>
      </c>
      <c r="U70" s="29">
        <f t="shared" si="8"/>
        <v>0</v>
      </c>
      <c r="V70" s="29">
        <f t="shared" si="9"/>
        <v>1</v>
      </c>
      <c r="W70" s="29">
        <f t="shared" si="10"/>
        <v>0</v>
      </c>
      <c r="X70" s="29">
        <f t="shared" si="11"/>
        <v>0</v>
      </c>
      <c r="Y70" s="29">
        <f t="shared" si="12"/>
        <v>0</v>
      </c>
      <c r="Z70" s="29">
        <f t="shared" si="13"/>
        <v>1</v>
      </c>
      <c r="AA70" s="29">
        <f t="shared" si="14"/>
        <v>1</v>
      </c>
      <c r="AB70" s="3">
        <f t="shared" si="15"/>
        <v>0.6</v>
      </c>
      <c r="AC70" s="3">
        <f t="shared" si="16"/>
        <v>0.4</v>
      </c>
      <c r="AD70" s="3">
        <f t="shared" si="17"/>
        <v>0.24</v>
      </c>
      <c r="AE70" s="19"/>
    </row>
    <row r="71" spans="1:31" ht="42.75" customHeight="1" x14ac:dyDescent="0.35">
      <c r="A71" s="30" t="s">
        <v>65</v>
      </c>
      <c r="B71" s="25">
        <v>0</v>
      </c>
      <c r="C71" s="25">
        <v>0</v>
      </c>
      <c r="D71" s="25">
        <v>1</v>
      </c>
      <c r="E71" s="25">
        <v>1</v>
      </c>
      <c r="F71" s="25">
        <v>1</v>
      </c>
      <c r="G71" s="25">
        <v>1</v>
      </c>
      <c r="H71" s="25">
        <v>0</v>
      </c>
      <c r="I71" s="25">
        <v>0</v>
      </c>
      <c r="J71" s="25">
        <v>0</v>
      </c>
      <c r="K71" s="25">
        <v>0</v>
      </c>
      <c r="L71" s="3">
        <f t="shared" si="18"/>
        <v>0.4</v>
      </c>
      <c r="M71" s="26" t="str">
        <f t="shared" si="19"/>
        <v>sedang</v>
      </c>
      <c r="N71" s="3">
        <f t="shared" si="20"/>
        <v>0.5</v>
      </c>
      <c r="O71" s="26" t="str">
        <f t="shared" si="21"/>
        <v>soal diterima baik</v>
      </c>
      <c r="P71" s="19"/>
      <c r="Q71" s="26">
        <v>66</v>
      </c>
      <c r="R71" s="29">
        <f t="shared" ref="R71:R105" si="22">B70</f>
        <v>1</v>
      </c>
      <c r="S71" s="29">
        <f t="shared" ref="S71:S105" si="23">C70</f>
        <v>1</v>
      </c>
      <c r="T71" s="29">
        <f t="shared" ref="T71:T105" si="24">D70</f>
        <v>1</v>
      </c>
      <c r="U71" s="29">
        <f t="shared" ref="U71:U105" si="25">E70</f>
        <v>0</v>
      </c>
      <c r="V71" s="29">
        <f t="shared" ref="V71:V105" si="26">F70</f>
        <v>1</v>
      </c>
      <c r="W71" s="29">
        <f t="shared" ref="W71:W105" si="27">G70</f>
        <v>0</v>
      </c>
      <c r="X71" s="29">
        <f t="shared" ref="X71:X105" si="28">H70</f>
        <v>1</v>
      </c>
      <c r="Y71" s="29">
        <f t="shared" ref="Y71:Y105" si="29">I70</f>
        <v>1</v>
      </c>
      <c r="Z71" s="29">
        <f t="shared" ref="Z71:Z105" si="30">J70</f>
        <v>0</v>
      </c>
      <c r="AA71" s="29">
        <f t="shared" ref="AA71:AA105" si="31">K70</f>
        <v>0</v>
      </c>
      <c r="AB71" s="3">
        <f t="shared" ref="AB71:AB104" si="32">SUM(R71:AA71)/COUNT(R71:AA71)</f>
        <v>0.6</v>
      </c>
      <c r="AC71" s="3">
        <f t="shared" ref="AC71:AC105" si="33">1-AB71</f>
        <v>0.4</v>
      </c>
      <c r="AD71" s="3">
        <f t="shared" ref="AD71:AD105" si="34">AB71*AC71</f>
        <v>0.24</v>
      </c>
      <c r="AE71" s="19"/>
    </row>
    <row r="72" spans="1:31" ht="42.75" customHeight="1" x14ac:dyDescent="0.35">
      <c r="A72" s="30" t="s">
        <v>66</v>
      </c>
      <c r="B72" s="25">
        <v>1</v>
      </c>
      <c r="C72" s="25">
        <v>1</v>
      </c>
      <c r="D72" s="25">
        <v>1</v>
      </c>
      <c r="E72" s="25">
        <v>1</v>
      </c>
      <c r="F72" s="25">
        <v>1</v>
      </c>
      <c r="G72" s="25">
        <v>1</v>
      </c>
      <c r="H72" s="25">
        <v>0</v>
      </c>
      <c r="I72" s="25">
        <v>0</v>
      </c>
      <c r="J72" s="25">
        <v>0</v>
      </c>
      <c r="K72" s="25">
        <v>0</v>
      </c>
      <c r="L72" s="3">
        <f t="shared" si="18"/>
        <v>0.6</v>
      </c>
      <c r="M72" s="26" t="str">
        <f t="shared" si="19"/>
        <v>sedang</v>
      </c>
      <c r="N72" s="3">
        <f t="shared" si="20"/>
        <v>1</v>
      </c>
      <c r="O72" s="26" t="str">
        <f t="shared" si="21"/>
        <v>soal diterima baik</v>
      </c>
      <c r="P72" s="19"/>
      <c r="Q72" s="26">
        <v>67</v>
      </c>
      <c r="R72" s="29">
        <f t="shared" si="22"/>
        <v>0</v>
      </c>
      <c r="S72" s="29">
        <f t="shared" si="23"/>
        <v>0</v>
      </c>
      <c r="T72" s="29">
        <f t="shared" si="24"/>
        <v>1</v>
      </c>
      <c r="U72" s="29">
        <f t="shared" si="25"/>
        <v>1</v>
      </c>
      <c r="V72" s="29">
        <f t="shared" si="26"/>
        <v>1</v>
      </c>
      <c r="W72" s="29">
        <f t="shared" si="27"/>
        <v>1</v>
      </c>
      <c r="X72" s="29">
        <f t="shared" si="28"/>
        <v>0</v>
      </c>
      <c r="Y72" s="29">
        <f t="shared" si="29"/>
        <v>0</v>
      </c>
      <c r="Z72" s="29">
        <f t="shared" si="30"/>
        <v>0</v>
      </c>
      <c r="AA72" s="29">
        <f t="shared" si="31"/>
        <v>0</v>
      </c>
      <c r="AB72" s="3">
        <f t="shared" si="32"/>
        <v>0.4</v>
      </c>
      <c r="AC72" s="3">
        <f t="shared" si="33"/>
        <v>0.6</v>
      </c>
      <c r="AD72" s="3">
        <f t="shared" si="34"/>
        <v>0.24</v>
      </c>
      <c r="AE72" s="19"/>
    </row>
    <row r="73" spans="1:31" ht="58.5" customHeight="1" x14ac:dyDescent="0.35">
      <c r="A73" s="30" t="s">
        <v>67</v>
      </c>
      <c r="B73" s="25">
        <v>0</v>
      </c>
      <c r="C73" s="25">
        <v>0</v>
      </c>
      <c r="D73" s="25">
        <v>0</v>
      </c>
      <c r="E73" s="25">
        <v>1</v>
      </c>
      <c r="F73" s="25">
        <v>0</v>
      </c>
      <c r="G73" s="25">
        <v>1</v>
      </c>
      <c r="H73" s="25">
        <v>0</v>
      </c>
      <c r="I73" s="25">
        <v>0</v>
      </c>
      <c r="J73" s="25">
        <v>1</v>
      </c>
      <c r="K73" s="25">
        <v>1</v>
      </c>
      <c r="L73" s="3">
        <f t="shared" si="18"/>
        <v>0.4</v>
      </c>
      <c r="M73" s="26" t="str">
        <f t="shared" si="19"/>
        <v>sedang</v>
      </c>
      <c r="N73" s="3">
        <f t="shared" si="20"/>
        <v>0.5</v>
      </c>
      <c r="O73" s="26" t="str">
        <f t="shared" si="21"/>
        <v>soal diterima baik</v>
      </c>
      <c r="P73" s="19"/>
      <c r="Q73" s="26">
        <v>68</v>
      </c>
      <c r="R73" s="29">
        <f t="shared" si="22"/>
        <v>1</v>
      </c>
      <c r="S73" s="29">
        <f t="shared" si="23"/>
        <v>1</v>
      </c>
      <c r="T73" s="29">
        <f t="shared" si="24"/>
        <v>1</v>
      </c>
      <c r="U73" s="29">
        <f t="shared" si="25"/>
        <v>1</v>
      </c>
      <c r="V73" s="29">
        <f t="shared" si="26"/>
        <v>1</v>
      </c>
      <c r="W73" s="29">
        <f t="shared" si="27"/>
        <v>1</v>
      </c>
      <c r="X73" s="29">
        <f t="shared" si="28"/>
        <v>0</v>
      </c>
      <c r="Y73" s="29">
        <f t="shared" si="29"/>
        <v>0</v>
      </c>
      <c r="Z73" s="29">
        <f t="shared" si="30"/>
        <v>0</v>
      </c>
      <c r="AA73" s="29">
        <f t="shared" si="31"/>
        <v>0</v>
      </c>
      <c r="AB73" s="3">
        <f t="shared" si="32"/>
        <v>0.6</v>
      </c>
      <c r="AC73" s="3">
        <f t="shared" si="33"/>
        <v>0.4</v>
      </c>
      <c r="AD73" s="3">
        <f t="shared" si="34"/>
        <v>0.24</v>
      </c>
      <c r="AE73" s="19"/>
    </row>
    <row r="74" spans="1:31" ht="55.5" customHeight="1" x14ac:dyDescent="0.35">
      <c r="A74" s="28" t="s">
        <v>68</v>
      </c>
      <c r="B74" s="25">
        <v>1</v>
      </c>
      <c r="C74" s="25">
        <v>1</v>
      </c>
      <c r="D74" s="25">
        <v>0</v>
      </c>
      <c r="E74" s="25">
        <v>0</v>
      </c>
      <c r="F74" s="25">
        <v>0</v>
      </c>
      <c r="G74" s="25">
        <v>0</v>
      </c>
      <c r="H74" s="25">
        <v>0</v>
      </c>
      <c r="I74" s="25">
        <v>0</v>
      </c>
      <c r="J74" s="25">
        <v>0</v>
      </c>
      <c r="K74" s="25">
        <v>0</v>
      </c>
      <c r="L74" s="3">
        <f t="shared" si="18"/>
        <v>0.2</v>
      </c>
      <c r="M74" s="26" t="str">
        <f t="shared" si="19"/>
        <v>sukar</v>
      </c>
      <c r="N74" s="3">
        <f t="shared" si="20"/>
        <v>0.5</v>
      </c>
      <c r="O74" s="26" t="str">
        <f t="shared" si="21"/>
        <v>soal diterima baik</v>
      </c>
      <c r="P74" s="19"/>
      <c r="Q74" s="26">
        <v>69</v>
      </c>
      <c r="R74" s="29">
        <f t="shared" si="22"/>
        <v>0</v>
      </c>
      <c r="S74" s="29">
        <f t="shared" si="23"/>
        <v>0</v>
      </c>
      <c r="T74" s="29">
        <f t="shared" si="24"/>
        <v>0</v>
      </c>
      <c r="U74" s="29">
        <f t="shared" si="25"/>
        <v>1</v>
      </c>
      <c r="V74" s="29">
        <f t="shared" si="26"/>
        <v>0</v>
      </c>
      <c r="W74" s="29">
        <f t="shared" si="27"/>
        <v>1</v>
      </c>
      <c r="X74" s="29">
        <f t="shared" si="28"/>
        <v>0</v>
      </c>
      <c r="Y74" s="29">
        <f t="shared" si="29"/>
        <v>0</v>
      </c>
      <c r="Z74" s="29">
        <f t="shared" si="30"/>
        <v>1</v>
      </c>
      <c r="AA74" s="29">
        <f t="shared" si="31"/>
        <v>1</v>
      </c>
      <c r="AB74" s="3">
        <f t="shared" si="32"/>
        <v>0.4</v>
      </c>
      <c r="AC74" s="3">
        <f t="shared" si="33"/>
        <v>0.6</v>
      </c>
      <c r="AD74" s="3">
        <f t="shared" si="34"/>
        <v>0.24</v>
      </c>
      <c r="AE74" s="19"/>
    </row>
    <row r="75" spans="1:31" ht="79.5" customHeight="1" x14ac:dyDescent="0.35">
      <c r="A75" s="28" t="s">
        <v>69</v>
      </c>
      <c r="B75" s="25">
        <v>1</v>
      </c>
      <c r="C75" s="25">
        <v>1</v>
      </c>
      <c r="D75" s="25">
        <v>0</v>
      </c>
      <c r="E75" s="25">
        <v>0</v>
      </c>
      <c r="F75" s="25">
        <v>0</v>
      </c>
      <c r="G75" s="25">
        <v>0</v>
      </c>
      <c r="H75" s="25">
        <v>0</v>
      </c>
      <c r="I75" s="25">
        <v>0</v>
      </c>
      <c r="J75" s="25">
        <v>0</v>
      </c>
      <c r="K75" s="25">
        <v>0</v>
      </c>
      <c r="L75" s="3">
        <f t="shared" si="18"/>
        <v>0.2</v>
      </c>
      <c r="M75" s="26" t="str">
        <f t="shared" si="19"/>
        <v>sukar</v>
      </c>
      <c r="N75" s="3">
        <f t="shared" si="20"/>
        <v>0.5</v>
      </c>
      <c r="O75" s="26" t="str">
        <f t="shared" si="21"/>
        <v>soal diterima baik</v>
      </c>
      <c r="P75" s="19"/>
      <c r="Q75" s="26">
        <v>70</v>
      </c>
      <c r="R75" s="29">
        <f t="shared" si="22"/>
        <v>1</v>
      </c>
      <c r="S75" s="29">
        <f t="shared" si="23"/>
        <v>1</v>
      </c>
      <c r="T75" s="29">
        <f t="shared" si="24"/>
        <v>0</v>
      </c>
      <c r="U75" s="29">
        <f t="shared" si="25"/>
        <v>0</v>
      </c>
      <c r="V75" s="29">
        <f t="shared" si="26"/>
        <v>0</v>
      </c>
      <c r="W75" s="29">
        <f t="shared" si="27"/>
        <v>0</v>
      </c>
      <c r="X75" s="29">
        <f t="shared" si="28"/>
        <v>0</v>
      </c>
      <c r="Y75" s="29">
        <f t="shared" si="29"/>
        <v>0</v>
      </c>
      <c r="Z75" s="29">
        <f t="shared" si="30"/>
        <v>0</v>
      </c>
      <c r="AA75" s="29">
        <f t="shared" si="31"/>
        <v>0</v>
      </c>
      <c r="AB75" s="3">
        <f t="shared" si="32"/>
        <v>0.2</v>
      </c>
      <c r="AC75" s="3">
        <f t="shared" si="33"/>
        <v>0.8</v>
      </c>
      <c r="AD75" s="3">
        <f t="shared" si="34"/>
        <v>0.16000000000000003</v>
      </c>
      <c r="AE75" s="19"/>
    </row>
    <row r="76" spans="1:31" ht="47.25" customHeight="1" x14ac:dyDescent="0.35">
      <c r="A76" s="24" t="s">
        <v>70</v>
      </c>
      <c r="B76" s="25">
        <v>1</v>
      </c>
      <c r="C76" s="25">
        <v>1</v>
      </c>
      <c r="D76" s="25">
        <v>1</v>
      </c>
      <c r="E76" s="25">
        <v>0</v>
      </c>
      <c r="F76" s="25">
        <v>1</v>
      </c>
      <c r="G76" s="25">
        <v>0</v>
      </c>
      <c r="H76" s="25">
        <v>0</v>
      </c>
      <c r="I76" s="25">
        <v>0</v>
      </c>
      <c r="J76" s="25">
        <v>0</v>
      </c>
      <c r="K76" s="25">
        <v>0</v>
      </c>
      <c r="L76" s="3">
        <f t="shared" si="18"/>
        <v>0.4</v>
      </c>
      <c r="M76" s="26" t="str">
        <f t="shared" si="19"/>
        <v>sedang</v>
      </c>
      <c r="N76" s="3">
        <f t="shared" si="20"/>
        <v>1</v>
      </c>
      <c r="O76" s="26" t="str">
        <f t="shared" si="21"/>
        <v>soal diterima baik</v>
      </c>
      <c r="P76" s="19"/>
      <c r="Q76" s="26">
        <v>71</v>
      </c>
      <c r="R76" s="29">
        <f t="shared" si="22"/>
        <v>1</v>
      </c>
      <c r="S76" s="29">
        <f t="shared" si="23"/>
        <v>1</v>
      </c>
      <c r="T76" s="29">
        <f t="shared" si="24"/>
        <v>0</v>
      </c>
      <c r="U76" s="29">
        <f t="shared" si="25"/>
        <v>0</v>
      </c>
      <c r="V76" s="29">
        <f t="shared" si="26"/>
        <v>0</v>
      </c>
      <c r="W76" s="29">
        <f t="shared" si="27"/>
        <v>0</v>
      </c>
      <c r="X76" s="29">
        <f t="shared" si="28"/>
        <v>0</v>
      </c>
      <c r="Y76" s="29">
        <f t="shared" si="29"/>
        <v>0</v>
      </c>
      <c r="Z76" s="29">
        <f t="shared" si="30"/>
        <v>0</v>
      </c>
      <c r="AA76" s="29">
        <f t="shared" si="31"/>
        <v>0</v>
      </c>
      <c r="AB76" s="3">
        <f t="shared" si="32"/>
        <v>0.2</v>
      </c>
      <c r="AC76" s="3">
        <f t="shared" si="33"/>
        <v>0.8</v>
      </c>
      <c r="AD76" s="3">
        <f t="shared" si="34"/>
        <v>0.16000000000000003</v>
      </c>
      <c r="AE76" s="19"/>
    </row>
    <row r="77" spans="1:31" ht="47.25" customHeight="1" x14ac:dyDescent="0.35">
      <c r="A77" s="28" t="s">
        <v>71</v>
      </c>
      <c r="B77" s="25">
        <v>1</v>
      </c>
      <c r="C77" s="25">
        <v>1</v>
      </c>
      <c r="D77" s="25">
        <v>0</v>
      </c>
      <c r="E77" s="25">
        <v>0</v>
      </c>
      <c r="F77" s="25">
        <v>0</v>
      </c>
      <c r="G77" s="25">
        <v>0</v>
      </c>
      <c r="H77" s="25">
        <v>0</v>
      </c>
      <c r="I77" s="25">
        <v>0</v>
      </c>
      <c r="J77" s="25">
        <v>0</v>
      </c>
      <c r="K77" s="25">
        <v>0</v>
      </c>
      <c r="L77" s="3">
        <f t="shared" si="18"/>
        <v>0.2</v>
      </c>
      <c r="M77" s="26" t="str">
        <f t="shared" si="19"/>
        <v>sukar</v>
      </c>
      <c r="N77" s="3">
        <f t="shared" si="20"/>
        <v>0.5</v>
      </c>
      <c r="O77" s="26" t="str">
        <f t="shared" si="21"/>
        <v>soal diterima baik</v>
      </c>
      <c r="P77" s="19"/>
      <c r="Q77" s="26">
        <v>72</v>
      </c>
      <c r="R77" s="29">
        <f t="shared" si="22"/>
        <v>1</v>
      </c>
      <c r="S77" s="29">
        <f t="shared" si="23"/>
        <v>1</v>
      </c>
      <c r="T77" s="29">
        <f t="shared" si="24"/>
        <v>1</v>
      </c>
      <c r="U77" s="29">
        <f t="shared" si="25"/>
        <v>0</v>
      </c>
      <c r="V77" s="29">
        <f t="shared" si="26"/>
        <v>1</v>
      </c>
      <c r="W77" s="29">
        <f t="shared" si="27"/>
        <v>0</v>
      </c>
      <c r="X77" s="29">
        <f t="shared" si="28"/>
        <v>0</v>
      </c>
      <c r="Y77" s="29">
        <f t="shared" si="29"/>
        <v>0</v>
      </c>
      <c r="Z77" s="29">
        <f t="shared" si="30"/>
        <v>0</v>
      </c>
      <c r="AA77" s="29">
        <f t="shared" si="31"/>
        <v>0</v>
      </c>
      <c r="AB77" s="3">
        <f t="shared" si="32"/>
        <v>0.4</v>
      </c>
      <c r="AC77" s="3">
        <f t="shared" si="33"/>
        <v>0.6</v>
      </c>
      <c r="AD77" s="3">
        <f t="shared" si="34"/>
        <v>0.24</v>
      </c>
      <c r="AE77" s="19"/>
    </row>
    <row r="78" spans="1:31" ht="44.25" customHeight="1" x14ac:dyDescent="0.35">
      <c r="A78" s="24" t="s">
        <v>72</v>
      </c>
      <c r="B78" s="25">
        <v>1</v>
      </c>
      <c r="C78" s="25">
        <v>1</v>
      </c>
      <c r="D78" s="25">
        <v>1</v>
      </c>
      <c r="E78" s="25">
        <v>0</v>
      </c>
      <c r="F78" s="25">
        <v>1</v>
      </c>
      <c r="G78" s="25">
        <v>0</v>
      </c>
      <c r="H78" s="25">
        <v>0</v>
      </c>
      <c r="I78" s="25">
        <v>0</v>
      </c>
      <c r="J78" s="25">
        <v>0</v>
      </c>
      <c r="K78" s="25">
        <v>0</v>
      </c>
      <c r="L78" s="3">
        <f t="shared" si="18"/>
        <v>0.4</v>
      </c>
      <c r="M78" s="26" t="str">
        <f t="shared" si="19"/>
        <v>sedang</v>
      </c>
      <c r="N78" s="3">
        <f t="shared" si="20"/>
        <v>1</v>
      </c>
      <c r="O78" s="26" t="str">
        <f t="shared" si="21"/>
        <v>soal diterima baik</v>
      </c>
      <c r="P78" s="19"/>
      <c r="Q78" s="26">
        <v>73</v>
      </c>
      <c r="R78" s="29">
        <f t="shared" si="22"/>
        <v>1</v>
      </c>
      <c r="S78" s="29">
        <f t="shared" si="23"/>
        <v>1</v>
      </c>
      <c r="T78" s="29">
        <f t="shared" si="24"/>
        <v>0</v>
      </c>
      <c r="U78" s="29">
        <f t="shared" si="25"/>
        <v>0</v>
      </c>
      <c r="V78" s="29">
        <f t="shared" si="26"/>
        <v>0</v>
      </c>
      <c r="W78" s="29">
        <f t="shared" si="27"/>
        <v>0</v>
      </c>
      <c r="X78" s="29">
        <f t="shared" si="28"/>
        <v>0</v>
      </c>
      <c r="Y78" s="29">
        <f t="shared" si="29"/>
        <v>0</v>
      </c>
      <c r="Z78" s="29">
        <f t="shared" si="30"/>
        <v>0</v>
      </c>
      <c r="AA78" s="29">
        <f t="shared" si="31"/>
        <v>0</v>
      </c>
      <c r="AB78" s="3">
        <f t="shared" si="32"/>
        <v>0.2</v>
      </c>
      <c r="AC78" s="3">
        <f t="shared" si="33"/>
        <v>0.8</v>
      </c>
      <c r="AD78" s="3">
        <f t="shared" si="34"/>
        <v>0.16000000000000003</v>
      </c>
      <c r="AE78" s="19"/>
    </row>
    <row r="79" spans="1:31" ht="81" customHeight="1" x14ac:dyDescent="0.35">
      <c r="A79" s="24" t="s">
        <v>73</v>
      </c>
      <c r="B79" s="25">
        <v>0</v>
      </c>
      <c r="C79" s="25">
        <v>0</v>
      </c>
      <c r="D79" s="25">
        <v>1</v>
      </c>
      <c r="E79" s="25">
        <v>0</v>
      </c>
      <c r="F79" s="25">
        <v>1</v>
      </c>
      <c r="G79" s="25">
        <v>0</v>
      </c>
      <c r="H79" s="25">
        <v>0</v>
      </c>
      <c r="I79" s="25">
        <v>0</v>
      </c>
      <c r="J79" s="25">
        <v>0</v>
      </c>
      <c r="K79" s="25">
        <v>0</v>
      </c>
      <c r="L79" s="3">
        <f t="shared" si="18"/>
        <v>0.2</v>
      </c>
      <c r="M79" s="26" t="str">
        <f t="shared" si="19"/>
        <v>sukar</v>
      </c>
      <c r="N79" s="3">
        <f t="shared" si="20"/>
        <v>0.5</v>
      </c>
      <c r="O79" s="26" t="str">
        <f t="shared" si="21"/>
        <v>soal diterima baik</v>
      </c>
      <c r="P79" s="19"/>
      <c r="Q79" s="26">
        <v>74</v>
      </c>
      <c r="R79" s="29">
        <f t="shared" si="22"/>
        <v>1</v>
      </c>
      <c r="S79" s="29">
        <f t="shared" si="23"/>
        <v>1</v>
      </c>
      <c r="T79" s="29">
        <f t="shared" si="24"/>
        <v>1</v>
      </c>
      <c r="U79" s="29">
        <f t="shared" si="25"/>
        <v>0</v>
      </c>
      <c r="V79" s="29">
        <f t="shared" si="26"/>
        <v>1</v>
      </c>
      <c r="W79" s="29">
        <f t="shared" si="27"/>
        <v>0</v>
      </c>
      <c r="X79" s="29">
        <f t="shared" si="28"/>
        <v>0</v>
      </c>
      <c r="Y79" s="29">
        <f t="shared" si="29"/>
        <v>0</v>
      </c>
      <c r="Z79" s="29">
        <f t="shared" si="30"/>
        <v>0</v>
      </c>
      <c r="AA79" s="29">
        <f t="shared" si="31"/>
        <v>0</v>
      </c>
      <c r="AB79" s="3">
        <f t="shared" si="32"/>
        <v>0.4</v>
      </c>
      <c r="AC79" s="3">
        <f t="shared" si="33"/>
        <v>0.6</v>
      </c>
      <c r="AD79" s="3">
        <f t="shared" si="34"/>
        <v>0.24</v>
      </c>
      <c r="AE79" s="19"/>
    </row>
    <row r="80" spans="1:31" ht="42" customHeight="1" x14ac:dyDescent="0.35">
      <c r="A80" s="24" t="s">
        <v>74</v>
      </c>
      <c r="B80" s="25">
        <v>0</v>
      </c>
      <c r="C80" s="25">
        <v>0</v>
      </c>
      <c r="D80" s="25">
        <v>1</v>
      </c>
      <c r="E80" s="25">
        <v>1</v>
      </c>
      <c r="F80" s="25">
        <v>1</v>
      </c>
      <c r="G80" s="25">
        <v>1</v>
      </c>
      <c r="H80" s="25">
        <v>0</v>
      </c>
      <c r="I80" s="25">
        <v>0</v>
      </c>
      <c r="J80" s="25">
        <v>0</v>
      </c>
      <c r="K80" s="25">
        <v>0</v>
      </c>
      <c r="L80" s="3">
        <f t="shared" si="18"/>
        <v>0.4</v>
      </c>
      <c r="M80" s="26" t="str">
        <f t="shared" si="19"/>
        <v>sedang</v>
      </c>
      <c r="N80" s="3">
        <f t="shared" si="20"/>
        <v>0.5</v>
      </c>
      <c r="O80" s="26" t="str">
        <f t="shared" si="21"/>
        <v>soal diterima baik</v>
      </c>
      <c r="P80" s="19"/>
      <c r="Q80" s="26">
        <v>75</v>
      </c>
      <c r="R80" s="29">
        <f t="shared" si="22"/>
        <v>0</v>
      </c>
      <c r="S80" s="29">
        <f t="shared" si="23"/>
        <v>0</v>
      </c>
      <c r="T80" s="29">
        <f t="shared" si="24"/>
        <v>1</v>
      </c>
      <c r="U80" s="29">
        <f t="shared" si="25"/>
        <v>0</v>
      </c>
      <c r="V80" s="29">
        <f t="shared" si="26"/>
        <v>1</v>
      </c>
      <c r="W80" s="29">
        <f t="shared" si="27"/>
        <v>0</v>
      </c>
      <c r="X80" s="29">
        <f t="shared" si="28"/>
        <v>0</v>
      </c>
      <c r="Y80" s="29">
        <f t="shared" si="29"/>
        <v>0</v>
      </c>
      <c r="Z80" s="29">
        <f t="shared" si="30"/>
        <v>0</v>
      </c>
      <c r="AA80" s="29">
        <f t="shared" si="31"/>
        <v>0</v>
      </c>
      <c r="AB80" s="3">
        <f t="shared" si="32"/>
        <v>0.2</v>
      </c>
      <c r="AC80" s="3">
        <f t="shared" si="33"/>
        <v>0.8</v>
      </c>
      <c r="AD80" s="3">
        <f t="shared" si="34"/>
        <v>0.16000000000000003</v>
      </c>
      <c r="AE80" s="19"/>
    </row>
    <row r="81" spans="1:31" ht="62.25" customHeight="1" x14ac:dyDescent="0.35">
      <c r="A81" s="24" t="s">
        <v>75</v>
      </c>
      <c r="B81" s="25">
        <v>0</v>
      </c>
      <c r="C81" s="25">
        <v>0</v>
      </c>
      <c r="D81" s="25">
        <v>1</v>
      </c>
      <c r="E81" s="25">
        <v>1</v>
      </c>
      <c r="F81" s="25">
        <v>1</v>
      </c>
      <c r="G81" s="25">
        <v>1</v>
      </c>
      <c r="H81" s="25">
        <v>0</v>
      </c>
      <c r="I81" s="25">
        <v>0</v>
      </c>
      <c r="J81" s="25">
        <v>0</v>
      </c>
      <c r="K81" s="25">
        <v>0</v>
      </c>
      <c r="L81" s="3">
        <f t="shared" si="18"/>
        <v>0.4</v>
      </c>
      <c r="M81" s="26" t="str">
        <f t="shared" si="19"/>
        <v>sedang</v>
      </c>
      <c r="N81" s="3">
        <f t="shared" si="20"/>
        <v>0.5</v>
      </c>
      <c r="O81" s="26" t="str">
        <f t="shared" si="21"/>
        <v>soal diterima baik</v>
      </c>
      <c r="P81" s="19"/>
      <c r="Q81" s="26">
        <v>76</v>
      </c>
      <c r="R81" s="29">
        <f t="shared" si="22"/>
        <v>0</v>
      </c>
      <c r="S81" s="29">
        <f t="shared" si="23"/>
        <v>0</v>
      </c>
      <c r="T81" s="29">
        <f t="shared" si="24"/>
        <v>1</v>
      </c>
      <c r="U81" s="29">
        <f t="shared" si="25"/>
        <v>1</v>
      </c>
      <c r="V81" s="29">
        <f t="shared" si="26"/>
        <v>1</v>
      </c>
      <c r="W81" s="29">
        <f t="shared" si="27"/>
        <v>1</v>
      </c>
      <c r="X81" s="29">
        <f t="shared" si="28"/>
        <v>0</v>
      </c>
      <c r="Y81" s="29">
        <f t="shared" si="29"/>
        <v>0</v>
      </c>
      <c r="Z81" s="29">
        <f t="shared" si="30"/>
        <v>0</v>
      </c>
      <c r="AA81" s="29">
        <f t="shared" si="31"/>
        <v>0</v>
      </c>
      <c r="AB81" s="3">
        <f t="shared" si="32"/>
        <v>0.4</v>
      </c>
      <c r="AC81" s="3">
        <f t="shared" si="33"/>
        <v>0.6</v>
      </c>
      <c r="AD81" s="3">
        <f t="shared" si="34"/>
        <v>0.24</v>
      </c>
      <c r="AE81" s="19"/>
    </row>
    <row r="82" spans="1:31" ht="36" customHeight="1" x14ac:dyDescent="0.35">
      <c r="A82" s="28" t="s">
        <v>76</v>
      </c>
      <c r="B82" s="25">
        <v>0</v>
      </c>
      <c r="C82" s="25">
        <v>0</v>
      </c>
      <c r="D82" s="25">
        <v>1</v>
      </c>
      <c r="E82" s="25">
        <v>0</v>
      </c>
      <c r="F82" s="25">
        <v>1</v>
      </c>
      <c r="G82" s="25">
        <v>0</v>
      </c>
      <c r="H82" s="25">
        <v>0</v>
      </c>
      <c r="I82" s="25">
        <v>0</v>
      </c>
      <c r="J82" s="25">
        <v>0</v>
      </c>
      <c r="K82" s="25">
        <v>0</v>
      </c>
      <c r="L82" s="3">
        <f t="shared" si="18"/>
        <v>0.2</v>
      </c>
      <c r="M82" s="26" t="str">
        <f t="shared" si="19"/>
        <v>sukar</v>
      </c>
      <c r="N82" s="3">
        <f t="shared" si="20"/>
        <v>0.5</v>
      </c>
      <c r="O82" s="26" t="str">
        <f t="shared" si="21"/>
        <v>soal diterima baik</v>
      </c>
      <c r="P82" s="19"/>
      <c r="Q82" s="26">
        <v>77</v>
      </c>
      <c r="R82" s="29">
        <f t="shared" si="22"/>
        <v>0</v>
      </c>
      <c r="S82" s="29">
        <f t="shared" si="23"/>
        <v>0</v>
      </c>
      <c r="T82" s="29">
        <f t="shared" si="24"/>
        <v>1</v>
      </c>
      <c r="U82" s="29">
        <f t="shared" si="25"/>
        <v>1</v>
      </c>
      <c r="V82" s="29">
        <f t="shared" si="26"/>
        <v>1</v>
      </c>
      <c r="W82" s="29">
        <f t="shared" si="27"/>
        <v>1</v>
      </c>
      <c r="X82" s="29">
        <f t="shared" si="28"/>
        <v>0</v>
      </c>
      <c r="Y82" s="29">
        <f t="shared" si="29"/>
        <v>0</v>
      </c>
      <c r="Z82" s="29">
        <f t="shared" si="30"/>
        <v>0</v>
      </c>
      <c r="AA82" s="29">
        <f t="shared" si="31"/>
        <v>0</v>
      </c>
      <c r="AB82" s="3">
        <f t="shared" si="32"/>
        <v>0.4</v>
      </c>
      <c r="AC82" s="3">
        <f t="shared" si="33"/>
        <v>0.6</v>
      </c>
      <c r="AD82" s="3">
        <f t="shared" si="34"/>
        <v>0.24</v>
      </c>
      <c r="AE82" s="19"/>
    </row>
    <row r="83" spans="1:31" ht="39" customHeight="1" x14ac:dyDescent="0.35">
      <c r="A83" s="24" t="s">
        <v>77</v>
      </c>
      <c r="B83" s="25">
        <v>1</v>
      </c>
      <c r="C83" s="25">
        <v>1</v>
      </c>
      <c r="D83" s="25">
        <v>1</v>
      </c>
      <c r="E83" s="25">
        <v>0</v>
      </c>
      <c r="F83" s="25">
        <v>1</v>
      </c>
      <c r="G83" s="25">
        <v>0</v>
      </c>
      <c r="H83" s="25">
        <v>0</v>
      </c>
      <c r="I83" s="25">
        <v>0</v>
      </c>
      <c r="J83" s="25">
        <v>0</v>
      </c>
      <c r="K83" s="25">
        <v>0</v>
      </c>
      <c r="L83" s="3">
        <f t="shared" si="18"/>
        <v>0.4</v>
      </c>
      <c r="M83" s="26" t="str">
        <f t="shared" si="19"/>
        <v>sedang</v>
      </c>
      <c r="N83" s="3">
        <f t="shared" si="20"/>
        <v>1</v>
      </c>
      <c r="O83" s="26" t="str">
        <f t="shared" si="21"/>
        <v>soal diterima baik</v>
      </c>
      <c r="P83" s="19"/>
      <c r="Q83" s="26">
        <v>78</v>
      </c>
      <c r="R83" s="29">
        <f t="shared" si="22"/>
        <v>0</v>
      </c>
      <c r="S83" s="29">
        <f t="shared" si="23"/>
        <v>0</v>
      </c>
      <c r="T83" s="29">
        <f t="shared" si="24"/>
        <v>1</v>
      </c>
      <c r="U83" s="29">
        <f t="shared" si="25"/>
        <v>0</v>
      </c>
      <c r="V83" s="29">
        <f t="shared" si="26"/>
        <v>1</v>
      </c>
      <c r="W83" s="29">
        <f t="shared" si="27"/>
        <v>0</v>
      </c>
      <c r="X83" s="29">
        <f t="shared" si="28"/>
        <v>0</v>
      </c>
      <c r="Y83" s="29">
        <f t="shared" si="29"/>
        <v>0</v>
      </c>
      <c r="Z83" s="29">
        <f t="shared" si="30"/>
        <v>0</v>
      </c>
      <c r="AA83" s="29">
        <f t="shared" si="31"/>
        <v>0</v>
      </c>
      <c r="AB83" s="3">
        <f t="shared" si="32"/>
        <v>0.2</v>
      </c>
      <c r="AC83" s="3">
        <f t="shared" si="33"/>
        <v>0.8</v>
      </c>
      <c r="AD83" s="3">
        <f t="shared" si="34"/>
        <v>0.16000000000000003</v>
      </c>
      <c r="AE83" s="19"/>
    </row>
    <row r="84" spans="1:31" ht="53.25" customHeight="1" x14ac:dyDescent="0.35">
      <c r="A84" s="28" t="s">
        <v>78</v>
      </c>
      <c r="B84" s="25">
        <v>1</v>
      </c>
      <c r="C84" s="25">
        <v>1</v>
      </c>
      <c r="D84" s="25">
        <v>1</v>
      </c>
      <c r="E84" s="25">
        <v>1</v>
      </c>
      <c r="F84" s="25">
        <v>1</v>
      </c>
      <c r="G84" s="25">
        <v>1</v>
      </c>
      <c r="H84" s="25">
        <v>0</v>
      </c>
      <c r="I84" s="25">
        <v>0</v>
      </c>
      <c r="J84" s="25">
        <v>1</v>
      </c>
      <c r="K84" s="25">
        <v>1</v>
      </c>
      <c r="L84" s="3">
        <f t="shared" si="18"/>
        <v>0.8</v>
      </c>
      <c r="M84" s="26" t="str">
        <f t="shared" si="19"/>
        <v>mudah</v>
      </c>
      <c r="N84" s="3">
        <f t="shared" si="20"/>
        <v>0.5</v>
      </c>
      <c r="O84" s="26" t="str">
        <f t="shared" si="21"/>
        <v>soal diterima baik</v>
      </c>
      <c r="P84" s="19"/>
      <c r="Q84" s="26">
        <v>79</v>
      </c>
      <c r="R84" s="29">
        <f t="shared" si="22"/>
        <v>1</v>
      </c>
      <c r="S84" s="29">
        <f t="shared" si="23"/>
        <v>1</v>
      </c>
      <c r="T84" s="29">
        <f t="shared" si="24"/>
        <v>1</v>
      </c>
      <c r="U84" s="29">
        <f t="shared" si="25"/>
        <v>0</v>
      </c>
      <c r="V84" s="29">
        <f t="shared" si="26"/>
        <v>1</v>
      </c>
      <c r="W84" s="29">
        <f t="shared" si="27"/>
        <v>0</v>
      </c>
      <c r="X84" s="29">
        <f t="shared" si="28"/>
        <v>0</v>
      </c>
      <c r="Y84" s="29">
        <f t="shared" si="29"/>
        <v>0</v>
      </c>
      <c r="Z84" s="29">
        <f t="shared" si="30"/>
        <v>0</v>
      </c>
      <c r="AA84" s="29">
        <f t="shared" si="31"/>
        <v>0</v>
      </c>
      <c r="AB84" s="3">
        <f t="shared" si="32"/>
        <v>0.4</v>
      </c>
      <c r="AC84" s="3">
        <f t="shared" si="33"/>
        <v>0.6</v>
      </c>
      <c r="AD84" s="3">
        <f t="shared" si="34"/>
        <v>0.24</v>
      </c>
      <c r="AE84" s="19"/>
    </row>
    <row r="85" spans="1:31" ht="42" customHeight="1" x14ac:dyDescent="0.35">
      <c r="A85" s="24" t="s">
        <v>79</v>
      </c>
      <c r="B85" s="25">
        <v>1</v>
      </c>
      <c r="C85" s="25">
        <v>1</v>
      </c>
      <c r="D85" s="25">
        <v>1</v>
      </c>
      <c r="E85" s="25">
        <v>0</v>
      </c>
      <c r="F85" s="25">
        <v>1</v>
      </c>
      <c r="G85" s="25">
        <v>0</v>
      </c>
      <c r="H85" s="25">
        <v>0</v>
      </c>
      <c r="I85" s="25">
        <v>0</v>
      </c>
      <c r="J85" s="25">
        <v>0</v>
      </c>
      <c r="K85" s="25">
        <v>0</v>
      </c>
      <c r="L85" s="3">
        <f t="shared" si="18"/>
        <v>0.4</v>
      </c>
      <c r="M85" s="26" t="str">
        <f t="shared" si="19"/>
        <v>sedang</v>
      </c>
      <c r="N85" s="3">
        <f t="shared" si="20"/>
        <v>1</v>
      </c>
      <c r="O85" s="26" t="str">
        <f t="shared" si="21"/>
        <v>soal diterima baik</v>
      </c>
      <c r="P85" s="19"/>
      <c r="Q85" s="26">
        <v>80</v>
      </c>
      <c r="R85" s="29">
        <f t="shared" si="22"/>
        <v>1</v>
      </c>
      <c r="S85" s="29">
        <f t="shared" si="23"/>
        <v>1</v>
      </c>
      <c r="T85" s="29">
        <f t="shared" si="24"/>
        <v>1</v>
      </c>
      <c r="U85" s="29">
        <f t="shared" si="25"/>
        <v>1</v>
      </c>
      <c r="V85" s="29">
        <f t="shared" si="26"/>
        <v>1</v>
      </c>
      <c r="W85" s="29">
        <f t="shared" si="27"/>
        <v>1</v>
      </c>
      <c r="X85" s="29">
        <f t="shared" si="28"/>
        <v>0</v>
      </c>
      <c r="Y85" s="29">
        <f t="shared" si="29"/>
        <v>0</v>
      </c>
      <c r="Z85" s="29">
        <f t="shared" si="30"/>
        <v>1</v>
      </c>
      <c r="AA85" s="29">
        <f t="shared" si="31"/>
        <v>1</v>
      </c>
      <c r="AB85" s="3">
        <f t="shared" si="32"/>
        <v>0.8</v>
      </c>
      <c r="AC85" s="3">
        <f t="shared" si="33"/>
        <v>0.19999999999999996</v>
      </c>
      <c r="AD85" s="3">
        <f t="shared" si="34"/>
        <v>0.15999999999999998</v>
      </c>
      <c r="AE85" s="19"/>
    </row>
    <row r="86" spans="1:31" ht="51" customHeight="1" x14ac:dyDescent="0.35">
      <c r="A86" s="24" t="s">
        <v>80</v>
      </c>
      <c r="B86" s="25">
        <v>1</v>
      </c>
      <c r="C86" s="25">
        <v>1</v>
      </c>
      <c r="D86" s="25">
        <v>1</v>
      </c>
      <c r="E86" s="25">
        <v>0</v>
      </c>
      <c r="F86" s="25">
        <v>1</v>
      </c>
      <c r="G86" s="25">
        <v>0</v>
      </c>
      <c r="H86" s="25">
        <v>1</v>
      </c>
      <c r="I86" s="25">
        <v>1</v>
      </c>
      <c r="J86" s="25">
        <v>0</v>
      </c>
      <c r="K86" s="25">
        <v>0</v>
      </c>
      <c r="L86" s="3">
        <f t="shared" si="18"/>
        <v>0.6</v>
      </c>
      <c r="M86" s="26" t="str">
        <f t="shared" si="19"/>
        <v>sedang</v>
      </c>
      <c r="N86" s="3">
        <f t="shared" si="20"/>
        <v>0.5</v>
      </c>
      <c r="O86" s="26" t="str">
        <f t="shared" si="21"/>
        <v>soal diterima baik</v>
      </c>
      <c r="P86" s="19"/>
      <c r="Q86" s="26">
        <v>81</v>
      </c>
      <c r="R86" s="29">
        <f t="shared" si="22"/>
        <v>1</v>
      </c>
      <c r="S86" s="29">
        <f t="shared" si="23"/>
        <v>1</v>
      </c>
      <c r="T86" s="29">
        <f t="shared" si="24"/>
        <v>1</v>
      </c>
      <c r="U86" s="29">
        <f t="shared" si="25"/>
        <v>0</v>
      </c>
      <c r="V86" s="29">
        <f t="shared" si="26"/>
        <v>1</v>
      </c>
      <c r="W86" s="29">
        <f t="shared" si="27"/>
        <v>0</v>
      </c>
      <c r="X86" s="29">
        <f t="shared" si="28"/>
        <v>0</v>
      </c>
      <c r="Y86" s="29">
        <f t="shared" si="29"/>
        <v>0</v>
      </c>
      <c r="Z86" s="29">
        <f t="shared" si="30"/>
        <v>0</v>
      </c>
      <c r="AA86" s="29">
        <f t="shared" si="31"/>
        <v>0</v>
      </c>
      <c r="AB86" s="3">
        <f t="shared" si="32"/>
        <v>0.4</v>
      </c>
      <c r="AC86" s="3">
        <f t="shared" si="33"/>
        <v>0.6</v>
      </c>
      <c r="AD86" s="3">
        <f t="shared" si="34"/>
        <v>0.24</v>
      </c>
      <c r="AE86" s="19"/>
    </row>
    <row r="87" spans="1:31" ht="51" customHeight="1" x14ac:dyDescent="0.35">
      <c r="A87" s="24" t="s">
        <v>81</v>
      </c>
      <c r="B87" s="25">
        <v>0</v>
      </c>
      <c r="C87" s="25">
        <v>0</v>
      </c>
      <c r="D87" s="25">
        <v>0</v>
      </c>
      <c r="E87" s="25">
        <v>1</v>
      </c>
      <c r="F87" s="25">
        <v>0</v>
      </c>
      <c r="G87" s="25">
        <v>1</v>
      </c>
      <c r="H87" s="25">
        <v>1</v>
      </c>
      <c r="I87" s="25">
        <v>1</v>
      </c>
      <c r="J87" s="25">
        <v>1</v>
      </c>
      <c r="K87" s="25">
        <v>1</v>
      </c>
      <c r="L87" s="3">
        <f t="shared" si="18"/>
        <v>0.6</v>
      </c>
      <c r="M87" s="26" t="str">
        <f t="shared" si="19"/>
        <v>sedang</v>
      </c>
      <c r="N87" s="3">
        <f t="shared" si="20"/>
        <v>1</v>
      </c>
      <c r="O87" s="26" t="str">
        <f t="shared" si="21"/>
        <v>soal diterima baik</v>
      </c>
      <c r="P87" s="19"/>
      <c r="Q87" s="26">
        <v>82</v>
      </c>
      <c r="R87" s="29">
        <f t="shared" si="22"/>
        <v>1</v>
      </c>
      <c r="S87" s="29">
        <f t="shared" si="23"/>
        <v>1</v>
      </c>
      <c r="T87" s="29">
        <f t="shared" si="24"/>
        <v>1</v>
      </c>
      <c r="U87" s="29">
        <f t="shared" si="25"/>
        <v>0</v>
      </c>
      <c r="V87" s="29">
        <f t="shared" si="26"/>
        <v>1</v>
      </c>
      <c r="W87" s="29">
        <f t="shared" si="27"/>
        <v>0</v>
      </c>
      <c r="X87" s="29">
        <f t="shared" si="28"/>
        <v>1</v>
      </c>
      <c r="Y87" s="29">
        <f t="shared" si="29"/>
        <v>1</v>
      </c>
      <c r="Z87" s="29">
        <f t="shared" si="30"/>
        <v>0</v>
      </c>
      <c r="AA87" s="29">
        <f t="shared" si="31"/>
        <v>0</v>
      </c>
      <c r="AB87" s="3">
        <f t="shared" si="32"/>
        <v>0.6</v>
      </c>
      <c r="AC87" s="3">
        <f t="shared" si="33"/>
        <v>0.4</v>
      </c>
      <c r="AD87" s="3">
        <f t="shared" si="34"/>
        <v>0.24</v>
      </c>
      <c r="AE87" s="19"/>
    </row>
    <row r="88" spans="1:31" ht="44.25" customHeight="1" x14ac:dyDescent="0.35">
      <c r="A88" s="28" t="s">
        <v>82</v>
      </c>
      <c r="B88" s="25">
        <v>1</v>
      </c>
      <c r="C88" s="25">
        <v>1</v>
      </c>
      <c r="D88" s="25">
        <v>0</v>
      </c>
      <c r="E88" s="25">
        <v>0</v>
      </c>
      <c r="F88" s="25">
        <v>0</v>
      </c>
      <c r="G88" s="25">
        <v>0</v>
      </c>
      <c r="H88" s="25">
        <v>0</v>
      </c>
      <c r="I88" s="25">
        <v>0</v>
      </c>
      <c r="J88" s="25">
        <v>0</v>
      </c>
      <c r="K88" s="25">
        <v>0</v>
      </c>
      <c r="L88" s="3">
        <f t="shared" si="18"/>
        <v>0.2</v>
      </c>
      <c r="M88" s="26" t="str">
        <f t="shared" si="19"/>
        <v>sukar</v>
      </c>
      <c r="N88" s="3">
        <f t="shared" si="20"/>
        <v>0.5</v>
      </c>
      <c r="O88" s="26" t="str">
        <f t="shared" si="21"/>
        <v>soal diterima baik</v>
      </c>
      <c r="P88" s="19"/>
      <c r="Q88" s="26">
        <v>83</v>
      </c>
      <c r="R88" s="29">
        <f t="shared" si="22"/>
        <v>0</v>
      </c>
      <c r="S88" s="29">
        <f t="shared" si="23"/>
        <v>0</v>
      </c>
      <c r="T88" s="29">
        <f t="shared" si="24"/>
        <v>0</v>
      </c>
      <c r="U88" s="29">
        <f t="shared" si="25"/>
        <v>1</v>
      </c>
      <c r="V88" s="29">
        <f t="shared" si="26"/>
        <v>0</v>
      </c>
      <c r="W88" s="29">
        <f t="shared" si="27"/>
        <v>1</v>
      </c>
      <c r="X88" s="29">
        <f t="shared" si="28"/>
        <v>1</v>
      </c>
      <c r="Y88" s="29">
        <f t="shared" si="29"/>
        <v>1</v>
      </c>
      <c r="Z88" s="29">
        <f t="shared" si="30"/>
        <v>1</v>
      </c>
      <c r="AA88" s="29">
        <f t="shared" si="31"/>
        <v>1</v>
      </c>
      <c r="AB88" s="3">
        <f t="shared" si="32"/>
        <v>0.6</v>
      </c>
      <c r="AC88" s="3">
        <f t="shared" si="33"/>
        <v>0.4</v>
      </c>
      <c r="AD88" s="3">
        <f t="shared" si="34"/>
        <v>0.24</v>
      </c>
      <c r="AE88" s="19"/>
    </row>
    <row r="89" spans="1:31" ht="54" customHeight="1" x14ac:dyDescent="0.35">
      <c r="A89" s="30" t="s">
        <v>83</v>
      </c>
      <c r="B89" s="25">
        <v>1</v>
      </c>
      <c r="C89" s="25">
        <v>1</v>
      </c>
      <c r="D89" s="25">
        <v>1</v>
      </c>
      <c r="E89" s="25">
        <v>0</v>
      </c>
      <c r="F89" s="25">
        <v>1</v>
      </c>
      <c r="G89" s="25">
        <v>0</v>
      </c>
      <c r="H89" s="25">
        <v>0</v>
      </c>
      <c r="I89" s="25">
        <v>0</v>
      </c>
      <c r="J89" s="25">
        <v>0</v>
      </c>
      <c r="K89" s="25">
        <v>0</v>
      </c>
      <c r="L89" s="3">
        <f t="shared" si="18"/>
        <v>0.4</v>
      </c>
      <c r="M89" s="26" t="str">
        <f t="shared" si="19"/>
        <v>sedang</v>
      </c>
      <c r="N89" s="3">
        <f t="shared" si="20"/>
        <v>1</v>
      </c>
      <c r="O89" s="26" t="str">
        <f t="shared" si="21"/>
        <v>soal diterima baik</v>
      </c>
      <c r="P89" s="19"/>
      <c r="Q89" s="26">
        <v>84</v>
      </c>
      <c r="R89" s="29">
        <f t="shared" si="22"/>
        <v>1</v>
      </c>
      <c r="S89" s="29">
        <f t="shared" si="23"/>
        <v>1</v>
      </c>
      <c r="T89" s="29">
        <f t="shared" si="24"/>
        <v>0</v>
      </c>
      <c r="U89" s="29">
        <f t="shared" si="25"/>
        <v>0</v>
      </c>
      <c r="V89" s="29">
        <f t="shared" si="26"/>
        <v>0</v>
      </c>
      <c r="W89" s="29">
        <f t="shared" si="27"/>
        <v>0</v>
      </c>
      <c r="X89" s="29">
        <f t="shared" si="28"/>
        <v>0</v>
      </c>
      <c r="Y89" s="29">
        <f t="shared" si="29"/>
        <v>0</v>
      </c>
      <c r="Z89" s="29">
        <f t="shared" si="30"/>
        <v>0</v>
      </c>
      <c r="AA89" s="29">
        <f t="shared" si="31"/>
        <v>0</v>
      </c>
      <c r="AB89" s="3">
        <f t="shared" si="32"/>
        <v>0.2</v>
      </c>
      <c r="AC89" s="3">
        <f t="shared" si="33"/>
        <v>0.8</v>
      </c>
      <c r="AD89" s="3">
        <f t="shared" si="34"/>
        <v>0.16000000000000003</v>
      </c>
      <c r="AE89" s="19"/>
    </row>
    <row r="90" spans="1:31" ht="47.25" customHeight="1" x14ac:dyDescent="0.35">
      <c r="A90" s="24" t="s">
        <v>84</v>
      </c>
      <c r="B90" s="25">
        <v>1</v>
      </c>
      <c r="C90" s="25">
        <v>1</v>
      </c>
      <c r="D90" s="25">
        <v>1</v>
      </c>
      <c r="E90" s="25">
        <v>1</v>
      </c>
      <c r="F90" s="25">
        <v>1</v>
      </c>
      <c r="G90" s="25">
        <v>1</v>
      </c>
      <c r="H90" s="25">
        <v>0</v>
      </c>
      <c r="I90" s="25">
        <v>0</v>
      </c>
      <c r="J90" s="25">
        <v>0</v>
      </c>
      <c r="K90" s="25">
        <v>0</v>
      </c>
      <c r="L90" s="3">
        <f t="shared" si="18"/>
        <v>0.6</v>
      </c>
      <c r="M90" s="26" t="str">
        <f t="shared" si="19"/>
        <v>sedang</v>
      </c>
      <c r="N90" s="3">
        <f t="shared" si="20"/>
        <v>1</v>
      </c>
      <c r="O90" s="26" t="str">
        <f t="shared" si="21"/>
        <v>soal diterima baik</v>
      </c>
      <c r="P90" s="19"/>
      <c r="Q90" s="26">
        <v>85</v>
      </c>
      <c r="R90" s="29">
        <f t="shared" si="22"/>
        <v>1</v>
      </c>
      <c r="S90" s="29">
        <f t="shared" si="23"/>
        <v>1</v>
      </c>
      <c r="T90" s="29">
        <f t="shared" si="24"/>
        <v>1</v>
      </c>
      <c r="U90" s="29">
        <f t="shared" si="25"/>
        <v>0</v>
      </c>
      <c r="V90" s="29">
        <f t="shared" si="26"/>
        <v>1</v>
      </c>
      <c r="W90" s="29">
        <f t="shared" si="27"/>
        <v>0</v>
      </c>
      <c r="X90" s="29">
        <f t="shared" si="28"/>
        <v>0</v>
      </c>
      <c r="Y90" s="29">
        <f t="shared" si="29"/>
        <v>0</v>
      </c>
      <c r="Z90" s="29">
        <f t="shared" si="30"/>
        <v>0</v>
      </c>
      <c r="AA90" s="29">
        <f t="shared" si="31"/>
        <v>0</v>
      </c>
      <c r="AB90" s="3">
        <f t="shared" si="32"/>
        <v>0.4</v>
      </c>
      <c r="AC90" s="3">
        <f t="shared" si="33"/>
        <v>0.6</v>
      </c>
      <c r="AD90" s="3">
        <f t="shared" si="34"/>
        <v>0.24</v>
      </c>
      <c r="AE90" s="19"/>
    </row>
    <row r="91" spans="1:31" ht="47.25" customHeight="1" x14ac:dyDescent="0.35">
      <c r="A91" s="24" t="s">
        <v>85</v>
      </c>
      <c r="B91" s="25">
        <v>1</v>
      </c>
      <c r="C91" s="25">
        <v>1</v>
      </c>
      <c r="D91" s="25">
        <v>1</v>
      </c>
      <c r="E91" s="25">
        <v>1</v>
      </c>
      <c r="F91" s="25">
        <v>1</v>
      </c>
      <c r="G91" s="25">
        <v>1</v>
      </c>
      <c r="H91" s="25">
        <v>0</v>
      </c>
      <c r="I91" s="25">
        <v>0</v>
      </c>
      <c r="J91" s="25">
        <v>1</v>
      </c>
      <c r="K91" s="25">
        <v>1</v>
      </c>
      <c r="L91" s="3">
        <f t="shared" si="18"/>
        <v>0.8</v>
      </c>
      <c r="M91" s="26" t="str">
        <f t="shared" si="19"/>
        <v>mudah</v>
      </c>
      <c r="N91" s="3">
        <f t="shared" si="20"/>
        <v>0.5</v>
      </c>
      <c r="O91" s="26" t="str">
        <f t="shared" si="21"/>
        <v>soal diterima baik</v>
      </c>
      <c r="P91" s="19"/>
      <c r="Q91" s="26">
        <v>86</v>
      </c>
      <c r="R91" s="29">
        <f t="shared" si="22"/>
        <v>1</v>
      </c>
      <c r="S91" s="29">
        <f t="shared" si="23"/>
        <v>1</v>
      </c>
      <c r="T91" s="29">
        <f t="shared" si="24"/>
        <v>1</v>
      </c>
      <c r="U91" s="29">
        <f t="shared" si="25"/>
        <v>1</v>
      </c>
      <c r="V91" s="29">
        <f t="shared" si="26"/>
        <v>1</v>
      </c>
      <c r="W91" s="29">
        <f t="shared" si="27"/>
        <v>1</v>
      </c>
      <c r="X91" s="29">
        <f t="shared" si="28"/>
        <v>0</v>
      </c>
      <c r="Y91" s="29">
        <f t="shared" si="29"/>
        <v>0</v>
      </c>
      <c r="Z91" s="29">
        <f t="shared" si="30"/>
        <v>0</v>
      </c>
      <c r="AA91" s="29">
        <f t="shared" si="31"/>
        <v>0</v>
      </c>
      <c r="AB91" s="3">
        <f t="shared" si="32"/>
        <v>0.6</v>
      </c>
      <c r="AC91" s="3">
        <f t="shared" si="33"/>
        <v>0.4</v>
      </c>
      <c r="AD91" s="3">
        <f t="shared" si="34"/>
        <v>0.24</v>
      </c>
      <c r="AE91" s="19"/>
    </row>
    <row r="92" spans="1:31" ht="36.75" customHeight="1" x14ac:dyDescent="0.35">
      <c r="A92" s="28" t="s">
        <v>86</v>
      </c>
      <c r="B92" s="25">
        <v>1</v>
      </c>
      <c r="C92" s="25">
        <v>1</v>
      </c>
      <c r="D92" s="25">
        <v>1</v>
      </c>
      <c r="E92" s="25">
        <v>1</v>
      </c>
      <c r="F92" s="25">
        <v>1</v>
      </c>
      <c r="G92" s="25">
        <v>1</v>
      </c>
      <c r="H92" s="25">
        <v>0</v>
      </c>
      <c r="I92" s="25">
        <v>0</v>
      </c>
      <c r="J92" s="25">
        <v>0</v>
      </c>
      <c r="K92" s="25">
        <v>0</v>
      </c>
      <c r="L92" s="3">
        <f t="shared" si="18"/>
        <v>0.6</v>
      </c>
      <c r="M92" s="26" t="str">
        <f t="shared" si="19"/>
        <v>sedang</v>
      </c>
      <c r="N92" s="3">
        <f t="shared" si="20"/>
        <v>1</v>
      </c>
      <c r="O92" s="26" t="str">
        <f t="shared" si="21"/>
        <v>soal diterima baik</v>
      </c>
      <c r="P92" s="19"/>
      <c r="Q92" s="26">
        <v>87</v>
      </c>
      <c r="R92" s="29">
        <f t="shared" si="22"/>
        <v>1</v>
      </c>
      <c r="S92" s="29">
        <f t="shared" si="23"/>
        <v>1</v>
      </c>
      <c r="T92" s="29">
        <f t="shared" si="24"/>
        <v>1</v>
      </c>
      <c r="U92" s="29">
        <f t="shared" si="25"/>
        <v>1</v>
      </c>
      <c r="V92" s="29">
        <f t="shared" si="26"/>
        <v>1</v>
      </c>
      <c r="W92" s="29">
        <f t="shared" si="27"/>
        <v>1</v>
      </c>
      <c r="X92" s="29">
        <f t="shared" si="28"/>
        <v>0</v>
      </c>
      <c r="Y92" s="29">
        <f t="shared" si="29"/>
        <v>0</v>
      </c>
      <c r="Z92" s="29">
        <f t="shared" si="30"/>
        <v>1</v>
      </c>
      <c r="AA92" s="29">
        <f t="shared" si="31"/>
        <v>1</v>
      </c>
      <c r="AB92" s="3">
        <f t="shared" si="32"/>
        <v>0.8</v>
      </c>
      <c r="AC92" s="3">
        <f t="shared" si="33"/>
        <v>0.19999999999999996</v>
      </c>
      <c r="AD92" s="3">
        <f t="shared" si="34"/>
        <v>0.15999999999999998</v>
      </c>
      <c r="AE92" s="19"/>
    </row>
    <row r="93" spans="1:31" ht="43.5" customHeight="1" x14ac:dyDescent="0.35">
      <c r="A93" s="24" t="s">
        <v>87</v>
      </c>
      <c r="B93" s="25">
        <v>1</v>
      </c>
      <c r="C93" s="25">
        <v>1</v>
      </c>
      <c r="D93" s="25">
        <v>1</v>
      </c>
      <c r="E93" s="25">
        <v>0</v>
      </c>
      <c r="F93" s="25">
        <v>1</v>
      </c>
      <c r="G93" s="25">
        <v>0</v>
      </c>
      <c r="H93" s="25">
        <v>0</v>
      </c>
      <c r="I93" s="25">
        <v>0</v>
      </c>
      <c r="J93" s="25">
        <v>1</v>
      </c>
      <c r="K93" s="25">
        <v>1</v>
      </c>
      <c r="L93" s="3">
        <f t="shared" si="18"/>
        <v>0.6</v>
      </c>
      <c r="M93" s="26" t="str">
        <f t="shared" si="19"/>
        <v>sedang</v>
      </c>
      <c r="N93" s="3">
        <f t="shared" si="20"/>
        <v>0.5</v>
      </c>
      <c r="O93" s="26" t="str">
        <f t="shared" si="21"/>
        <v>soal diterima baik</v>
      </c>
      <c r="P93" s="19"/>
      <c r="Q93" s="26">
        <v>88</v>
      </c>
      <c r="R93" s="29">
        <f t="shared" si="22"/>
        <v>1</v>
      </c>
      <c r="S93" s="29">
        <f t="shared" si="23"/>
        <v>1</v>
      </c>
      <c r="T93" s="29">
        <f t="shared" si="24"/>
        <v>1</v>
      </c>
      <c r="U93" s="29">
        <f t="shared" si="25"/>
        <v>1</v>
      </c>
      <c r="V93" s="29">
        <f t="shared" si="26"/>
        <v>1</v>
      </c>
      <c r="W93" s="29">
        <f t="shared" si="27"/>
        <v>1</v>
      </c>
      <c r="X93" s="29">
        <f t="shared" si="28"/>
        <v>0</v>
      </c>
      <c r="Y93" s="29">
        <f t="shared" si="29"/>
        <v>0</v>
      </c>
      <c r="Z93" s="29">
        <f t="shared" si="30"/>
        <v>0</v>
      </c>
      <c r="AA93" s="29">
        <f t="shared" si="31"/>
        <v>0</v>
      </c>
      <c r="AB93" s="3">
        <f t="shared" si="32"/>
        <v>0.6</v>
      </c>
      <c r="AC93" s="3">
        <f t="shared" si="33"/>
        <v>0.4</v>
      </c>
      <c r="AD93" s="3">
        <f t="shared" si="34"/>
        <v>0.24</v>
      </c>
      <c r="AE93" s="19"/>
    </row>
    <row r="94" spans="1:31" ht="54" customHeight="1" x14ac:dyDescent="0.35">
      <c r="A94" s="30" t="s">
        <v>88</v>
      </c>
      <c r="B94" s="25">
        <v>1</v>
      </c>
      <c r="C94" s="25">
        <v>1</v>
      </c>
      <c r="D94" s="25">
        <v>1</v>
      </c>
      <c r="E94" s="25">
        <v>0</v>
      </c>
      <c r="F94" s="25">
        <v>1</v>
      </c>
      <c r="G94" s="25">
        <v>0</v>
      </c>
      <c r="H94" s="25">
        <v>1</v>
      </c>
      <c r="I94" s="25">
        <v>1</v>
      </c>
      <c r="J94" s="25">
        <v>0</v>
      </c>
      <c r="K94" s="25">
        <v>0</v>
      </c>
      <c r="L94" s="3">
        <f t="shared" si="18"/>
        <v>0.6</v>
      </c>
      <c r="M94" s="26" t="str">
        <f t="shared" si="19"/>
        <v>sedang</v>
      </c>
      <c r="N94" s="3">
        <f t="shared" si="20"/>
        <v>0.5</v>
      </c>
      <c r="O94" s="26" t="str">
        <f t="shared" si="21"/>
        <v>soal diterima baik</v>
      </c>
      <c r="P94" s="19"/>
      <c r="Q94" s="26">
        <v>89</v>
      </c>
      <c r="R94" s="29">
        <f t="shared" si="22"/>
        <v>1</v>
      </c>
      <c r="S94" s="29">
        <f t="shared" si="23"/>
        <v>1</v>
      </c>
      <c r="T94" s="29">
        <f t="shared" si="24"/>
        <v>1</v>
      </c>
      <c r="U94" s="29">
        <f t="shared" si="25"/>
        <v>0</v>
      </c>
      <c r="V94" s="29">
        <f t="shared" si="26"/>
        <v>1</v>
      </c>
      <c r="W94" s="29">
        <f t="shared" si="27"/>
        <v>0</v>
      </c>
      <c r="X94" s="29">
        <f t="shared" si="28"/>
        <v>0</v>
      </c>
      <c r="Y94" s="29">
        <f t="shared" si="29"/>
        <v>0</v>
      </c>
      <c r="Z94" s="29">
        <f t="shared" si="30"/>
        <v>1</v>
      </c>
      <c r="AA94" s="29">
        <f t="shared" si="31"/>
        <v>1</v>
      </c>
      <c r="AB94" s="3">
        <f t="shared" si="32"/>
        <v>0.6</v>
      </c>
      <c r="AC94" s="3">
        <f t="shared" si="33"/>
        <v>0.4</v>
      </c>
      <c r="AD94" s="3">
        <f t="shared" si="34"/>
        <v>0.24</v>
      </c>
      <c r="AE94" s="19"/>
    </row>
    <row r="95" spans="1:31" ht="36.75" customHeight="1" x14ac:dyDescent="0.35">
      <c r="A95" s="28" t="s">
        <v>89</v>
      </c>
      <c r="B95" s="25">
        <v>1</v>
      </c>
      <c r="C95" s="25">
        <v>1</v>
      </c>
      <c r="D95" s="25">
        <v>1</v>
      </c>
      <c r="E95" s="25">
        <v>1</v>
      </c>
      <c r="F95" s="25">
        <v>1</v>
      </c>
      <c r="G95" s="25">
        <v>1</v>
      </c>
      <c r="H95" s="25">
        <v>0</v>
      </c>
      <c r="I95" s="25">
        <v>0</v>
      </c>
      <c r="J95" s="25">
        <v>0</v>
      </c>
      <c r="K95" s="25">
        <v>0</v>
      </c>
      <c r="L95" s="3">
        <f t="shared" si="18"/>
        <v>0.6</v>
      </c>
      <c r="M95" s="26" t="str">
        <f t="shared" si="19"/>
        <v>sedang</v>
      </c>
      <c r="N95" s="3">
        <f t="shared" si="20"/>
        <v>1</v>
      </c>
      <c r="O95" s="26" t="str">
        <f t="shared" si="21"/>
        <v>soal diterima baik</v>
      </c>
      <c r="P95" s="19"/>
      <c r="Q95" s="26">
        <v>90</v>
      </c>
      <c r="R95" s="29">
        <f t="shared" si="22"/>
        <v>1</v>
      </c>
      <c r="S95" s="29">
        <f t="shared" si="23"/>
        <v>1</v>
      </c>
      <c r="T95" s="29">
        <f t="shared" si="24"/>
        <v>1</v>
      </c>
      <c r="U95" s="29">
        <f t="shared" si="25"/>
        <v>0</v>
      </c>
      <c r="V95" s="29">
        <f t="shared" si="26"/>
        <v>1</v>
      </c>
      <c r="W95" s="29">
        <f t="shared" si="27"/>
        <v>0</v>
      </c>
      <c r="X95" s="29">
        <f t="shared" si="28"/>
        <v>1</v>
      </c>
      <c r="Y95" s="29">
        <f t="shared" si="29"/>
        <v>1</v>
      </c>
      <c r="Z95" s="29">
        <f t="shared" si="30"/>
        <v>0</v>
      </c>
      <c r="AA95" s="29">
        <f t="shared" si="31"/>
        <v>0</v>
      </c>
      <c r="AB95" s="3">
        <f t="shared" si="32"/>
        <v>0.6</v>
      </c>
      <c r="AC95" s="3">
        <f t="shared" si="33"/>
        <v>0.4</v>
      </c>
      <c r="AD95" s="3">
        <f t="shared" si="34"/>
        <v>0.24</v>
      </c>
      <c r="AE95" s="19"/>
    </row>
    <row r="96" spans="1:31" ht="36.75" customHeight="1" x14ac:dyDescent="0.35">
      <c r="A96" s="28" t="s">
        <v>90</v>
      </c>
      <c r="B96" s="25">
        <v>1</v>
      </c>
      <c r="C96" s="25">
        <v>1</v>
      </c>
      <c r="D96" s="25">
        <v>1</v>
      </c>
      <c r="E96" s="25">
        <v>1</v>
      </c>
      <c r="F96" s="25">
        <v>1</v>
      </c>
      <c r="G96" s="25">
        <v>1</v>
      </c>
      <c r="H96" s="25">
        <v>0</v>
      </c>
      <c r="I96" s="25">
        <v>0</v>
      </c>
      <c r="J96" s="25">
        <v>0</v>
      </c>
      <c r="K96" s="25">
        <v>0</v>
      </c>
      <c r="L96" s="3">
        <f t="shared" si="18"/>
        <v>0.6</v>
      </c>
      <c r="M96" s="26" t="str">
        <f t="shared" si="19"/>
        <v>sedang</v>
      </c>
      <c r="N96" s="3">
        <f t="shared" si="20"/>
        <v>1</v>
      </c>
      <c r="O96" s="26" t="str">
        <f t="shared" si="21"/>
        <v>soal diterima baik</v>
      </c>
      <c r="P96" s="19"/>
      <c r="Q96" s="26">
        <v>91</v>
      </c>
      <c r="R96" s="29">
        <f t="shared" si="22"/>
        <v>1</v>
      </c>
      <c r="S96" s="29">
        <f t="shared" si="23"/>
        <v>1</v>
      </c>
      <c r="T96" s="29">
        <f t="shared" si="24"/>
        <v>1</v>
      </c>
      <c r="U96" s="29">
        <f t="shared" si="25"/>
        <v>1</v>
      </c>
      <c r="V96" s="29">
        <f t="shared" si="26"/>
        <v>1</v>
      </c>
      <c r="W96" s="29">
        <f t="shared" si="27"/>
        <v>1</v>
      </c>
      <c r="X96" s="29">
        <f t="shared" si="28"/>
        <v>0</v>
      </c>
      <c r="Y96" s="29">
        <f t="shared" si="29"/>
        <v>0</v>
      </c>
      <c r="Z96" s="29">
        <f t="shared" si="30"/>
        <v>0</v>
      </c>
      <c r="AA96" s="29">
        <f t="shared" si="31"/>
        <v>0</v>
      </c>
      <c r="AB96" s="3">
        <f t="shared" si="32"/>
        <v>0.6</v>
      </c>
      <c r="AC96" s="3">
        <f t="shared" si="33"/>
        <v>0.4</v>
      </c>
      <c r="AD96" s="3">
        <f t="shared" si="34"/>
        <v>0.24</v>
      </c>
      <c r="AE96" s="19"/>
    </row>
    <row r="97" spans="1:31" ht="37.5" customHeight="1" x14ac:dyDescent="0.35">
      <c r="A97" s="30" t="s">
        <v>91</v>
      </c>
      <c r="B97" s="25">
        <v>1</v>
      </c>
      <c r="C97" s="25">
        <v>1</v>
      </c>
      <c r="D97" s="25">
        <v>1</v>
      </c>
      <c r="E97" s="25">
        <v>1</v>
      </c>
      <c r="F97" s="25">
        <v>1</v>
      </c>
      <c r="G97" s="25">
        <v>1</v>
      </c>
      <c r="H97" s="25">
        <v>0</v>
      </c>
      <c r="I97" s="25">
        <v>0</v>
      </c>
      <c r="J97" s="25">
        <v>0</v>
      </c>
      <c r="K97" s="25">
        <v>0</v>
      </c>
      <c r="L97" s="3">
        <f t="shared" si="18"/>
        <v>0.6</v>
      </c>
      <c r="M97" s="26" t="str">
        <f t="shared" si="19"/>
        <v>sedang</v>
      </c>
      <c r="N97" s="3">
        <f t="shared" si="20"/>
        <v>1</v>
      </c>
      <c r="O97" s="26" t="str">
        <f t="shared" si="21"/>
        <v>soal diterima baik</v>
      </c>
      <c r="P97" s="19"/>
      <c r="Q97" s="26">
        <v>92</v>
      </c>
      <c r="R97" s="29">
        <f t="shared" si="22"/>
        <v>1</v>
      </c>
      <c r="S97" s="29">
        <f t="shared" si="23"/>
        <v>1</v>
      </c>
      <c r="T97" s="29">
        <f t="shared" si="24"/>
        <v>1</v>
      </c>
      <c r="U97" s="29">
        <f t="shared" si="25"/>
        <v>1</v>
      </c>
      <c r="V97" s="29">
        <f t="shared" si="26"/>
        <v>1</v>
      </c>
      <c r="W97" s="29">
        <f t="shared" si="27"/>
        <v>1</v>
      </c>
      <c r="X97" s="29">
        <f t="shared" si="28"/>
        <v>0</v>
      </c>
      <c r="Y97" s="29">
        <f t="shared" si="29"/>
        <v>0</v>
      </c>
      <c r="Z97" s="29">
        <f t="shared" si="30"/>
        <v>0</v>
      </c>
      <c r="AA97" s="29">
        <f t="shared" si="31"/>
        <v>0</v>
      </c>
      <c r="AB97" s="3">
        <f t="shared" si="32"/>
        <v>0.6</v>
      </c>
      <c r="AC97" s="3">
        <f t="shared" si="33"/>
        <v>0.4</v>
      </c>
      <c r="AD97" s="3">
        <f t="shared" si="34"/>
        <v>0.24</v>
      </c>
      <c r="AE97" s="19"/>
    </row>
    <row r="98" spans="1:31" ht="45.75" customHeight="1" x14ac:dyDescent="0.35">
      <c r="A98" s="28" t="s">
        <v>92</v>
      </c>
      <c r="B98" s="25">
        <v>0</v>
      </c>
      <c r="C98" s="25">
        <v>0</v>
      </c>
      <c r="D98" s="25">
        <v>1</v>
      </c>
      <c r="E98" s="25">
        <v>1</v>
      </c>
      <c r="F98" s="25">
        <v>1</v>
      </c>
      <c r="G98" s="25">
        <v>1</v>
      </c>
      <c r="H98" s="25">
        <v>0</v>
      </c>
      <c r="I98" s="25">
        <v>0</v>
      </c>
      <c r="J98" s="25">
        <v>0</v>
      </c>
      <c r="K98" s="25">
        <v>0</v>
      </c>
      <c r="L98" s="3">
        <f t="shared" si="18"/>
        <v>0.4</v>
      </c>
      <c r="M98" s="26" t="str">
        <f t="shared" si="19"/>
        <v>sedang</v>
      </c>
      <c r="N98" s="3">
        <f t="shared" si="20"/>
        <v>0.5</v>
      </c>
      <c r="O98" s="26" t="str">
        <f t="shared" si="21"/>
        <v>soal diterima baik</v>
      </c>
      <c r="P98" s="19"/>
      <c r="Q98" s="26">
        <v>93</v>
      </c>
      <c r="R98" s="29">
        <f t="shared" si="22"/>
        <v>1</v>
      </c>
      <c r="S98" s="29">
        <f t="shared" si="23"/>
        <v>1</v>
      </c>
      <c r="T98" s="29">
        <f t="shared" si="24"/>
        <v>1</v>
      </c>
      <c r="U98" s="29">
        <f t="shared" si="25"/>
        <v>1</v>
      </c>
      <c r="V98" s="29">
        <f t="shared" si="26"/>
        <v>1</v>
      </c>
      <c r="W98" s="29">
        <f t="shared" si="27"/>
        <v>1</v>
      </c>
      <c r="X98" s="29">
        <f t="shared" si="28"/>
        <v>0</v>
      </c>
      <c r="Y98" s="29">
        <f t="shared" si="29"/>
        <v>0</v>
      </c>
      <c r="Z98" s="29">
        <f t="shared" si="30"/>
        <v>0</v>
      </c>
      <c r="AA98" s="29">
        <f t="shared" si="31"/>
        <v>0</v>
      </c>
      <c r="AB98" s="3">
        <f t="shared" si="32"/>
        <v>0.6</v>
      </c>
      <c r="AC98" s="3">
        <f t="shared" si="33"/>
        <v>0.4</v>
      </c>
      <c r="AD98" s="3">
        <f t="shared" si="34"/>
        <v>0.24</v>
      </c>
      <c r="AE98" s="19"/>
    </row>
    <row r="99" spans="1:31" ht="46.5" customHeight="1" x14ac:dyDescent="0.35">
      <c r="A99" s="30" t="s">
        <v>93</v>
      </c>
      <c r="B99" s="25">
        <v>1</v>
      </c>
      <c r="C99" s="25">
        <v>1</v>
      </c>
      <c r="D99" s="25">
        <v>1</v>
      </c>
      <c r="E99" s="25">
        <v>0</v>
      </c>
      <c r="F99" s="25">
        <v>1</v>
      </c>
      <c r="G99" s="25">
        <v>0</v>
      </c>
      <c r="H99" s="25">
        <v>0</v>
      </c>
      <c r="I99" s="25">
        <v>0</v>
      </c>
      <c r="J99" s="25">
        <v>1</v>
      </c>
      <c r="K99" s="25">
        <v>1</v>
      </c>
      <c r="L99" s="3">
        <f t="shared" si="18"/>
        <v>0.6</v>
      </c>
      <c r="M99" s="26" t="str">
        <f t="shared" si="19"/>
        <v>sedang</v>
      </c>
      <c r="N99" s="3">
        <f t="shared" si="20"/>
        <v>0.5</v>
      </c>
      <c r="O99" s="26" t="str">
        <f t="shared" si="21"/>
        <v>soal diterima baik</v>
      </c>
      <c r="P99" s="19"/>
      <c r="Q99" s="26">
        <v>94</v>
      </c>
      <c r="R99" s="29">
        <f t="shared" si="22"/>
        <v>0</v>
      </c>
      <c r="S99" s="29">
        <f t="shared" si="23"/>
        <v>0</v>
      </c>
      <c r="T99" s="29">
        <f t="shared" si="24"/>
        <v>1</v>
      </c>
      <c r="U99" s="29">
        <f t="shared" si="25"/>
        <v>1</v>
      </c>
      <c r="V99" s="29">
        <f t="shared" si="26"/>
        <v>1</v>
      </c>
      <c r="W99" s="29">
        <f t="shared" si="27"/>
        <v>1</v>
      </c>
      <c r="X99" s="29">
        <f t="shared" si="28"/>
        <v>0</v>
      </c>
      <c r="Y99" s="29">
        <f t="shared" si="29"/>
        <v>0</v>
      </c>
      <c r="Z99" s="29">
        <f t="shared" si="30"/>
        <v>0</v>
      </c>
      <c r="AA99" s="29">
        <f t="shared" si="31"/>
        <v>0</v>
      </c>
      <c r="AB99" s="3">
        <f t="shared" si="32"/>
        <v>0.4</v>
      </c>
      <c r="AC99" s="3">
        <f t="shared" si="33"/>
        <v>0.6</v>
      </c>
      <c r="AD99" s="3">
        <f t="shared" si="34"/>
        <v>0.24</v>
      </c>
      <c r="AE99" s="19"/>
    </row>
    <row r="100" spans="1:31" ht="27" customHeight="1" x14ac:dyDescent="0.35">
      <c r="A100" s="28" t="s">
        <v>94</v>
      </c>
      <c r="B100" s="25">
        <v>1</v>
      </c>
      <c r="C100" s="25">
        <v>1</v>
      </c>
      <c r="D100" s="25">
        <v>1</v>
      </c>
      <c r="E100" s="25">
        <v>1</v>
      </c>
      <c r="F100" s="25">
        <v>1</v>
      </c>
      <c r="G100" s="25">
        <v>1</v>
      </c>
      <c r="H100" s="25">
        <v>0</v>
      </c>
      <c r="I100" s="25">
        <v>0</v>
      </c>
      <c r="J100" s="25">
        <v>0</v>
      </c>
      <c r="K100" s="25">
        <v>0</v>
      </c>
      <c r="L100" s="3">
        <f t="shared" si="18"/>
        <v>0.6</v>
      </c>
      <c r="M100" s="26" t="str">
        <f t="shared" si="19"/>
        <v>sedang</v>
      </c>
      <c r="N100" s="3">
        <f t="shared" si="20"/>
        <v>1</v>
      </c>
      <c r="O100" s="26" t="str">
        <f t="shared" si="21"/>
        <v>soal diterima baik</v>
      </c>
      <c r="P100" s="19"/>
      <c r="Q100" s="26">
        <v>95</v>
      </c>
      <c r="R100" s="29">
        <f t="shared" si="22"/>
        <v>1</v>
      </c>
      <c r="S100" s="29">
        <f t="shared" si="23"/>
        <v>1</v>
      </c>
      <c r="T100" s="29">
        <f t="shared" si="24"/>
        <v>1</v>
      </c>
      <c r="U100" s="29">
        <f t="shared" si="25"/>
        <v>0</v>
      </c>
      <c r="V100" s="29">
        <f t="shared" si="26"/>
        <v>1</v>
      </c>
      <c r="W100" s="29">
        <f t="shared" si="27"/>
        <v>0</v>
      </c>
      <c r="X100" s="29">
        <f t="shared" si="28"/>
        <v>0</v>
      </c>
      <c r="Y100" s="29">
        <f t="shared" si="29"/>
        <v>0</v>
      </c>
      <c r="Z100" s="29">
        <f t="shared" si="30"/>
        <v>1</v>
      </c>
      <c r="AA100" s="29">
        <f t="shared" si="31"/>
        <v>1</v>
      </c>
      <c r="AB100" s="3">
        <f t="shared" si="32"/>
        <v>0.6</v>
      </c>
      <c r="AC100" s="3">
        <f t="shared" si="33"/>
        <v>0.4</v>
      </c>
      <c r="AD100" s="3">
        <f t="shared" si="34"/>
        <v>0.24</v>
      </c>
      <c r="AE100" s="19"/>
    </row>
    <row r="101" spans="1:31" ht="34.5" customHeight="1" x14ac:dyDescent="0.35">
      <c r="A101" s="28" t="s">
        <v>95</v>
      </c>
      <c r="B101" s="25">
        <v>1</v>
      </c>
      <c r="C101" s="25">
        <v>1</v>
      </c>
      <c r="D101" s="25">
        <v>1</v>
      </c>
      <c r="E101" s="25">
        <v>0</v>
      </c>
      <c r="F101" s="25">
        <v>1</v>
      </c>
      <c r="G101" s="25">
        <v>0</v>
      </c>
      <c r="H101" s="25">
        <v>0</v>
      </c>
      <c r="I101" s="25">
        <v>0</v>
      </c>
      <c r="J101" s="25">
        <v>1</v>
      </c>
      <c r="K101" s="25">
        <v>1</v>
      </c>
      <c r="L101" s="3">
        <f t="shared" si="18"/>
        <v>0.6</v>
      </c>
      <c r="M101" s="26" t="str">
        <f t="shared" si="19"/>
        <v>sedang</v>
      </c>
      <c r="N101" s="3">
        <f t="shared" si="20"/>
        <v>0.5</v>
      </c>
      <c r="O101" s="26" t="str">
        <f t="shared" si="21"/>
        <v>soal diterima baik</v>
      </c>
      <c r="P101" s="19"/>
      <c r="Q101" s="26">
        <v>96</v>
      </c>
      <c r="R101" s="29">
        <f t="shared" si="22"/>
        <v>1</v>
      </c>
      <c r="S101" s="29">
        <f t="shared" si="23"/>
        <v>1</v>
      </c>
      <c r="T101" s="29">
        <f t="shared" si="24"/>
        <v>1</v>
      </c>
      <c r="U101" s="29">
        <f t="shared" si="25"/>
        <v>1</v>
      </c>
      <c r="V101" s="29">
        <f t="shared" si="26"/>
        <v>1</v>
      </c>
      <c r="W101" s="29">
        <f t="shared" si="27"/>
        <v>1</v>
      </c>
      <c r="X101" s="29">
        <f t="shared" si="28"/>
        <v>0</v>
      </c>
      <c r="Y101" s="29">
        <f t="shared" si="29"/>
        <v>0</v>
      </c>
      <c r="Z101" s="29">
        <f t="shared" si="30"/>
        <v>0</v>
      </c>
      <c r="AA101" s="29">
        <f t="shared" si="31"/>
        <v>0</v>
      </c>
      <c r="AB101" s="3">
        <f t="shared" si="32"/>
        <v>0.6</v>
      </c>
      <c r="AC101" s="3">
        <f t="shared" si="33"/>
        <v>0.4</v>
      </c>
      <c r="AD101" s="3">
        <f t="shared" si="34"/>
        <v>0.24</v>
      </c>
      <c r="AE101" s="19"/>
    </row>
    <row r="102" spans="1:31" ht="35.25" customHeight="1" x14ac:dyDescent="0.35">
      <c r="A102" s="30" t="s">
        <v>96</v>
      </c>
      <c r="B102" s="25">
        <v>0</v>
      </c>
      <c r="C102" s="25">
        <v>0</v>
      </c>
      <c r="D102" s="25">
        <v>0</v>
      </c>
      <c r="E102" s="25">
        <v>1</v>
      </c>
      <c r="F102" s="25">
        <v>0</v>
      </c>
      <c r="G102" s="25">
        <v>1</v>
      </c>
      <c r="H102" s="25">
        <v>1</v>
      </c>
      <c r="I102" s="25">
        <v>1</v>
      </c>
      <c r="J102" s="25">
        <v>0</v>
      </c>
      <c r="K102" s="25">
        <v>0</v>
      </c>
      <c r="L102" s="3">
        <f t="shared" si="18"/>
        <v>0.4</v>
      </c>
      <c r="M102" s="26" t="str">
        <f t="shared" si="19"/>
        <v>sedang</v>
      </c>
      <c r="N102" s="3">
        <f t="shared" si="20"/>
        <v>0.5</v>
      </c>
      <c r="O102" s="26" t="str">
        <f t="shared" si="21"/>
        <v>soal diterima baik</v>
      </c>
      <c r="P102" s="19"/>
      <c r="Q102" s="26">
        <v>97</v>
      </c>
      <c r="R102" s="29">
        <f t="shared" si="22"/>
        <v>1</v>
      </c>
      <c r="S102" s="29">
        <f t="shared" si="23"/>
        <v>1</v>
      </c>
      <c r="T102" s="29">
        <f t="shared" si="24"/>
        <v>1</v>
      </c>
      <c r="U102" s="29">
        <f t="shared" si="25"/>
        <v>0</v>
      </c>
      <c r="V102" s="29">
        <f t="shared" si="26"/>
        <v>1</v>
      </c>
      <c r="W102" s="29">
        <f t="shared" si="27"/>
        <v>0</v>
      </c>
      <c r="X102" s="29">
        <f t="shared" si="28"/>
        <v>0</v>
      </c>
      <c r="Y102" s="29">
        <f t="shared" si="29"/>
        <v>0</v>
      </c>
      <c r="Z102" s="29">
        <f t="shared" si="30"/>
        <v>1</v>
      </c>
      <c r="AA102" s="29">
        <f t="shared" si="31"/>
        <v>1</v>
      </c>
      <c r="AB102" s="3">
        <f t="shared" si="32"/>
        <v>0.6</v>
      </c>
      <c r="AC102" s="3">
        <f t="shared" si="33"/>
        <v>0.4</v>
      </c>
      <c r="AD102" s="3">
        <f t="shared" si="34"/>
        <v>0.24</v>
      </c>
      <c r="AE102" s="19"/>
    </row>
    <row r="103" spans="1:31" ht="41.25" customHeight="1" x14ac:dyDescent="0.35">
      <c r="A103" s="28" t="s">
        <v>97</v>
      </c>
      <c r="B103" s="25">
        <v>1</v>
      </c>
      <c r="C103" s="25">
        <v>1</v>
      </c>
      <c r="D103" s="25">
        <v>1</v>
      </c>
      <c r="E103" s="25">
        <v>1</v>
      </c>
      <c r="F103" s="25">
        <v>1</v>
      </c>
      <c r="G103" s="25">
        <v>1</v>
      </c>
      <c r="H103" s="25">
        <v>0</v>
      </c>
      <c r="I103" s="25">
        <v>0</v>
      </c>
      <c r="J103" s="25">
        <v>0</v>
      </c>
      <c r="K103" s="25">
        <v>0</v>
      </c>
      <c r="L103" s="3">
        <f t="shared" si="18"/>
        <v>0.6</v>
      </c>
      <c r="M103" s="26" t="str">
        <f t="shared" si="19"/>
        <v>sedang</v>
      </c>
      <c r="N103" s="3">
        <f t="shared" si="20"/>
        <v>1</v>
      </c>
      <c r="O103" s="26" t="str">
        <f t="shared" si="21"/>
        <v>soal diterima baik</v>
      </c>
      <c r="P103" s="19"/>
      <c r="Q103" s="26">
        <v>98</v>
      </c>
      <c r="R103" s="29">
        <f t="shared" si="22"/>
        <v>0</v>
      </c>
      <c r="S103" s="29">
        <f t="shared" si="23"/>
        <v>0</v>
      </c>
      <c r="T103" s="29">
        <f t="shared" si="24"/>
        <v>0</v>
      </c>
      <c r="U103" s="29">
        <f t="shared" si="25"/>
        <v>1</v>
      </c>
      <c r="V103" s="29">
        <f t="shared" si="26"/>
        <v>0</v>
      </c>
      <c r="W103" s="29">
        <f t="shared" si="27"/>
        <v>1</v>
      </c>
      <c r="X103" s="29">
        <f t="shared" si="28"/>
        <v>1</v>
      </c>
      <c r="Y103" s="29">
        <f t="shared" si="29"/>
        <v>1</v>
      </c>
      <c r="Z103" s="29">
        <f t="shared" si="30"/>
        <v>0</v>
      </c>
      <c r="AA103" s="29">
        <f t="shared" si="31"/>
        <v>0</v>
      </c>
      <c r="AB103" s="3">
        <f t="shared" si="32"/>
        <v>0.4</v>
      </c>
      <c r="AC103" s="3">
        <f t="shared" si="33"/>
        <v>0.6</v>
      </c>
      <c r="AD103" s="3">
        <f t="shared" si="34"/>
        <v>0.24</v>
      </c>
      <c r="AE103" s="19"/>
    </row>
    <row r="104" spans="1:31" ht="52.5" customHeight="1" x14ac:dyDescent="0.35">
      <c r="A104" s="30" t="s">
        <v>98</v>
      </c>
      <c r="B104" s="25">
        <v>1</v>
      </c>
      <c r="C104" s="25">
        <v>1</v>
      </c>
      <c r="D104" s="25">
        <v>0</v>
      </c>
      <c r="E104" s="25">
        <v>0</v>
      </c>
      <c r="F104" s="25">
        <v>0</v>
      </c>
      <c r="G104" s="25">
        <v>0</v>
      </c>
      <c r="H104" s="25">
        <v>0</v>
      </c>
      <c r="I104" s="25">
        <v>0</v>
      </c>
      <c r="J104" s="25">
        <v>0</v>
      </c>
      <c r="K104" s="25">
        <v>0</v>
      </c>
      <c r="L104" s="3">
        <f t="shared" si="18"/>
        <v>0.2</v>
      </c>
      <c r="M104" s="26" t="str">
        <f t="shared" si="19"/>
        <v>sukar</v>
      </c>
      <c r="N104" s="3">
        <f>ABS((SUM(B104:D104,F104)-SUM(H104:K104))*2/8)</f>
        <v>0.5</v>
      </c>
      <c r="O104" s="26" t="str">
        <f t="shared" si="21"/>
        <v>soal diterima baik</v>
      </c>
      <c r="P104" s="19"/>
      <c r="Q104" s="26">
        <v>99</v>
      </c>
      <c r="R104" s="29">
        <f t="shared" si="22"/>
        <v>1</v>
      </c>
      <c r="S104" s="29">
        <f t="shared" si="23"/>
        <v>1</v>
      </c>
      <c r="T104" s="29">
        <f t="shared" si="24"/>
        <v>1</v>
      </c>
      <c r="U104" s="29">
        <f t="shared" si="25"/>
        <v>1</v>
      </c>
      <c r="V104" s="29">
        <f t="shared" si="26"/>
        <v>1</v>
      </c>
      <c r="W104" s="29">
        <f t="shared" si="27"/>
        <v>1</v>
      </c>
      <c r="X104" s="29">
        <f t="shared" si="28"/>
        <v>0</v>
      </c>
      <c r="Y104" s="29">
        <f t="shared" si="29"/>
        <v>0</v>
      </c>
      <c r="Z104" s="29">
        <f t="shared" si="30"/>
        <v>0</v>
      </c>
      <c r="AA104" s="29">
        <f t="shared" si="31"/>
        <v>0</v>
      </c>
      <c r="AB104" s="3">
        <f t="shared" si="32"/>
        <v>0.6</v>
      </c>
      <c r="AC104" s="3">
        <f t="shared" si="33"/>
        <v>0.4</v>
      </c>
      <c r="AD104" s="3">
        <f t="shared" si="34"/>
        <v>0.24</v>
      </c>
      <c r="AE104" s="19"/>
    </row>
    <row r="105" spans="1:31" x14ac:dyDescent="0.35">
      <c r="A105" s="31"/>
      <c r="B105" s="32">
        <f>SUM(B5:B104)</f>
        <v>86</v>
      </c>
      <c r="C105" s="32">
        <f t="shared" ref="C105:K105" si="35">SUM(C5:C104)</f>
        <v>86</v>
      </c>
      <c r="D105" s="32">
        <f t="shared" si="35"/>
        <v>80</v>
      </c>
      <c r="E105" s="32">
        <f t="shared" si="35"/>
        <v>53</v>
      </c>
      <c r="F105" s="32">
        <f t="shared" si="35"/>
        <v>80</v>
      </c>
      <c r="G105" s="32">
        <f t="shared" si="35"/>
        <v>53</v>
      </c>
      <c r="H105" s="32">
        <f t="shared" si="35"/>
        <v>18</v>
      </c>
      <c r="I105" s="32">
        <f t="shared" si="35"/>
        <v>18</v>
      </c>
      <c r="J105" s="32">
        <f t="shared" si="35"/>
        <v>19</v>
      </c>
      <c r="K105" s="32">
        <f t="shared" si="35"/>
        <v>19</v>
      </c>
      <c r="L105" s="33"/>
      <c r="M105" s="33"/>
      <c r="N105" s="33"/>
      <c r="O105" s="34">
        <f>COUNTIF(O5:O104,"soal dibuang")</f>
        <v>0</v>
      </c>
      <c r="P105" s="19"/>
      <c r="Q105" s="26">
        <v>100</v>
      </c>
      <c r="R105" s="29">
        <f t="shared" si="22"/>
        <v>1</v>
      </c>
      <c r="S105" s="29">
        <f t="shared" si="23"/>
        <v>1</v>
      </c>
      <c r="T105" s="29">
        <f t="shared" si="24"/>
        <v>0</v>
      </c>
      <c r="U105" s="29">
        <f t="shared" si="25"/>
        <v>0</v>
      </c>
      <c r="V105" s="29">
        <f t="shared" si="26"/>
        <v>0</v>
      </c>
      <c r="W105" s="29">
        <f t="shared" si="27"/>
        <v>0</v>
      </c>
      <c r="X105" s="29">
        <f t="shared" si="28"/>
        <v>0</v>
      </c>
      <c r="Y105" s="29">
        <f t="shared" si="29"/>
        <v>0</v>
      </c>
      <c r="Z105" s="29">
        <f t="shared" si="30"/>
        <v>0</v>
      </c>
      <c r="AA105" s="29">
        <f t="shared" si="31"/>
        <v>0</v>
      </c>
      <c r="AB105" s="3">
        <f>SUM(R105:AA105)/COUNT(R105:AA105)</f>
        <v>0.2</v>
      </c>
      <c r="AC105" s="3">
        <f t="shared" si="33"/>
        <v>0.8</v>
      </c>
      <c r="AD105" s="3">
        <f t="shared" si="34"/>
        <v>0.16000000000000003</v>
      </c>
      <c r="AE105" s="19"/>
    </row>
    <row r="106" spans="1:31" ht="28" x14ac:dyDescent="0.35">
      <c r="A106" s="31"/>
      <c r="B106" s="35" t="s">
        <v>104</v>
      </c>
      <c r="C106" s="35" t="s">
        <v>104</v>
      </c>
      <c r="D106" s="35" t="s">
        <v>104</v>
      </c>
      <c r="E106" s="32" t="s">
        <v>104</v>
      </c>
      <c r="F106" s="35" t="s">
        <v>104</v>
      </c>
      <c r="G106" s="32" t="s">
        <v>104</v>
      </c>
      <c r="H106" s="35" t="s">
        <v>105</v>
      </c>
      <c r="I106" s="35" t="s">
        <v>105</v>
      </c>
      <c r="J106" s="35" t="s">
        <v>105</v>
      </c>
      <c r="K106" s="35" t="s">
        <v>105</v>
      </c>
      <c r="L106" s="33"/>
      <c r="M106" s="34">
        <f>COUNTIF(M5:M104,"mudah")</f>
        <v>16</v>
      </c>
      <c r="N106" s="33"/>
      <c r="O106" s="33"/>
      <c r="P106" s="19"/>
      <c r="Q106" s="20" t="s">
        <v>112</v>
      </c>
      <c r="R106" s="36">
        <f>SUM(R6:R105)</f>
        <v>86</v>
      </c>
      <c r="S106" s="36">
        <f t="shared" ref="S106:AA106" si="36">SUM(S6:S105)</f>
        <v>86</v>
      </c>
      <c r="T106" s="36">
        <f t="shared" si="36"/>
        <v>80</v>
      </c>
      <c r="U106" s="36">
        <f t="shared" si="36"/>
        <v>53</v>
      </c>
      <c r="V106" s="36">
        <f t="shared" si="36"/>
        <v>80</v>
      </c>
      <c r="W106" s="36">
        <f t="shared" si="36"/>
        <v>53</v>
      </c>
      <c r="X106" s="36">
        <f t="shared" si="36"/>
        <v>18</v>
      </c>
      <c r="Y106" s="36">
        <f t="shared" si="36"/>
        <v>18</v>
      </c>
      <c r="Z106" s="36">
        <f t="shared" si="36"/>
        <v>19</v>
      </c>
      <c r="AA106" s="36">
        <f t="shared" si="36"/>
        <v>19</v>
      </c>
      <c r="AB106" s="36"/>
      <c r="AC106" s="36"/>
      <c r="AD106" s="10">
        <f>SUM(AD6:AD105)</f>
        <v>21.519999999999982</v>
      </c>
      <c r="AE106" s="36" t="s">
        <v>111</v>
      </c>
    </row>
    <row r="107" spans="1:31" x14ac:dyDescent="0.35">
      <c r="A107" s="31"/>
      <c r="B107" s="37"/>
      <c r="C107" s="37"/>
      <c r="D107" s="37"/>
      <c r="E107" s="37"/>
      <c r="F107" s="37"/>
      <c r="G107" s="37"/>
      <c r="H107" s="37"/>
      <c r="I107" s="37"/>
      <c r="J107" s="37"/>
      <c r="K107" s="37"/>
      <c r="L107" s="33"/>
      <c r="M107" s="34">
        <f>COUNTIF(M5:M104,"sedang")</f>
        <v>69</v>
      </c>
      <c r="N107" s="33"/>
      <c r="O107" s="33"/>
      <c r="P107" s="19"/>
      <c r="Q107" s="31" t="s">
        <v>113</v>
      </c>
      <c r="R107" s="36">
        <f>SUM(R106:AA106)</f>
        <v>512</v>
      </c>
      <c r="S107" s="36"/>
      <c r="T107" s="36"/>
      <c r="U107" s="36"/>
      <c r="V107" s="36"/>
      <c r="W107" s="36"/>
      <c r="X107" s="36"/>
      <c r="Y107" s="36"/>
      <c r="Z107" s="36"/>
      <c r="AA107" s="36"/>
      <c r="AB107" s="36"/>
      <c r="AC107" s="36"/>
      <c r="AD107" s="36"/>
      <c r="AE107" s="38"/>
    </row>
    <row r="108" spans="1:31" ht="30" customHeight="1" x14ac:dyDescent="0.35">
      <c r="A108" s="39"/>
      <c r="B108" s="110" t="s">
        <v>630</v>
      </c>
      <c r="C108" s="110"/>
      <c r="D108" s="110"/>
      <c r="E108" s="25">
        <v>40</v>
      </c>
      <c r="F108" s="37"/>
      <c r="G108" s="37"/>
      <c r="H108" s="37"/>
      <c r="I108" s="37"/>
      <c r="J108" s="37"/>
      <c r="K108" s="37"/>
      <c r="L108" s="33"/>
      <c r="M108" s="33">
        <f>100-M106-M107</f>
        <v>15</v>
      </c>
      <c r="N108" s="33"/>
      <c r="O108" s="33"/>
      <c r="P108" s="19"/>
      <c r="Q108" s="20" t="s">
        <v>114</v>
      </c>
      <c r="R108" s="36">
        <f t="shared" ref="R108:AA108" si="37">$R$107/10</f>
        <v>51.2</v>
      </c>
      <c r="S108" s="36">
        <f t="shared" si="37"/>
        <v>51.2</v>
      </c>
      <c r="T108" s="36">
        <f t="shared" si="37"/>
        <v>51.2</v>
      </c>
      <c r="U108" s="36">
        <f t="shared" si="37"/>
        <v>51.2</v>
      </c>
      <c r="V108" s="36">
        <f t="shared" si="37"/>
        <v>51.2</v>
      </c>
      <c r="W108" s="36">
        <f t="shared" si="37"/>
        <v>51.2</v>
      </c>
      <c r="X108" s="36">
        <f t="shared" si="37"/>
        <v>51.2</v>
      </c>
      <c r="Y108" s="36">
        <f t="shared" si="37"/>
        <v>51.2</v>
      </c>
      <c r="Z108" s="36">
        <f t="shared" si="37"/>
        <v>51.2</v>
      </c>
      <c r="AA108" s="36">
        <f t="shared" si="37"/>
        <v>51.2</v>
      </c>
      <c r="AB108" s="36"/>
      <c r="AC108" s="36"/>
      <c r="AD108" s="36"/>
      <c r="AE108" s="38"/>
    </row>
    <row r="109" spans="1:31" ht="30" customHeight="1" x14ac:dyDescent="0.35">
      <c r="A109" s="28"/>
      <c r="B109" s="110" t="s">
        <v>631</v>
      </c>
      <c r="C109" s="110"/>
      <c r="D109" s="110"/>
      <c r="E109" s="25">
        <v>30</v>
      </c>
      <c r="F109" s="37"/>
      <c r="G109" s="37"/>
      <c r="H109" s="37"/>
      <c r="I109" s="37"/>
      <c r="J109" s="37"/>
      <c r="K109" s="37"/>
      <c r="L109" s="33"/>
      <c r="M109" s="33"/>
      <c r="N109" s="33"/>
      <c r="O109" s="33"/>
      <c r="P109" s="19"/>
      <c r="Q109" s="20" t="s">
        <v>115</v>
      </c>
      <c r="R109" s="10">
        <f>R106-R108</f>
        <v>34.799999999999997</v>
      </c>
      <c r="S109" s="10">
        <f t="shared" ref="S109:AA109" si="38">S106-S108</f>
        <v>34.799999999999997</v>
      </c>
      <c r="T109" s="10">
        <f t="shared" si="38"/>
        <v>28.799999999999997</v>
      </c>
      <c r="U109" s="10">
        <f t="shared" si="38"/>
        <v>1.7999999999999972</v>
      </c>
      <c r="V109" s="10">
        <f t="shared" si="38"/>
        <v>28.799999999999997</v>
      </c>
      <c r="W109" s="10">
        <f t="shared" si="38"/>
        <v>1.7999999999999972</v>
      </c>
      <c r="X109" s="10">
        <f t="shared" si="38"/>
        <v>-33.200000000000003</v>
      </c>
      <c r="Y109" s="10">
        <f t="shared" si="38"/>
        <v>-33.200000000000003</v>
      </c>
      <c r="Z109" s="10">
        <f t="shared" si="38"/>
        <v>-32.200000000000003</v>
      </c>
      <c r="AA109" s="10">
        <f t="shared" si="38"/>
        <v>-32.200000000000003</v>
      </c>
      <c r="AB109" s="36"/>
      <c r="AC109" s="36"/>
      <c r="AD109" s="36"/>
      <c r="AE109" s="38"/>
    </row>
    <row r="110" spans="1:31" ht="30" customHeight="1" x14ac:dyDescent="0.35">
      <c r="A110" s="30"/>
      <c r="B110" s="110" t="s">
        <v>632</v>
      </c>
      <c r="C110" s="110"/>
      <c r="D110" s="110"/>
      <c r="E110" s="25">
        <v>30</v>
      </c>
      <c r="F110" s="37"/>
      <c r="G110" s="37"/>
      <c r="H110" s="37"/>
      <c r="I110" s="37"/>
      <c r="J110" s="37"/>
      <c r="K110" s="37"/>
      <c r="L110" s="33"/>
      <c r="M110" s="33"/>
      <c r="N110" s="33"/>
      <c r="O110" s="33"/>
      <c r="P110" s="19"/>
      <c r="Q110" s="20" t="s">
        <v>116</v>
      </c>
      <c r="R110" s="11">
        <f>R109^2</f>
        <v>1211.0399999999997</v>
      </c>
      <c r="S110" s="11">
        <f t="shared" ref="S110:AA110" si="39">S109^2</f>
        <v>1211.0399999999997</v>
      </c>
      <c r="T110" s="11">
        <f t="shared" si="39"/>
        <v>829.43999999999983</v>
      </c>
      <c r="U110" s="11">
        <f t="shared" si="39"/>
        <v>3.2399999999999896</v>
      </c>
      <c r="V110" s="11">
        <f t="shared" si="39"/>
        <v>829.43999999999983</v>
      </c>
      <c r="W110" s="11">
        <f t="shared" si="39"/>
        <v>3.2399999999999896</v>
      </c>
      <c r="X110" s="11">
        <f t="shared" si="39"/>
        <v>1102.2400000000002</v>
      </c>
      <c r="Y110" s="11">
        <f t="shared" si="39"/>
        <v>1102.2400000000002</v>
      </c>
      <c r="Z110" s="11">
        <f t="shared" si="39"/>
        <v>1036.8400000000001</v>
      </c>
      <c r="AA110" s="11">
        <f t="shared" si="39"/>
        <v>1036.8400000000001</v>
      </c>
      <c r="AB110" s="36"/>
      <c r="AC110" s="36"/>
      <c r="AD110" s="36"/>
      <c r="AE110" s="38"/>
    </row>
    <row r="111" spans="1:31" x14ac:dyDescent="0.35">
      <c r="A111" s="40"/>
      <c r="B111" s="40"/>
      <c r="C111" s="40"/>
      <c r="D111" s="40"/>
      <c r="E111" s="18"/>
      <c r="F111" s="18"/>
      <c r="G111" s="18"/>
      <c r="H111" s="18"/>
      <c r="I111" s="18"/>
      <c r="J111" s="18"/>
      <c r="K111" s="18"/>
      <c r="L111" s="19"/>
      <c r="M111" s="19"/>
      <c r="N111" s="19"/>
      <c r="O111" s="19"/>
      <c r="P111" s="19"/>
      <c r="Q111" s="20" t="s">
        <v>117</v>
      </c>
      <c r="R111" s="36">
        <f>SUM(R110:AA110)/10</f>
        <v>836.55999999999983</v>
      </c>
      <c r="S111" s="36"/>
      <c r="T111" s="36"/>
      <c r="U111" s="36"/>
      <c r="V111" s="36"/>
      <c r="W111" s="36"/>
      <c r="X111" s="36"/>
      <c r="Y111" s="36"/>
      <c r="Z111" s="36"/>
      <c r="AA111" s="36"/>
      <c r="AB111" s="36"/>
      <c r="AC111" s="36"/>
      <c r="AD111" s="36"/>
      <c r="AE111" s="38"/>
    </row>
    <row r="112" spans="1:31" x14ac:dyDescent="0.35">
      <c r="A112" s="40"/>
      <c r="B112" s="18"/>
      <c r="C112" s="18"/>
      <c r="D112" s="18"/>
      <c r="E112" s="18"/>
      <c r="F112" s="18"/>
      <c r="G112" s="18"/>
      <c r="H112" s="18"/>
      <c r="I112" s="18"/>
      <c r="J112" s="18"/>
      <c r="K112" s="18"/>
      <c r="L112" s="19"/>
      <c r="M112" s="19"/>
      <c r="N112" s="19"/>
      <c r="O112" s="19"/>
      <c r="P112" s="19"/>
      <c r="Q112" s="20" t="s">
        <v>118</v>
      </c>
      <c r="R112" s="10">
        <f>SQRT(R111)</f>
        <v>28.923346970916072</v>
      </c>
      <c r="S112" s="36"/>
      <c r="T112" s="36"/>
      <c r="U112" s="36"/>
      <c r="V112" s="36"/>
      <c r="W112" s="36"/>
      <c r="X112" s="36"/>
      <c r="Y112" s="36"/>
      <c r="Z112" s="36"/>
      <c r="AA112" s="36"/>
      <c r="AB112" s="36"/>
      <c r="AC112" s="36"/>
      <c r="AD112" s="36"/>
      <c r="AE112" s="38"/>
    </row>
    <row r="113" spans="1:31" x14ac:dyDescent="0.35">
      <c r="A113" s="40"/>
      <c r="B113" s="18"/>
      <c r="C113" s="18"/>
      <c r="D113" s="18"/>
      <c r="E113" s="18"/>
      <c r="F113" s="18"/>
      <c r="G113" s="18"/>
      <c r="H113" s="18"/>
      <c r="I113" s="18"/>
      <c r="J113" s="18"/>
      <c r="K113" s="18"/>
      <c r="L113" s="19"/>
      <c r="M113" s="19"/>
      <c r="N113" s="19"/>
      <c r="O113" s="19"/>
      <c r="P113" s="19"/>
      <c r="Q113" s="41" t="s">
        <v>106</v>
      </c>
      <c r="R113" s="42">
        <f>100/(100-1)*(1-AD106/R111)</f>
        <v>0.98411677258382824</v>
      </c>
      <c r="S113" s="43" t="s">
        <v>119</v>
      </c>
      <c r="T113" s="36"/>
      <c r="U113" s="36"/>
      <c r="V113" s="36"/>
      <c r="W113" s="36"/>
      <c r="X113" s="36"/>
      <c r="Y113" s="36"/>
      <c r="Z113" s="36"/>
      <c r="AA113" s="36"/>
      <c r="AB113" s="36"/>
      <c r="AC113" s="36"/>
      <c r="AD113" s="36"/>
      <c r="AE113" s="38"/>
    </row>
  </sheetData>
  <mergeCells count="15">
    <mergeCell ref="B110:D110"/>
    <mergeCell ref="Q4:Q5"/>
    <mergeCell ref="R4:AA4"/>
    <mergeCell ref="AB4:AB5"/>
    <mergeCell ref="B3:K3"/>
    <mergeCell ref="L3:L4"/>
    <mergeCell ref="M3:M4"/>
    <mergeCell ref="N3:N4"/>
    <mergeCell ref="O3:O4"/>
    <mergeCell ref="AC4:AC5"/>
    <mergeCell ref="AD4:AD5"/>
    <mergeCell ref="A1:O1"/>
    <mergeCell ref="B108:D108"/>
    <mergeCell ref="B109:D109"/>
    <mergeCell ref="A3:A4"/>
  </mergeCells>
  <phoneticPr fontId="1" type="noConversion"/>
  <conditionalFormatting sqref="M5:M104 M3:O3 Q3">
    <cfRule type="containsText" dxfId="6" priority="11" operator="containsText" text="sedang">
      <formula>NOT(ISERROR(SEARCH("sedang",M3)))</formula>
    </cfRule>
  </conditionalFormatting>
  <conditionalFormatting sqref="M5:M104">
    <cfRule type="containsText" dxfId="5" priority="10" operator="containsText" text="sukar">
      <formula>NOT(ISERROR(SEARCH("sukar",M5)))</formula>
    </cfRule>
  </conditionalFormatting>
  <conditionalFormatting sqref="M106:M107">
    <cfRule type="containsText" dxfId="4" priority="6" operator="containsText" text="sukar">
      <formula>NOT(ISERROR(SEARCH("sukar",M106)))</formula>
    </cfRule>
    <cfRule type="containsText" dxfId="3" priority="7" operator="containsText" text="sedang">
      <formula>NOT(ISERROR(SEARCH("sedang",M106)))</formula>
    </cfRule>
    <cfRule type="containsText" dxfId="2" priority="8" operator="containsText" text="mudah">
      <formula>NOT(ISERROR(SEARCH("mudah",M106)))</formula>
    </cfRule>
  </conditionalFormatting>
  <conditionalFormatting sqref="M3:O3 Q3 M5:M104">
    <cfRule type="containsText" dxfId="1" priority="12" operator="containsText" text="mudah">
      <formula>NOT(ISERROR(SEARCH("mudah",M3)))</formula>
    </cfRule>
  </conditionalFormatting>
  <conditionalFormatting sqref="O5:O106">
    <cfRule type="containsText" dxfId="0" priority="9" operator="containsText" text="soal dibuang">
      <formula>NOT(ISERROR(SEARCH("soal dibuang",O5)))</formula>
    </cfRule>
  </conditionalFormatting>
  <pageMargins left="0.21" right="0.2" top="0.47244094488188981" bottom="0.35" header="0.31496062992125984" footer="0.21"/>
  <pageSetup paperSize="9" scale="70"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D6849-4595-49DA-88EB-22A80394377C}">
  <dimension ref="A1:AC112"/>
  <sheetViews>
    <sheetView view="pageBreakPreview" zoomScale="48" zoomScaleNormal="48" zoomScaleSheetLayoutView="48" workbookViewId="0">
      <selection activeCell="L21" sqref="L21"/>
    </sheetView>
  </sheetViews>
  <sheetFormatPr defaultRowHeight="14.5" x14ac:dyDescent="0.35"/>
  <cols>
    <col min="1" max="1" width="34.81640625" customWidth="1"/>
    <col min="2" max="11" width="5.7265625" style="1" customWidth="1"/>
    <col min="12" max="12" width="5.36328125" style="1" bestFit="1" customWidth="1"/>
    <col min="13" max="13" width="5.453125" bestFit="1" customWidth="1"/>
    <col min="14" max="14" width="11.26953125" customWidth="1"/>
    <col min="15" max="15" width="5.81640625" customWidth="1"/>
    <col min="16" max="16" width="8.36328125" customWidth="1"/>
    <col min="17" max="17" width="8" customWidth="1"/>
    <col min="18" max="18" width="10.36328125" customWidth="1"/>
    <col min="19" max="19" width="9.54296875" customWidth="1"/>
    <col min="20" max="20" width="7.7265625" customWidth="1"/>
    <col min="21" max="21" width="7.453125" customWidth="1"/>
    <col min="22" max="22" width="6.08984375" bestFit="1" customWidth="1"/>
    <col min="23" max="23" width="6.1796875" bestFit="1" customWidth="1"/>
    <col min="24" max="24" width="7.81640625" customWidth="1"/>
    <col min="25" max="25" width="9.08984375" customWidth="1"/>
    <col min="26" max="26" width="5.54296875" bestFit="1" customWidth="1"/>
    <col min="27" max="27" width="10.6328125" customWidth="1"/>
    <col min="28" max="28" width="12.26953125" style="1" customWidth="1"/>
    <col min="29" max="29" width="35.1796875" customWidth="1"/>
  </cols>
  <sheetData>
    <row r="1" spans="1:29" ht="15.5" x14ac:dyDescent="0.35">
      <c r="A1" s="122" t="s">
        <v>796</v>
      </c>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row>
    <row r="2" spans="1:29" x14ac:dyDescent="0.35">
      <c r="A2" s="76"/>
      <c r="B2" s="77"/>
      <c r="C2" s="77"/>
      <c r="D2" s="77"/>
      <c r="E2" s="77"/>
      <c r="F2" s="77"/>
      <c r="G2" s="77"/>
      <c r="H2" s="77"/>
      <c r="I2" s="77"/>
      <c r="J2" s="77"/>
      <c r="K2" s="77"/>
      <c r="L2" s="77"/>
      <c r="M2" s="76"/>
      <c r="N2" s="76"/>
      <c r="O2" s="76"/>
      <c r="P2" s="76"/>
      <c r="Q2" s="76"/>
      <c r="R2" s="76"/>
      <c r="S2" s="76"/>
      <c r="T2" s="76"/>
      <c r="U2" s="76"/>
      <c r="V2" s="76"/>
      <c r="W2" s="76"/>
      <c r="X2" s="76"/>
      <c r="Y2" s="76"/>
      <c r="Z2" s="76"/>
      <c r="AA2" s="76"/>
      <c r="AB2" s="77"/>
      <c r="AC2" s="76"/>
    </row>
    <row r="3" spans="1:29" ht="14.5" customHeight="1" x14ac:dyDescent="0.35">
      <c r="A3" s="79" t="s">
        <v>759</v>
      </c>
      <c r="B3" s="87">
        <v>0.5</v>
      </c>
      <c r="C3" s="86"/>
      <c r="D3" s="86"/>
      <c r="E3" s="86"/>
      <c r="F3" s="86"/>
      <c r="G3" s="86"/>
      <c r="H3" s="86"/>
      <c r="I3" s="86"/>
      <c r="J3" s="86"/>
      <c r="K3" s="93" t="s">
        <v>763</v>
      </c>
      <c r="L3" s="93"/>
      <c r="M3" s="93"/>
      <c r="N3" s="93"/>
      <c r="O3" s="92"/>
      <c r="P3" s="91"/>
      <c r="Q3" s="127" t="s">
        <v>767</v>
      </c>
      <c r="R3" s="127"/>
      <c r="S3" s="127"/>
      <c r="T3" s="127"/>
      <c r="U3" s="91"/>
      <c r="V3" s="76"/>
      <c r="W3" s="76"/>
      <c r="X3" s="76"/>
      <c r="Y3" s="76"/>
      <c r="Z3" s="76"/>
      <c r="AA3" s="76"/>
      <c r="AB3" s="77"/>
      <c r="AC3" s="76"/>
    </row>
    <row r="4" spans="1:29" ht="14.5" customHeight="1" x14ac:dyDescent="0.35">
      <c r="A4" s="79" t="s">
        <v>760</v>
      </c>
      <c r="B4" s="87">
        <v>1</v>
      </c>
      <c r="C4" s="86"/>
      <c r="D4" s="86"/>
      <c r="E4" s="86"/>
      <c r="F4" s="86"/>
      <c r="G4" s="86"/>
      <c r="H4" s="86"/>
      <c r="I4" s="86"/>
      <c r="J4" s="86"/>
      <c r="K4" s="85"/>
      <c r="L4" s="120" t="s">
        <v>764</v>
      </c>
      <c r="M4" s="120"/>
      <c r="N4" s="120"/>
      <c r="O4" s="90">
        <f>COUNTIF($AA$11:$AA$110,"DIF Besar - review")</f>
        <v>0</v>
      </c>
      <c r="P4" s="81"/>
      <c r="Q4" s="119" t="s">
        <v>768</v>
      </c>
      <c r="R4" s="119"/>
      <c r="S4" s="119"/>
      <c r="T4" s="89"/>
      <c r="U4" s="88">
        <f>COUNTIF($AB$11:$AB$110,"Berpotensi Bias - Tinjau Konten")</f>
        <v>0</v>
      </c>
      <c r="V4" s="73"/>
      <c r="W4" s="73"/>
      <c r="X4" s="73"/>
      <c r="Y4" s="76"/>
      <c r="Z4" s="76"/>
      <c r="AA4" s="76"/>
      <c r="AB4" s="77"/>
      <c r="AC4" s="76"/>
    </row>
    <row r="5" spans="1:29" ht="14.5" customHeight="1" x14ac:dyDescent="0.35">
      <c r="A5" s="79" t="s">
        <v>761</v>
      </c>
      <c r="B5" s="87">
        <v>2</v>
      </c>
      <c r="C5" s="86"/>
      <c r="D5" s="86"/>
      <c r="E5" s="86"/>
      <c r="F5" s="86"/>
      <c r="G5" s="86"/>
      <c r="H5" s="86"/>
      <c r="I5" s="86"/>
      <c r="J5" s="86"/>
      <c r="K5" s="85"/>
      <c r="L5" s="120" t="s">
        <v>765</v>
      </c>
      <c r="M5" s="120"/>
      <c r="N5" s="120"/>
      <c r="O5" s="84">
        <f>COUNTIF($AA$11:$AA$110,"DIF Moderat - cek")</f>
        <v>0</v>
      </c>
      <c r="P5" s="81"/>
      <c r="Q5" s="119" t="s">
        <v>769</v>
      </c>
      <c r="R5" s="119"/>
      <c r="S5" s="119"/>
      <c r="T5" s="119"/>
      <c r="U5" s="84">
        <f>COUNTIF($AB$11:$AB$110,"Indikasi Ringan - Pantau")</f>
        <v>0</v>
      </c>
      <c r="V5" s="73"/>
      <c r="W5" s="73"/>
      <c r="X5" s="73"/>
      <c r="Y5" s="76"/>
      <c r="Z5" s="76"/>
      <c r="AA5" s="76"/>
      <c r="AB5" s="77"/>
      <c r="AC5" s="76"/>
    </row>
    <row r="6" spans="1:29" ht="14.5" customHeight="1" x14ac:dyDescent="0.35">
      <c r="A6" s="79" t="s">
        <v>762</v>
      </c>
      <c r="B6" s="83">
        <f>_xlfn.AGGREGATE(14,6,ABS(X11:X110),1)</f>
        <v>0</v>
      </c>
      <c r="C6" s="78"/>
      <c r="D6" s="78"/>
      <c r="E6" s="78"/>
      <c r="F6" s="78"/>
      <c r="G6" s="78"/>
      <c r="H6" s="78"/>
      <c r="I6" s="78"/>
      <c r="J6" s="78"/>
      <c r="K6" s="82"/>
      <c r="L6" s="120" t="s">
        <v>766</v>
      </c>
      <c r="M6" s="120"/>
      <c r="N6" s="120"/>
      <c r="O6" s="80">
        <f>COUNTIF($AA$11:$AA$110,"Negligible")</f>
        <v>100</v>
      </c>
      <c r="P6" s="81"/>
      <c r="Q6" s="119" t="s">
        <v>770</v>
      </c>
      <c r="R6" s="119"/>
      <c r="S6" s="119"/>
      <c r="T6" s="119"/>
      <c r="U6" s="80">
        <f>COUNTIF($AB$11:$AB$110,"Tidak Ada Indikasi Bias")</f>
        <v>100</v>
      </c>
      <c r="V6" s="73"/>
      <c r="W6" s="73"/>
      <c r="X6" s="73"/>
      <c r="Y6" s="76"/>
      <c r="Z6" s="76"/>
      <c r="AA6" s="76"/>
      <c r="AB6" s="77"/>
      <c r="AC6" s="76"/>
    </row>
    <row r="7" spans="1:29" ht="33" customHeight="1" x14ac:dyDescent="0.35">
      <c r="A7" s="79"/>
      <c r="B7" s="78"/>
      <c r="C7" s="78"/>
      <c r="D7" s="78"/>
      <c r="E7" s="78"/>
      <c r="F7" s="78"/>
      <c r="G7" s="78"/>
      <c r="H7" s="78"/>
      <c r="I7" s="78"/>
      <c r="J7" s="78"/>
      <c r="K7" s="121" t="s">
        <v>803</v>
      </c>
      <c r="L7" s="121"/>
      <c r="M7" s="121"/>
      <c r="N7" s="121"/>
      <c r="O7" s="121"/>
      <c r="P7" s="121"/>
      <c r="Q7" s="121"/>
      <c r="R7" s="121"/>
      <c r="S7" s="121"/>
      <c r="T7" s="121"/>
      <c r="U7" s="121"/>
      <c r="V7" s="121"/>
      <c r="W7" s="121"/>
      <c r="X7" s="121"/>
      <c r="Y7" s="121"/>
      <c r="Z7" s="121"/>
      <c r="AA7" s="121"/>
      <c r="AB7" s="121"/>
      <c r="AC7" s="76"/>
    </row>
    <row r="8" spans="1:29" ht="27.5" customHeight="1" x14ac:dyDescent="0.35">
      <c r="A8" s="94" t="s">
        <v>756</v>
      </c>
      <c r="B8" s="74" t="str">
        <f>LIM!B2</f>
        <v>Perempuan</v>
      </c>
      <c r="C8" s="74" t="str">
        <f>LIM!C2</f>
        <v>Laki-Laki</v>
      </c>
      <c r="D8" s="74" t="str">
        <f>LIM!D2</f>
        <v>Perempuan</v>
      </c>
      <c r="E8" s="74" t="str">
        <f>LIM!E2</f>
        <v>Perempuan</v>
      </c>
      <c r="F8" s="74" t="str">
        <f>LIM!F2</f>
        <v>Laki-Laki</v>
      </c>
      <c r="G8" s="74" t="str">
        <f>LIM!G2</f>
        <v>Laki-Laki</v>
      </c>
      <c r="H8" s="74" t="str">
        <f>LIM!H2</f>
        <v>Perempuan</v>
      </c>
      <c r="I8" s="74" t="str">
        <f>LIM!I2</f>
        <v>Laki-Laki</v>
      </c>
      <c r="J8" s="74" t="str">
        <f>LIM!J2</f>
        <v>Perempuan</v>
      </c>
      <c r="K8" s="74" t="str">
        <f>LIM!K2</f>
        <v>Laki-Laki</v>
      </c>
      <c r="L8" s="74"/>
      <c r="M8" s="74"/>
      <c r="N8" s="74"/>
      <c r="O8" s="74"/>
      <c r="P8" s="74"/>
      <c r="Q8" s="74"/>
      <c r="R8" s="74"/>
      <c r="S8" s="74"/>
      <c r="T8" s="74"/>
      <c r="U8" s="74"/>
      <c r="V8" s="74"/>
      <c r="W8" s="74"/>
      <c r="X8" s="74"/>
      <c r="Y8" s="74"/>
      <c r="Z8" s="74"/>
      <c r="AA8" s="74"/>
      <c r="AB8" s="74"/>
      <c r="AC8" s="76"/>
    </row>
    <row r="9" spans="1:29" s="72" customFormat="1" ht="23" customHeight="1" x14ac:dyDescent="0.35">
      <c r="A9" s="117" t="s">
        <v>0</v>
      </c>
      <c r="B9" s="124" t="s">
        <v>633</v>
      </c>
      <c r="C9" s="125"/>
      <c r="D9" s="125"/>
      <c r="E9" s="125"/>
      <c r="F9" s="125"/>
      <c r="G9" s="125"/>
      <c r="H9" s="125"/>
      <c r="I9" s="125"/>
      <c r="J9" s="125"/>
      <c r="K9" s="126"/>
      <c r="L9" s="117" t="s">
        <v>771</v>
      </c>
      <c r="M9" s="117" t="s">
        <v>772</v>
      </c>
      <c r="N9" s="117" t="s">
        <v>773</v>
      </c>
      <c r="O9" s="117" t="s">
        <v>774</v>
      </c>
      <c r="P9" s="117" t="s">
        <v>775</v>
      </c>
      <c r="Q9" s="117" t="s">
        <v>776</v>
      </c>
      <c r="R9" s="117" t="s">
        <v>777</v>
      </c>
      <c r="S9" s="117" t="s">
        <v>778</v>
      </c>
      <c r="T9" s="117" t="s">
        <v>779</v>
      </c>
      <c r="U9" s="117" t="s">
        <v>780</v>
      </c>
      <c r="V9" s="117" t="s">
        <v>781</v>
      </c>
      <c r="W9" s="117" t="s">
        <v>782</v>
      </c>
      <c r="X9" s="117" t="s">
        <v>783</v>
      </c>
      <c r="Y9" s="117" t="s">
        <v>784</v>
      </c>
      <c r="Z9" s="117" t="s">
        <v>785</v>
      </c>
      <c r="AA9" s="117" t="s">
        <v>786</v>
      </c>
      <c r="AB9" s="117" t="s">
        <v>787</v>
      </c>
    </row>
    <row r="10" spans="1:29" s="72" customFormat="1" ht="23" customHeight="1" x14ac:dyDescent="0.35">
      <c r="A10" s="118"/>
      <c r="B10" s="69">
        <v>1</v>
      </c>
      <c r="C10" s="69">
        <v>2</v>
      </c>
      <c r="D10" s="69">
        <v>3</v>
      </c>
      <c r="E10" s="69">
        <v>4</v>
      </c>
      <c r="F10" s="69">
        <v>5</v>
      </c>
      <c r="G10" s="69">
        <v>6</v>
      </c>
      <c r="H10" s="69">
        <v>7</v>
      </c>
      <c r="I10" s="69">
        <v>8</v>
      </c>
      <c r="J10" s="69">
        <v>9</v>
      </c>
      <c r="K10" s="69">
        <v>10</v>
      </c>
      <c r="L10" s="118"/>
      <c r="M10" s="118"/>
      <c r="N10" s="118"/>
      <c r="O10" s="118"/>
      <c r="P10" s="118"/>
      <c r="Q10" s="118"/>
      <c r="R10" s="118"/>
      <c r="S10" s="118"/>
      <c r="T10" s="118"/>
      <c r="U10" s="118"/>
      <c r="V10" s="118"/>
      <c r="W10" s="118"/>
      <c r="X10" s="118"/>
      <c r="Y10" s="118"/>
      <c r="Z10" s="118"/>
      <c r="AA10" s="118"/>
      <c r="AB10" s="118"/>
    </row>
    <row r="11" spans="1:29" ht="25" x14ac:dyDescent="0.35">
      <c r="A11" s="71" t="str">
        <f>LIM!A5</f>
        <v>1. Apa yang dimaksud dengan siklus PDCA dalam konteks laboratorium</v>
      </c>
      <c r="B11" s="69">
        <f>LIM!B5</f>
        <v>1</v>
      </c>
      <c r="C11" s="69">
        <f>LIM!C5</f>
        <v>1</v>
      </c>
      <c r="D11" s="69">
        <f>LIM!D5</f>
        <v>1</v>
      </c>
      <c r="E11" s="69">
        <f>LIM!E5</f>
        <v>1</v>
      </c>
      <c r="F11" s="69">
        <f>LIM!F5</f>
        <v>1</v>
      </c>
      <c r="G11" s="69">
        <f>LIM!G5</f>
        <v>1</v>
      </c>
      <c r="H11" s="69">
        <f>LIM!H5</f>
        <v>0</v>
      </c>
      <c r="I11" s="69">
        <f>LIM!I5</f>
        <v>0</v>
      </c>
      <c r="J11" s="69">
        <f>LIM!J5</f>
        <v>0</v>
      </c>
      <c r="K11" s="69">
        <f>LIM!K5</f>
        <v>0</v>
      </c>
      <c r="L11" s="69">
        <f t="shared" ref="L11:L42" si="0">COUNTIF($B$8:$K$8,"Laki-Laki")</f>
        <v>5</v>
      </c>
      <c r="M11" s="69">
        <f t="shared" ref="M11:M42" si="1">COUNTIF($B$8:$K$8,"Perempuan")</f>
        <v>5</v>
      </c>
      <c r="N11" s="69">
        <f t="shared" ref="N11:N42" si="2">SUMIF($B$8:$K$8,"Laki-Laki",B11:K11)</f>
        <v>3</v>
      </c>
      <c r="O11" s="69">
        <f t="shared" ref="O11:O42" si="3">SUMIF($B$8:$K$8,"Perempuan",B11:K11)</f>
        <v>3</v>
      </c>
      <c r="P11" s="69">
        <f t="shared" ref="P11:P42" si="4">IF(N11=0,0.3,IF(N11=L11,L11-0.3,N11))</f>
        <v>3</v>
      </c>
      <c r="Q11" s="69">
        <f t="shared" ref="Q11:Q42" si="5">IF(O11=0,0.3,IF(O11=M11,M11-0.3,O11))</f>
        <v>3</v>
      </c>
      <c r="R11" s="70">
        <f t="shared" ref="R11:R42" si="6">LN((L11-P11)/P11)</f>
        <v>-0.40546510810816444</v>
      </c>
      <c r="S11" s="70">
        <f t="shared" ref="S11:S42" si="7">LN((M11-Q11)/Q11)</f>
        <v>-0.40546510810816444</v>
      </c>
      <c r="T11" s="70">
        <f t="shared" ref="T11:T42" si="8">R11-AVERAGE($R$11:$R$110)</f>
        <v>-0.35511030476723077</v>
      </c>
      <c r="U11" s="70">
        <f t="shared" ref="U11:U42" si="9">S11-AVERAGE($S$11:$S$110)</f>
        <v>-0.35511030476723077</v>
      </c>
      <c r="V11" s="70">
        <f t="shared" ref="V11:V42" si="10">SQRT(1/P11+1/(L11-P11))</f>
        <v>0.91287092917527679</v>
      </c>
      <c r="W11" s="70">
        <f t="shared" ref="W11:W42" si="11">SQRT(1/Q11+1/(M11-Q11))</f>
        <v>0.91287092917527679</v>
      </c>
      <c r="X11" s="70">
        <f t="shared" ref="X11:X42" si="12">T11-U11</f>
        <v>0</v>
      </c>
      <c r="Y11" s="70">
        <f t="shared" ref="Y11:Y42" si="13">SQRT(V11^2+W11^2)</f>
        <v>1.2909944487358056</v>
      </c>
      <c r="Z11" s="70">
        <f t="shared" ref="Z11:Z42" si="14">X11/Y11</f>
        <v>0</v>
      </c>
      <c r="AA11" s="69" t="str">
        <f t="shared" ref="AA11:AA42" si="15">IF(AND(ABS(X11)&gt;=$B$4,ABS(Z11)&gt;=$B$5),"DIF Besar - review",IF(AND(ABS(X11)&gt;=$B$3,ABS(Z11)&gt;=$B$5),"DIF Moderat - cek","Negligible"))</f>
        <v>Negligible</v>
      </c>
      <c r="AB11" s="69" t="str">
        <f t="shared" ref="AB11:AB42" si="16">IF(ABS(X11)&gt;=$B$4,"Berpotensi Bias - Tinjau Konten",IF(ABS(X11)&gt;=$B$3,"Indikasi Ringan - Pantau","Tidak Ada Indikasi Bias"))</f>
        <v>Tidak Ada Indikasi Bias</v>
      </c>
    </row>
    <row r="12" spans="1:29" ht="25" x14ac:dyDescent="0.35">
      <c r="A12" s="71" t="str">
        <f>LIM!A6</f>
        <v>2. Apa yang dilakukan pada tahap "Do" dari siklus PDCA</v>
      </c>
      <c r="B12" s="69">
        <f>LIM!B6</f>
        <v>1</v>
      </c>
      <c r="C12" s="69">
        <f>LIM!C6</f>
        <v>1</v>
      </c>
      <c r="D12" s="69">
        <f>LIM!D6</f>
        <v>0</v>
      </c>
      <c r="E12" s="69">
        <f>LIM!E6</f>
        <v>0</v>
      </c>
      <c r="F12" s="69">
        <f>LIM!F6</f>
        <v>0</v>
      </c>
      <c r="G12" s="69">
        <f>LIM!G6</f>
        <v>0</v>
      </c>
      <c r="H12" s="69">
        <f>LIM!H6</f>
        <v>1</v>
      </c>
      <c r="I12" s="69">
        <f>LIM!I6</f>
        <v>1</v>
      </c>
      <c r="J12" s="69">
        <f>LIM!J6</f>
        <v>1</v>
      </c>
      <c r="K12" s="69">
        <f>LIM!K6</f>
        <v>1</v>
      </c>
      <c r="L12" s="69">
        <f t="shared" si="0"/>
        <v>5</v>
      </c>
      <c r="M12" s="69">
        <f t="shared" si="1"/>
        <v>5</v>
      </c>
      <c r="N12" s="69">
        <f t="shared" si="2"/>
        <v>3</v>
      </c>
      <c r="O12" s="69">
        <f t="shared" si="3"/>
        <v>3</v>
      </c>
      <c r="P12" s="69">
        <f t="shared" si="4"/>
        <v>3</v>
      </c>
      <c r="Q12" s="69">
        <f t="shared" si="5"/>
        <v>3</v>
      </c>
      <c r="R12" s="70">
        <f t="shared" si="6"/>
        <v>-0.40546510810816444</v>
      </c>
      <c r="S12" s="70">
        <f t="shared" si="7"/>
        <v>-0.40546510810816444</v>
      </c>
      <c r="T12" s="70">
        <f t="shared" si="8"/>
        <v>-0.35511030476723077</v>
      </c>
      <c r="U12" s="70">
        <f t="shared" si="9"/>
        <v>-0.35511030476723077</v>
      </c>
      <c r="V12" s="70">
        <f t="shared" si="10"/>
        <v>0.91287092917527679</v>
      </c>
      <c r="W12" s="70">
        <f t="shared" si="11"/>
        <v>0.91287092917527679</v>
      </c>
      <c r="X12" s="70">
        <f t="shared" si="12"/>
        <v>0</v>
      </c>
      <c r="Y12" s="70">
        <f t="shared" si="13"/>
        <v>1.2909944487358056</v>
      </c>
      <c r="Z12" s="70">
        <f t="shared" si="14"/>
        <v>0</v>
      </c>
      <c r="AA12" s="69" t="str">
        <f t="shared" si="15"/>
        <v>Negligible</v>
      </c>
      <c r="AB12" s="69" t="str">
        <f t="shared" si="16"/>
        <v>Tidak Ada Indikasi Bias</v>
      </c>
    </row>
    <row r="13" spans="1:29" ht="25" x14ac:dyDescent="0.35">
      <c r="A13" s="71" t="str">
        <f>LIM!A7</f>
        <v>3. Mengapa penerapan GLP penting dalam laboratorium</v>
      </c>
      <c r="B13" s="69">
        <f>LIM!B7</f>
        <v>1</v>
      </c>
      <c r="C13" s="69">
        <f>LIM!C7</f>
        <v>1</v>
      </c>
      <c r="D13" s="69">
        <f>LIM!D7</f>
        <v>1</v>
      </c>
      <c r="E13" s="69">
        <f>LIM!E7</f>
        <v>0</v>
      </c>
      <c r="F13" s="69">
        <f>LIM!F7</f>
        <v>1</v>
      </c>
      <c r="G13" s="69">
        <f>LIM!G7</f>
        <v>0</v>
      </c>
      <c r="H13" s="69">
        <f>LIM!H7</f>
        <v>0</v>
      </c>
      <c r="I13" s="69">
        <f>LIM!I7</f>
        <v>0</v>
      </c>
      <c r="J13" s="69">
        <f>LIM!J7</f>
        <v>0</v>
      </c>
      <c r="K13" s="69">
        <f>LIM!K7</f>
        <v>0</v>
      </c>
      <c r="L13" s="69">
        <f t="shared" si="0"/>
        <v>5</v>
      </c>
      <c r="M13" s="69">
        <f t="shared" si="1"/>
        <v>5</v>
      </c>
      <c r="N13" s="69">
        <f t="shared" si="2"/>
        <v>2</v>
      </c>
      <c r="O13" s="69">
        <f t="shared" si="3"/>
        <v>2</v>
      </c>
      <c r="P13" s="69">
        <f t="shared" si="4"/>
        <v>2</v>
      </c>
      <c r="Q13" s="69">
        <f t="shared" si="5"/>
        <v>2</v>
      </c>
      <c r="R13" s="70">
        <f t="shared" si="6"/>
        <v>0.40546510810816438</v>
      </c>
      <c r="S13" s="70">
        <f t="shared" si="7"/>
        <v>0.40546510810816438</v>
      </c>
      <c r="T13" s="70">
        <f t="shared" si="8"/>
        <v>0.45581991144909806</v>
      </c>
      <c r="U13" s="70">
        <f t="shared" si="9"/>
        <v>0.45581991144909806</v>
      </c>
      <c r="V13" s="70">
        <f t="shared" si="10"/>
        <v>0.91287092917527679</v>
      </c>
      <c r="W13" s="70">
        <f t="shared" si="11"/>
        <v>0.91287092917527679</v>
      </c>
      <c r="X13" s="70">
        <f t="shared" si="12"/>
        <v>0</v>
      </c>
      <c r="Y13" s="70">
        <f t="shared" si="13"/>
        <v>1.2909944487358056</v>
      </c>
      <c r="Z13" s="70">
        <f t="shared" si="14"/>
        <v>0</v>
      </c>
      <c r="AA13" s="69" t="str">
        <f t="shared" si="15"/>
        <v>Negligible</v>
      </c>
      <c r="AB13" s="69" t="str">
        <f t="shared" si="16"/>
        <v>Tidak Ada Indikasi Bias</v>
      </c>
    </row>
    <row r="14" spans="1:29" ht="25" x14ac:dyDescent="0.35">
      <c r="A14" s="71" t="str">
        <f>LIM!A8</f>
        <v>4. Apa yang dimaksud dengan pendekatan proses di laboratorium</v>
      </c>
      <c r="B14" s="69">
        <f>LIM!B8</f>
        <v>1</v>
      </c>
      <c r="C14" s="69">
        <f>LIM!C8</f>
        <v>1</v>
      </c>
      <c r="D14" s="69">
        <f>LIM!D8</f>
        <v>1</v>
      </c>
      <c r="E14" s="69">
        <f>LIM!E8</f>
        <v>0</v>
      </c>
      <c r="F14" s="69">
        <f>LIM!F8</f>
        <v>1</v>
      </c>
      <c r="G14" s="69">
        <f>LIM!G8</f>
        <v>0</v>
      </c>
      <c r="H14" s="69">
        <f>LIM!H8</f>
        <v>0</v>
      </c>
      <c r="I14" s="69">
        <f>LIM!I8</f>
        <v>0</v>
      </c>
      <c r="J14" s="69">
        <f>LIM!J8</f>
        <v>1</v>
      </c>
      <c r="K14" s="69">
        <f>LIM!K8</f>
        <v>1</v>
      </c>
      <c r="L14" s="69">
        <f t="shared" si="0"/>
        <v>5</v>
      </c>
      <c r="M14" s="69">
        <f t="shared" si="1"/>
        <v>5</v>
      </c>
      <c r="N14" s="69">
        <f t="shared" si="2"/>
        <v>3</v>
      </c>
      <c r="O14" s="69">
        <f t="shared" si="3"/>
        <v>3</v>
      </c>
      <c r="P14" s="69">
        <f t="shared" si="4"/>
        <v>3</v>
      </c>
      <c r="Q14" s="69">
        <f t="shared" si="5"/>
        <v>3</v>
      </c>
      <c r="R14" s="70">
        <f t="shared" si="6"/>
        <v>-0.40546510810816444</v>
      </c>
      <c r="S14" s="70">
        <f t="shared" si="7"/>
        <v>-0.40546510810816444</v>
      </c>
      <c r="T14" s="70">
        <f t="shared" si="8"/>
        <v>-0.35511030476723077</v>
      </c>
      <c r="U14" s="70">
        <f t="shared" si="9"/>
        <v>-0.35511030476723077</v>
      </c>
      <c r="V14" s="70">
        <f t="shared" si="10"/>
        <v>0.91287092917527679</v>
      </c>
      <c r="W14" s="70">
        <f t="shared" si="11"/>
        <v>0.91287092917527679</v>
      </c>
      <c r="X14" s="70">
        <f t="shared" si="12"/>
        <v>0</v>
      </c>
      <c r="Y14" s="70">
        <f t="shared" si="13"/>
        <v>1.2909944487358056</v>
      </c>
      <c r="Z14" s="70">
        <f t="shared" si="14"/>
        <v>0</v>
      </c>
      <c r="AA14" s="69" t="str">
        <f t="shared" si="15"/>
        <v>Negligible</v>
      </c>
      <c r="AB14" s="69" t="str">
        <f t="shared" si="16"/>
        <v>Tidak Ada Indikasi Bias</v>
      </c>
    </row>
    <row r="15" spans="1:29" ht="37.5" x14ac:dyDescent="0.35">
      <c r="A15" s="71" t="str">
        <f>LIM!A9</f>
        <v>5. Dalam ISO/IEC 17025 : 2017 menerapkan 3 (tiga) prinsip yaitu .... (kecuali)</v>
      </c>
      <c r="B15" s="69">
        <f>LIM!B9</f>
        <v>1</v>
      </c>
      <c r="C15" s="69">
        <f>LIM!C9</f>
        <v>1</v>
      </c>
      <c r="D15" s="69">
        <f>LIM!D9</f>
        <v>1</v>
      </c>
      <c r="E15" s="69">
        <f>LIM!E9</f>
        <v>1</v>
      </c>
      <c r="F15" s="69">
        <f>LIM!F9</f>
        <v>1</v>
      </c>
      <c r="G15" s="69">
        <f>LIM!G9</f>
        <v>1</v>
      </c>
      <c r="H15" s="69">
        <f>LIM!H9</f>
        <v>0</v>
      </c>
      <c r="I15" s="69">
        <f>LIM!I9</f>
        <v>0</v>
      </c>
      <c r="J15" s="69">
        <f>LIM!J9</f>
        <v>0</v>
      </c>
      <c r="K15" s="69">
        <f>LIM!K9</f>
        <v>0</v>
      </c>
      <c r="L15" s="69">
        <f t="shared" si="0"/>
        <v>5</v>
      </c>
      <c r="M15" s="69">
        <f t="shared" si="1"/>
        <v>5</v>
      </c>
      <c r="N15" s="69">
        <f t="shared" si="2"/>
        <v>3</v>
      </c>
      <c r="O15" s="69">
        <f t="shared" si="3"/>
        <v>3</v>
      </c>
      <c r="P15" s="69">
        <f t="shared" si="4"/>
        <v>3</v>
      </c>
      <c r="Q15" s="69">
        <f t="shared" si="5"/>
        <v>3</v>
      </c>
      <c r="R15" s="70">
        <f t="shared" si="6"/>
        <v>-0.40546510810816444</v>
      </c>
      <c r="S15" s="70">
        <f t="shared" si="7"/>
        <v>-0.40546510810816444</v>
      </c>
      <c r="T15" s="70">
        <f t="shared" si="8"/>
        <v>-0.35511030476723077</v>
      </c>
      <c r="U15" s="70">
        <f t="shared" si="9"/>
        <v>-0.35511030476723077</v>
      </c>
      <c r="V15" s="70">
        <f t="shared" si="10"/>
        <v>0.91287092917527679</v>
      </c>
      <c r="W15" s="70">
        <f t="shared" si="11"/>
        <v>0.91287092917527679</v>
      </c>
      <c r="X15" s="70">
        <f t="shared" si="12"/>
        <v>0</v>
      </c>
      <c r="Y15" s="70">
        <f t="shared" si="13"/>
        <v>1.2909944487358056</v>
      </c>
      <c r="Z15" s="70">
        <f t="shared" si="14"/>
        <v>0</v>
      </c>
      <c r="AA15" s="69" t="str">
        <f t="shared" si="15"/>
        <v>Negligible</v>
      </c>
      <c r="AB15" s="69" t="str">
        <f t="shared" si="16"/>
        <v>Tidak Ada Indikasi Bias</v>
      </c>
    </row>
    <row r="16" spans="1:29" ht="37.5" customHeight="1" x14ac:dyDescent="0.35">
      <c r="A16" s="71" t="str">
        <f>LIM!A10</f>
        <v>6. Lembaga yang memberikan akreditasi laboratorium penguji yang telah memenuhi persyaratan ISO/IEC 17025:2017</v>
      </c>
      <c r="B16" s="69">
        <f>LIM!B10</f>
        <v>1</v>
      </c>
      <c r="C16" s="69">
        <f>LIM!C10</f>
        <v>1</v>
      </c>
      <c r="D16" s="69">
        <f>LIM!D10</f>
        <v>1</v>
      </c>
      <c r="E16" s="69">
        <f>LIM!E10</f>
        <v>1</v>
      </c>
      <c r="F16" s="69">
        <f>LIM!F10</f>
        <v>1</v>
      </c>
      <c r="G16" s="69">
        <f>LIM!G10</f>
        <v>1</v>
      </c>
      <c r="H16" s="69">
        <f>LIM!H10</f>
        <v>0</v>
      </c>
      <c r="I16" s="69">
        <f>LIM!I10</f>
        <v>0</v>
      </c>
      <c r="J16" s="69">
        <f>LIM!J10</f>
        <v>0</v>
      </c>
      <c r="K16" s="69">
        <f>LIM!K10</f>
        <v>0</v>
      </c>
      <c r="L16" s="69">
        <f t="shared" si="0"/>
        <v>5</v>
      </c>
      <c r="M16" s="69">
        <f t="shared" si="1"/>
        <v>5</v>
      </c>
      <c r="N16" s="69">
        <f t="shared" si="2"/>
        <v>3</v>
      </c>
      <c r="O16" s="69">
        <f t="shared" si="3"/>
        <v>3</v>
      </c>
      <c r="P16" s="69">
        <f t="shared" si="4"/>
        <v>3</v>
      </c>
      <c r="Q16" s="69">
        <f t="shared" si="5"/>
        <v>3</v>
      </c>
      <c r="R16" s="70">
        <f t="shared" si="6"/>
        <v>-0.40546510810816444</v>
      </c>
      <c r="S16" s="70">
        <f t="shared" si="7"/>
        <v>-0.40546510810816444</v>
      </c>
      <c r="T16" s="70">
        <f t="shared" si="8"/>
        <v>-0.35511030476723077</v>
      </c>
      <c r="U16" s="70">
        <f t="shared" si="9"/>
        <v>-0.35511030476723077</v>
      </c>
      <c r="V16" s="70">
        <f t="shared" si="10"/>
        <v>0.91287092917527679</v>
      </c>
      <c r="W16" s="70">
        <f t="shared" si="11"/>
        <v>0.91287092917527679</v>
      </c>
      <c r="X16" s="70">
        <f t="shared" si="12"/>
        <v>0</v>
      </c>
      <c r="Y16" s="70">
        <f t="shared" si="13"/>
        <v>1.2909944487358056</v>
      </c>
      <c r="Z16" s="70">
        <f t="shared" si="14"/>
        <v>0</v>
      </c>
      <c r="AA16" s="69" t="str">
        <f t="shared" si="15"/>
        <v>Negligible</v>
      </c>
      <c r="AB16" s="69" t="str">
        <f t="shared" si="16"/>
        <v>Tidak Ada Indikasi Bias</v>
      </c>
    </row>
    <row r="17" spans="1:28" ht="37.5" customHeight="1" x14ac:dyDescent="0.35">
      <c r="A17" s="71" t="str">
        <f>LIM!A11</f>
        <v>7. Berapa lama masa berlaku Akreditasi laboratorium penguji ISO/IEC 17025:2017</v>
      </c>
      <c r="B17" s="69">
        <f>LIM!B11</f>
        <v>1</v>
      </c>
      <c r="C17" s="69">
        <f>LIM!C11</f>
        <v>1</v>
      </c>
      <c r="D17" s="69">
        <f>LIM!D11</f>
        <v>1</v>
      </c>
      <c r="E17" s="69">
        <f>LIM!E11</f>
        <v>0</v>
      </c>
      <c r="F17" s="69">
        <f>LIM!F11</f>
        <v>1</v>
      </c>
      <c r="G17" s="69">
        <f>LIM!G11</f>
        <v>0</v>
      </c>
      <c r="H17" s="69">
        <f>LIM!H11</f>
        <v>0</v>
      </c>
      <c r="I17" s="69">
        <f>LIM!I11</f>
        <v>0</v>
      </c>
      <c r="J17" s="69">
        <f>LIM!J11</f>
        <v>0</v>
      </c>
      <c r="K17" s="69">
        <f>LIM!K11</f>
        <v>0</v>
      </c>
      <c r="L17" s="69">
        <f t="shared" si="0"/>
        <v>5</v>
      </c>
      <c r="M17" s="69">
        <f t="shared" si="1"/>
        <v>5</v>
      </c>
      <c r="N17" s="69">
        <f t="shared" si="2"/>
        <v>2</v>
      </c>
      <c r="O17" s="69">
        <f t="shared" si="3"/>
        <v>2</v>
      </c>
      <c r="P17" s="69">
        <f t="shared" si="4"/>
        <v>2</v>
      </c>
      <c r="Q17" s="69">
        <f t="shared" si="5"/>
        <v>2</v>
      </c>
      <c r="R17" s="70">
        <f t="shared" si="6"/>
        <v>0.40546510810816438</v>
      </c>
      <c r="S17" s="70">
        <f t="shared" si="7"/>
        <v>0.40546510810816438</v>
      </c>
      <c r="T17" s="70">
        <f t="shared" si="8"/>
        <v>0.45581991144909806</v>
      </c>
      <c r="U17" s="70">
        <f t="shared" si="9"/>
        <v>0.45581991144909806</v>
      </c>
      <c r="V17" s="70">
        <f t="shared" si="10"/>
        <v>0.91287092917527679</v>
      </c>
      <c r="W17" s="70">
        <f t="shared" si="11"/>
        <v>0.91287092917527679</v>
      </c>
      <c r="X17" s="70">
        <f t="shared" si="12"/>
        <v>0</v>
      </c>
      <c r="Y17" s="70">
        <f t="shared" si="13"/>
        <v>1.2909944487358056</v>
      </c>
      <c r="Z17" s="70">
        <f t="shared" si="14"/>
        <v>0</v>
      </c>
      <c r="AA17" s="69" t="str">
        <f t="shared" si="15"/>
        <v>Negligible</v>
      </c>
      <c r="AB17" s="69" t="str">
        <f t="shared" si="16"/>
        <v>Tidak Ada Indikasi Bias</v>
      </c>
    </row>
    <row r="18" spans="1:28" ht="50" x14ac:dyDescent="0.35">
      <c r="A18" s="71" t="str">
        <f>LIM!A12</f>
        <v>8. Perusahaan A adalah produsen biskuit. Untuk memastikan kualitas produknya perusahaan A membuat lab, maka lab tsb tergolong lab pihak</v>
      </c>
      <c r="B18" s="69">
        <f>LIM!B12</f>
        <v>1</v>
      </c>
      <c r="C18" s="69">
        <f>LIM!C12</f>
        <v>1</v>
      </c>
      <c r="D18" s="69">
        <f>LIM!D12</f>
        <v>0</v>
      </c>
      <c r="E18" s="69">
        <f>LIM!E12</f>
        <v>0</v>
      </c>
      <c r="F18" s="69">
        <f>LIM!F12</f>
        <v>0</v>
      </c>
      <c r="G18" s="69">
        <f>LIM!G12</f>
        <v>0</v>
      </c>
      <c r="H18" s="69">
        <f>LIM!H12</f>
        <v>1</v>
      </c>
      <c r="I18" s="69">
        <f>LIM!I12</f>
        <v>1</v>
      </c>
      <c r="J18" s="69">
        <f>LIM!J12</f>
        <v>1</v>
      </c>
      <c r="K18" s="69">
        <f>LIM!K12</f>
        <v>1</v>
      </c>
      <c r="L18" s="69">
        <f t="shared" si="0"/>
        <v>5</v>
      </c>
      <c r="M18" s="69">
        <f t="shared" si="1"/>
        <v>5</v>
      </c>
      <c r="N18" s="69">
        <f t="shared" si="2"/>
        <v>3</v>
      </c>
      <c r="O18" s="69">
        <f t="shared" si="3"/>
        <v>3</v>
      </c>
      <c r="P18" s="69">
        <f t="shared" si="4"/>
        <v>3</v>
      </c>
      <c r="Q18" s="69">
        <f t="shared" si="5"/>
        <v>3</v>
      </c>
      <c r="R18" s="70">
        <f t="shared" si="6"/>
        <v>-0.40546510810816444</v>
      </c>
      <c r="S18" s="70">
        <f t="shared" si="7"/>
        <v>-0.40546510810816444</v>
      </c>
      <c r="T18" s="70">
        <f t="shared" si="8"/>
        <v>-0.35511030476723077</v>
      </c>
      <c r="U18" s="70">
        <f t="shared" si="9"/>
        <v>-0.35511030476723077</v>
      </c>
      <c r="V18" s="70">
        <f t="shared" si="10"/>
        <v>0.91287092917527679</v>
      </c>
      <c r="W18" s="70">
        <f t="shared" si="11"/>
        <v>0.91287092917527679</v>
      </c>
      <c r="X18" s="70">
        <f t="shared" si="12"/>
        <v>0</v>
      </c>
      <c r="Y18" s="70">
        <f t="shared" si="13"/>
        <v>1.2909944487358056</v>
      </c>
      <c r="Z18" s="70">
        <f t="shared" si="14"/>
        <v>0</v>
      </c>
      <c r="AA18" s="69" t="str">
        <f t="shared" si="15"/>
        <v>Negligible</v>
      </c>
      <c r="AB18" s="69" t="str">
        <f t="shared" si="16"/>
        <v>Tidak Ada Indikasi Bias</v>
      </c>
    </row>
    <row r="19" spans="1:28" ht="50" x14ac:dyDescent="0.35">
      <c r="A19" s="71" t="str">
        <f>LIM!A13</f>
        <v>9. Ancaman terhadap ketidakberpihakan diidentifikasi secara permanen, ditinjau dan dikontrol untuk menjaga ketidakberpihakan dibuat dalam bentuk ...</v>
      </c>
      <c r="B19" s="69">
        <f>LIM!B13</f>
        <v>1</v>
      </c>
      <c r="C19" s="69">
        <f>LIM!C13</f>
        <v>1</v>
      </c>
      <c r="D19" s="69">
        <f>LIM!D13</f>
        <v>0</v>
      </c>
      <c r="E19" s="69">
        <f>LIM!E13</f>
        <v>0</v>
      </c>
      <c r="F19" s="69">
        <f>LIM!F13</f>
        <v>0</v>
      </c>
      <c r="G19" s="69">
        <f>LIM!G13</f>
        <v>0</v>
      </c>
      <c r="H19" s="69">
        <f>LIM!H13</f>
        <v>0</v>
      </c>
      <c r="I19" s="69">
        <f>LIM!I13</f>
        <v>0</v>
      </c>
      <c r="J19" s="69">
        <f>LIM!J13</f>
        <v>0</v>
      </c>
      <c r="K19" s="69">
        <f>LIM!K13</f>
        <v>0</v>
      </c>
      <c r="L19" s="69">
        <f t="shared" si="0"/>
        <v>5</v>
      </c>
      <c r="M19" s="69">
        <f t="shared" si="1"/>
        <v>5</v>
      </c>
      <c r="N19" s="69">
        <f t="shared" si="2"/>
        <v>1</v>
      </c>
      <c r="O19" s="69">
        <f t="shared" si="3"/>
        <v>1</v>
      </c>
      <c r="P19" s="69">
        <f t="shared" si="4"/>
        <v>1</v>
      </c>
      <c r="Q19" s="69">
        <f t="shared" si="5"/>
        <v>1</v>
      </c>
      <c r="R19" s="70">
        <f t="shared" si="6"/>
        <v>1.3862943611198906</v>
      </c>
      <c r="S19" s="70">
        <f t="shared" si="7"/>
        <v>1.3862943611198906</v>
      </c>
      <c r="T19" s="70">
        <f t="shared" si="8"/>
        <v>1.4366491644608244</v>
      </c>
      <c r="U19" s="70">
        <f t="shared" si="9"/>
        <v>1.4366491644608244</v>
      </c>
      <c r="V19" s="70">
        <f t="shared" si="10"/>
        <v>1.1180339887498949</v>
      </c>
      <c r="W19" s="70">
        <f t="shared" si="11"/>
        <v>1.1180339887498949</v>
      </c>
      <c r="X19" s="70">
        <f t="shared" si="12"/>
        <v>0</v>
      </c>
      <c r="Y19" s="70">
        <f t="shared" si="13"/>
        <v>1.5811388300841898</v>
      </c>
      <c r="Z19" s="70">
        <f t="shared" si="14"/>
        <v>0</v>
      </c>
      <c r="AA19" s="69" t="str">
        <f t="shared" si="15"/>
        <v>Negligible</v>
      </c>
      <c r="AB19" s="69" t="str">
        <f t="shared" si="16"/>
        <v>Tidak Ada Indikasi Bias</v>
      </c>
    </row>
    <row r="20" spans="1:28" ht="62.5" x14ac:dyDescent="0.35">
      <c r="A20" s="71" t="str">
        <f>LIM!A14</f>
        <v>10. istilah yang digunakan dalam ilmu metrologi (pengukuran) untuk menyatakan sejauh mana suatu hasil pengukuran mungkin bervariasi dari nilai yang sebenarnya adalah</v>
      </c>
      <c r="B20" s="69">
        <f>LIM!B14</f>
        <v>1</v>
      </c>
      <c r="C20" s="69">
        <f>LIM!C14</f>
        <v>1</v>
      </c>
      <c r="D20" s="69">
        <f>LIM!D14</f>
        <v>1</v>
      </c>
      <c r="E20" s="69">
        <f>LIM!E14</f>
        <v>1</v>
      </c>
      <c r="F20" s="69">
        <f>LIM!F14</f>
        <v>1</v>
      </c>
      <c r="G20" s="69">
        <f>LIM!G14</f>
        <v>1</v>
      </c>
      <c r="H20" s="69">
        <f>LIM!H14</f>
        <v>0</v>
      </c>
      <c r="I20" s="69">
        <f>LIM!I14</f>
        <v>0</v>
      </c>
      <c r="J20" s="69">
        <f>LIM!J14</f>
        <v>0</v>
      </c>
      <c r="K20" s="69">
        <f>LIM!K14</f>
        <v>0</v>
      </c>
      <c r="L20" s="69">
        <f t="shared" si="0"/>
        <v>5</v>
      </c>
      <c r="M20" s="69">
        <f t="shared" si="1"/>
        <v>5</v>
      </c>
      <c r="N20" s="69">
        <f t="shared" si="2"/>
        <v>3</v>
      </c>
      <c r="O20" s="69">
        <f t="shared" si="3"/>
        <v>3</v>
      </c>
      <c r="P20" s="69">
        <f t="shared" si="4"/>
        <v>3</v>
      </c>
      <c r="Q20" s="69">
        <f t="shared" si="5"/>
        <v>3</v>
      </c>
      <c r="R20" s="70">
        <f t="shared" si="6"/>
        <v>-0.40546510810816444</v>
      </c>
      <c r="S20" s="70">
        <f t="shared" si="7"/>
        <v>-0.40546510810816444</v>
      </c>
      <c r="T20" s="70">
        <f t="shared" si="8"/>
        <v>-0.35511030476723077</v>
      </c>
      <c r="U20" s="70">
        <f t="shared" si="9"/>
        <v>-0.35511030476723077</v>
      </c>
      <c r="V20" s="70">
        <f t="shared" si="10"/>
        <v>0.91287092917527679</v>
      </c>
      <c r="W20" s="70">
        <f t="shared" si="11"/>
        <v>0.91287092917527679</v>
      </c>
      <c r="X20" s="70">
        <f t="shared" si="12"/>
        <v>0</v>
      </c>
      <c r="Y20" s="70">
        <f t="shared" si="13"/>
        <v>1.2909944487358056</v>
      </c>
      <c r="Z20" s="70">
        <f t="shared" si="14"/>
        <v>0</v>
      </c>
      <c r="AA20" s="69" t="str">
        <f t="shared" si="15"/>
        <v>Negligible</v>
      </c>
      <c r="AB20" s="69" t="str">
        <f t="shared" si="16"/>
        <v>Tidak Ada Indikasi Bias</v>
      </c>
    </row>
    <row r="21" spans="1:28" ht="25" x14ac:dyDescent="0.35">
      <c r="A21" s="71" t="str">
        <f>LIM!A15</f>
        <v>11. Yang TIDAK termasuk aturan untuk amandemen sertifikat hasil pengujian</v>
      </c>
      <c r="B21" s="69">
        <f>LIM!B15</f>
        <v>1</v>
      </c>
      <c r="C21" s="69">
        <f>LIM!C15</f>
        <v>1</v>
      </c>
      <c r="D21" s="69">
        <f>LIM!D15</f>
        <v>1</v>
      </c>
      <c r="E21" s="69">
        <f>LIM!E15</f>
        <v>0</v>
      </c>
      <c r="F21" s="69">
        <f>LIM!F15</f>
        <v>1</v>
      </c>
      <c r="G21" s="69">
        <f>LIM!G15</f>
        <v>0</v>
      </c>
      <c r="H21" s="69">
        <f>LIM!H15</f>
        <v>0</v>
      </c>
      <c r="I21" s="69">
        <f>LIM!I15</f>
        <v>0</v>
      </c>
      <c r="J21" s="69">
        <f>LIM!J15</f>
        <v>0</v>
      </c>
      <c r="K21" s="69">
        <f>LIM!K15</f>
        <v>0</v>
      </c>
      <c r="L21" s="69">
        <f t="shared" si="0"/>
        <v>5</v>
      </c>
      <c r="M21" s="69">
        <f t="shared" si="1"/>
        <v>5</v>
      </c>
      <c r="N21" s="69">
        <f t="shared" si="2"/>
        <v>2</v>
      </c>
      <c r="O21" s="69">
        <f t="shared" si="3"/>
        <v>2</v>
      </c>
      <c r="P21" s="69">
        <f t="shared" si="4"/>
        <v>2</v>
      </c>
      <c r="Q21" s="69">
        <f t="shared" si="5"/>
        <v>2</v>
      </c>
      <c r="R21" s="70">
        <f t="shared" si="6"/>
        <v>0.40546510810816438</v>
      </c>
      <c r="S21" s="70">
        <f t="shared" si="7"/>
        <v>0.40546510810816438</v>
      </c>
      <c r="T21" s="70">
        <f t="shared" si="8"/>
        <v>0.45581991144909806</v>
      </c>
      <c r="U21" s="70">
        <f t="shared" si="9"/>
        <v>0.45581991144909806</v>
      </c>
      <c r="V21" s="70">
        <f t="shared" si="10"/>
        <v>0.91287092917527679</v>
      </c>
      <c r="W21" s="70">
        <f t="shared" si="11"/>
        <v>0.91287092917527679</v>
      </c>
      <c r="X21" s="70">
        <f t="shared" si="12"/>
        <v>0</v>
      </c>
      <c r="Y21" s="70">
        <f t="shared" si="13"/>
        <v>1.2909944487358056</v>
      </c>
      <c r="Z21" s="70">
        <f t="shared" si="14"/>
        <v>0</v>
      </c>
      <c r="AA21" s="69" t="str">
        <f t="shared" si="15"/>
        <v>Negligible</v>
      </c>
      <c r="AB21" s="69" t="str">
        <f t="shared" si="16"/>
        <v>Tidak Ada Indikasi Bias</v>
      </c>
    </row>
    <row r="22" spans="1:28" ht="50" x14ac:dyDescent="0.35">
      <c r="A22" s="71" t="str">
        <f>LIM!A16</f>
        <v>12. Kebijakan mutu &amp; sasaran mutu laboratorium harus ditetapkan pimpinan laboratorium dan didokumentasikan dalam</v>
      </c>
      <c r="B22" s="69">
        <f>LIM!B16</f>
        <v>1</v>
      </c>
      <c r="C22" s="69">
        <f>LIM!C16</f>
        <v>1</v>
      </c>
      <c r="D22" s="69">
        <f>LIM!D16</f>
        <v>1</v>
      </c>
      <c r="E22" s="69">
        <f>LIM!E16</f>
        <v>0</v>
      </c>
      <c r="F22" s="69">
        <f>LIM!F16</f>
        <v>1</v>
      </c>
      <c r="G22" s="69">
        <f>LIM!G16</f>
        <v>0</v>
      </c>
      <c r="H22" s="69">
        <f>LIM!H16</f>
        <v>0</v>
      </c>
      <c r="I22" s="69">
        <f>LIM!I16</f>
        <v>0</v>
      </c>
      <c r="J22" s="69">
        <f>LIM!J16</f>
        <v>1</v>
      </c>
      <c r="K22" s="69">
        <f>LIM!K16</f>
        <v>1</v>
      </c>
      <c r="L22" s="69">
        <f t="shared" si="0"/>
        <v>5</v>
      </c>
      <c r="M22" s="69">
        <f t="shared" si="1"/>
        <v>5</v>
      </c>
      <c r="N22" s="69">
        <f t="shared" si="2"/>
        <v>3</v>
      </c>
      <c r="O22" s="69">
        <f t="shared" si="3"/>
        <v>3</v>
      </c>
      <c r="P22" s="69">
        <f t="shared" si="4"/>
        <v>3</v>
      </c>
      <c r="Q22" s="69">
        <f t="shared" si="5"/>
        <v>3</v>
      </c>
      <c r="R22" s="70">
        <f t="shared" si="6"/>
        <v>-0.40546510810816444</v>
      </c>
      <c r="S22" s="70">
        <f t="shared" si="7"/>
        <v>-0.40546510810816444</v>
      </c>
      <c r="T22" s="70">
        <f t="shared" si="8"/>
        <v>-0.35511030476723077</v>
      </c>
      <c r="U22" s="70">
        <f t="shared" si="9"/>
        <v>-0.35511030476723077</v>
      </c>
      <c r="V22" s="70">
        <f t="shared" si="10"/>
        <v>0.91287092917527679</v>
      </c>
      <c r="W22" s="70">
        <f t="shared" si="11"/>
        <v>0.91287092917527679</v>
      </c>
      <c r="X22" s="70">
        <f t="shared" si="12"/>
        <v>0</v>
      </c>
      <c r="Y22" s="70">
        <f t="shared" si="13"/>
        <v>1.2909944487358056</v>
      </c>
      <c r="Z22" s="70">
        <f t="shared" si="14"/>
        <v>0</v>
      </c>
      <c r="AA22" s="69" t="str">
        <f t="shared" si="15"/>
        <v>Negligible</v>
      </c>
      <c r="AB22" s="69" t="str">
        <f t="shared" si="16"/>
        <v>Tidak Ada Indikasi Bias</v>
      </c>
    </row>
    <row r="23" spans="1:28" ht="25" x14ac:dyDescent="0.35">
      <c r="A23" s="71" t="str">
        <f>LIM!A17</f>
        <v>13. Yang BUKAN rekaman mutu laboratorium adalah</v>
      </c>
      <c r="B23" s="69">
        <f>LIM!B17</f>
        <v>1</v>
      </c>
      <c r="C23" s="69">
        <f>LIM!C17</f>
        <v>1</v>
      </c>
      <c r="D23" s="69">
        <f>LIM!D17</f>
        <v>1</v>
      </c>
      <c r="E23" s="69">
        <f>LIM!E17</f>
        <v>1</v>
      </c>
      <c r="F23" s="69">
        <f>LIM!F17</f>
        <v>1</v>
      </c>
      <c r="G23" s="69">
        <f>LIM!G17</f>
        <v>1</v>
      </c>
      <c r="H23" s="69">
        <f>LIM!H17</f>
        <v>0</v>
      </c>
      <c r="I23" s="69">
        <f>LIM!I17</f>
        <v>0</v>
      </c>
      <c r="J23" s="69">
        <f>LIM!J17</f>
        <v>0</v>
      </c>
      <c r="K23" s="69">
        <f>LIM!K17</f>
        <v>0</v>
      </c>
      <c r="L23" s="69">
        <f t="shared" si="0"/>
        <v>5</v>
      </c>
      <c r="M23" s="69">
        <f t="shared" si="1"/>
        <v>5</v>
      </c>
      <c r="N23" s="69">
        <f t="shared" si="2"/>
        <v>3</v>
      </c>
      <c r="O23" s="69">
        <f t="shared" si="3"/>
        <v>3</v>
      </c>
      <c r="P23" s="69">
        <f t="shared" si="4"/>
        <v>3</v>
      </c>
      <c r="Q23" s="69">
        <f t="shared" si="5"/>
        <v>3</v>
      </c>
      <c r="R23" s="70">
        <f t="shared" si="6"/>
        <v>-0.40546510810816444</v>
      </c>
      <c r="S23" s="70">
        <f t="shared" si="7"/>
        <v>-0.40546510810816444</v>
      </c>
      <c r="T23" s="70">
        <f t="shared" si="8"/>
        <v>-0.35511030476723077</v>
      </c>
      <c r="U23" s="70">
        <f t="shared" si="9"/>
        <v>-0.35511030476723077</v>
      </c>
      <c r="V23" s="70">
        <f t="shared" si="10"/>
        <v>0.91287092917527679</v>
      </c>
      <c r="W23" s="70">
        <f t="shared" si="11"/>
        <v>0.91287092917527679</v>
      </c>
      <c r="X23" s="70">
        <f t="shared" si="12"/>
        <v>0</v>
      </c>
      <c r="Y23" s="70">
        <f t="shared" si="13"/>
        <v>1.2909944487358056</v>
      </c>
      <c r="Z23" s="70">
        <f t="shared" si="14"/>
        <v>0</v>
      </c>
      <c r="AA23" s="69" t="str">
        <f t="shared" si="15"/>
        <v>Negligible</v>
      </c>
      <c r="AB23" s="69" t="str">
        <f t="shared" si="16"/>
        <v>Tidak Ada Indikasi Bias</v>
      </c>
    </row>
    <row r="24" spans="1:28" ht="37.5" x14ac:dyDescent="0.35">
      <c r="A24" s="71" t="str">
        <f>LIM!A18</f>
        <v>14. Dalam pembuatan sasaran mutu harus mengacu pada prinsip SMART ... apa singkatan dari huruf M</v>
      </c>
      <c r="B24" s="69">
        <f>LIM!B18</f>
        <v>1</v>
      </c>
      <c r="C24" s="69">
        <f>LIM!C18</f>
        <v>1</v>
      </c>
      <c r="D24" s="69">
        <f>LIM!D18</f>
        <v>1</v>
      </c>
      <c r="E24" s="69">
        <f>LIM!E18</f>
        <v>0</v>
      </c>
      <c r="F24" s="69">
        <f>LIM!F18</f>
        <v>1</v>
      </c>
      <c r="G24" s="69">
        <f>LIM!G18</f>
        <v>0</v>
      </c>
      <c r="H24" s="69">
        <f>LIM!H18</f>
        <v>0</v>
      </c>
      <c r="I24" s="69">
        <f>LIM!I18</f>
        <v>0</v>
      </c>
      <c r="J24" s="69">
        <f>LIM!J18</f>
        <v>0</v>
      </c>
      <c r="K24" s="69">
        <f>LIM!K18</f>
        <v>0</v>
      </c>
      <c r="L24" s="69">
        <f t="shared" si="0"/>
        <v>5</v>
      </c>
      <c r="M24" s="69">
        <f t="shared" si="1"/>
        <v>5</v>
      </c>
      <c r="N24" s="69">
        <f t="shared" si="2"/>
        <v>2</v>
      </c>
      <c r="O24" s="69">
        <f t="shared" si="3"/>
        <v>2</v>
      </c>
      <c r="P24" s="69">
        <f t="shared" si="4"/>
        <v>2</v>
      </c>
      <c r="Q24" s="69">
        <f t="shared" si="5"/>
        <v>2</v>
      </c>
      <c r="R24" s="70">
        <f t="shared" si="6"/>
        <v>0.40546510810816438</v>
      </c>
      <c r="S24" s="70">
        <f t="shared" si="7"/>
        <v>0.40546510810816438</v>
      </c>
      <c r="T24" s="70">
        <f t="shared" si="8"/>
        <v>0.45581991144909806</v>
      </c>
      <c r="U24" s="70">
        <f t="shared" si="9"/>
        <v>0.45581991144909806</v>
      </c>
      <c r="V24" s="70">
        <f t="shared" si="10"/>
        <v>0.91287092917527679</v>
      </c>
      <c r="W24" s="70">
        <f t="shared" si="11"/>
        <v>0.91287092917527679</v>
      </c>
      <c r="X24" s="70">
        <f t="shared" si="12"/>
        <v>0</v>
      </c>
      <c r="Y24" s="70">
        <f t="shared" si="13"/>
        <v>1.2909944487358056</v>
      </c>
      <c r="Z24" s="70">
        <f t="shared" si="14"/>
        <v>0</v>
      </c>
      <c r="AA24" s="69" t="str">
        <f t="shared" si="15"/>
        <v>Negligible</v>
      </c>
      <c r="AB24" s="69" t="str">
        <f t="shared" si="16"/>
        <v>Tidak Ada Indikasi Bias</v>
      </c>
    </row>
    <row r="25" spans="1:28" ht="75" customHeight="1" x14ac:dyDescent="0.35">
      <c r="A25" s="71" t="str">
        <f>LIM!A19</f>
        <v>15. Pengendalian dokumen adalah</v>
      </c>
      <c r="B25" s="69">
        <f>LIM!B19</f>
        <v>1</v>
      </c>
      <c r="C25" s="69">
        <f>LIM!C19</f>
        <v>1</v>
      </c>
      <c r="D25" s="69">
        <f>LIM!D19</f>
        <v>1</v>
      </c>
      <c r="E25" s="69">
        <f>LIM!E19</f>
        <v>0</v>
      </c>
      <c r="F25" s="69">
        <f>LIM!F19</f>
        <v>1</v>
      </c>
      <c r="G25" s="69">
        <f>LIM!G19</f>
        <v>0</v>
      </c>
      <c r="H25" s="69">
        <f>LIM!H19</f>
        <v>0</v>
      </c>
      <c r="I25" s="69">
        <f>LIM!I19</f>
        <v>0</v>
      </c>
      <c r="J25" s="69">
        <f>LIM!J19</f>
        <v>0</v>
      </c>
      <c r="K25" s="69">
        <f>LIM!K19</f>
        <v>0</v>
      </c>
      <c r="L25" s="69">
        <f t="shared" si="0"/>
        <v>5</v>
      </c>
      <c r="M25" s="69">
        <f t="shared" si="1"/>
        <v>5</v>
      </c>
      <c r="N25" s="69">
        <f t="shared" si="2"/>
        <v>2</v>
      </c>
      <c r="O25" s="69">
        <f t="shared" si="3"/>
        <v>2</v>
      </c>
      <c r="P25" s="69">
        <f t="shared" si="4"/>
        <v>2</v>
      </c>
      <c r="Q25" s="69">
        <f t="shared" si="5"/>
        <v>2</v>
      </c>
      <c r="R25" s="70">
        <f t="shared" si="6"/>
        <v>0.40546510810816438</v>
      </c>
      <c r="S25" s="70">
        <f t="shared" si="7"/>
        <v>0.40546510810816438</v>
      </c>
      <c r="T25" s="70">
        <f t="shared" si="8"/>
        <v>0.45581991144909806</v>
      </c>
      <c r="U25" s="70">
        <f t="shared" si="9"/>
        <v>0.45581991144909806</v>
      </c>
      <c r="V25" s="70">
        <f t="shared" si="10"/>
        <v>0.91287092917527679</v>
      </c>
      <c r="W25" s="70">
        <f t="shared" si="11"/>
        <v>0.91287092917527679</v>
      </c>
      <c r="X25" s="70">
        <f t="shared" si="12"/>
        <v>0</v>
      </c>
      <c r="Y25" s="70">
        <f t="shared" si="13"/>
        <v>1.2909944487358056</v>
      </c>
      <c r="Z25" s="70">
        <f t="shared" si="14"/>
        <v>0</v>
      </c>
      <c r="AA25" s="69" t="str">
        <f t="shared" si="15"/>
        <v>Negligible</v>
      </c>
      <c r="AB25" s="69" t="str">
        <f t="shared" si="16"/>
        <v>Tidak Ada Indikasi Bias</v>
      </c>
    </row>
    <row r="26" spans="1:28" ht="25" x14ac:dyDescent="0.35">
      <c r="A26" s="71" t="str">
        <f>LIM!A20</f>
        <v>16. Apa yang dimaksud dengan "SOP"</v>
      </c>
      <c r="B26" s="69">
        <f>LIM!B20</f>
        <v>1</v>
      </c>
      <c r="C26" s="69">
        <f>LIM!C20</f>
        <v>1</v>
      </c>
      <c r="D26" s="69">
        <f>LIM!D20</f>
        <v>1</v>
      </c>
      <c r="E26" s="69">
        <f>LIM!E20</f>
        <v>0</v>
      </c>
      <c r="F26" s="69">
        <f>LIM!F20</f>
        <v>1</v>
      </c>
      <c r="G26" s="69">
        <f>LIM!G20</f>
        <v>0</v>
      </c>
      <c r="H26" s="69">
        <f>LIM!H20</f>
        <v>1</v>
      </c>
      <c r="I26" s="69">
        <f>LIM!I20</f>
        <v>1</v>
      </c>
      <c r="J26" s="69">
        <f>LIM!J20</f>
        <v>0</v>
      </c>
      <c r="K26" s="69">
        <f>LIM!K20</f>
        <v>0</v>
      </c>
      <c r="L26" s="69">
        <f t="shared" si="0"/>
        <v>5</v>
      </c>
      <c r="M26" s="69">
        <f t="shared" si="1"/>
        <v>5</v>
      </c>
      <c r="N26" s="69">
        <f t="shared" si="2"/>
        <v>3</v>
      </c>
      <c r="O26" s="69">
        <f t="shared" si="3"/>
        <v>3</v>
      </c>
      <c r="P26" s="69">
        <f t="shared" si="4"/>
        <v>3</v>
      </c>
      <c r="Q26" s="69">
        <f t="shared" si="5"/>
        <v>3</v>
      </c>
      <c r="R26" s="70">
        <f t="shared" si="6"/>
        <v>-0.40546510810816444</v>
      </c>
      <c r="S26" s="70">
        <f t="shared" si="7"/>
        <v>-0.40546510810816444</v>
      </c>
      <c r="T26" s="70">
        <f t="shared" si="8"/>
        <v>-0.35511030476723077</v>
      </c>
      <c r="U26" s="70">
        <f t="shared" si="9"/>
        <v>-0.35511030476723077</v>
      </c>
      <c r="V26" s="70">
        <f t="shared" si="10"/>
        <v>0.91287092917527679</v>
      </c>
      <c r="W26" s="70">
        <f t="shared" si="11"/>
        <v>0.91287092917527679</v>
      </c>
      <c r="X26" s="70">
        <f t="shared" si="12"/>
        <v>0</v>
      </c>
      <c r="Y26" s="70">
        <f t="shared" si="13"/>
        <v>1.2909944487358056</v>
      </c>
      <c r="Z26" s="70">
        <f t="shared" si="14"/>
        <v>0</v>
      </c>
      <c r="AA26" s="69" t="str">
        <f t="shared" si="15"/>
        <v>Negligible</v>
      </c>
      <c r="AB26" s="69" t="str">
        <f t="shared" si="16"/>
        <v>Tidak Ada Indikasi Bias</v>
      </c>
    </row>
    <row r="27" spans="1:28" ht="75" customHeight="1" x14ac:dyDescent="0.35">
      <c r="A27" s="71" t="str">
        <f>LIM!A21</f>
        <v>17. Manakah yang bukan merupakan langkah-langkah pengendalian rekaman yang efektif</v>
      </c>
      <c r="B27" s="69">
        <f>LIM!B21</f>
        <v>1</v>
      </c>
      <c r="C27" s="69">
        <f>LIM!C21</f>
        <v>1</v>
      </c>
      <c r="D27" s="69">
        <f>LIM!D21</f>
        <v>0</v>
      </c>
      <c r="E27" s="69">
        <f>LIM!E21</f>
        <v>1</v>
      </c>
      <c r="F27" s="69">
        <f>LIM!F21</f>
        <v>0</v>
      </c>
      <c r="G27" s="69">
        <f>LIM!G21</f>
        <v>1</v>
      </c>
      <c r="H27" s="69">
        <f>LIM!H21</f>
        <v>0</v>
      </c>
      <c r="I27" s="69">
        <f>LIM!I21</f>
        <v>0</v>
      </c>
      <c r="J27" s="69">
        <f>LIM!J21</f>
        <v>0</v>
      </c>
      <c r="K27" s="69">
        <f>LIM!K21</f>
        <v>0</v>
      </c>
      <c r="L27" s="69">
        <f t="shared" si="0"/>
        <v>5</v>
      </c>
      <c r="M27" s="69">
        <f t="shared" si="1"/>
        <v>5</v>
      </c>
      <c r="N27" s="69">
        <f t="shared" si="2"/>
        <v>2</v>
      </c>
      <c r="O27" s="69">
        <f t="shared" si="3"/>
        <v>2</v>
      </c>
      <c r="P27" s="69">
        <f t="shared" si="4"/>
        <v>2</v>
      </c>
      <c r="Q27" s="69">
        <f t="shared" si="5"/>
        <v>2</v>
      </c>
      <c r="R27" s="70">
        <f t="shared" si="6"/>
        <v>0.40546510810816438</v>
      </c>
      <c r="S27" s="70">
        <f t="shared" si="7"/>
        <v>0.40546510810816438</v>
      </c>
      <c r="T27" s="70">
        <f t="shared" si="8"/>
        <v>0.45581991144909806</v>
      </c>
      <c r="U27" s="70">
        <f t="shared" si="9"/>
        <v>0.45581991144909806</v>
      </c>
      <c r="V27" s="70">
        <f t="shared" si="10"/>
        <v>0.91287092917527679</v>
      </c>
      <c r="W27" s="70">
        <f t="shared" si="11"/>
        <v>0.91287092917527679</v>
      </c>
      <c r="X27" s="70">
        <f t="shared" si="12"/>
        <v>0</v>
      </c>
      <c r="Y27" s="70">
        <f t="shared" si="13"/>
        <v>1.2909944487358056</v>
      </c>
      <c r="Z27" s="70">
        <f t="shared" si="14"/>
        <v>0</v>
      </c>
      <c r="AA27" s="69" t="str">
        <f t="shared" si="15"/>
        <v>Negligible</v>
      </c>
      <c r="AB27" s="69" t="str">
        <f t="shared" si="16"/>
        <v>Tidak Ada Indikasi Bias</v>
      </c>
    </row>
    <row r="28" spans="1:28" ht="25" x14ac:dyDescent="0.35">
      <c r="A28" s="71" t="str">
        <f>LIM!A22</f>
        <v>18. Yang BUKAN rekaman teknis adalah</v>
      </c>
      <c r="B28" s="69">
        <f>LIM!B22</f>
        <v>1</v>
      </c>
      <c r="C28" s="69">
        <f>LIM!C22</f>
        <v>1</v>
      </c>
      <c r="D28" s="69">
        <f>LIM!D22</f>
        <v>0</v>
      </c>
      <c r="E28" s="69">
        <f>LIM!E22</f>
        <v>0</v>
      </c>
      <c r="F28" s="69">
        <f>LIM!F22</f>
        <v>0</v>
      </c>
      <c r="G28" s="69">
        <f>LIM!G22</f>
        <v>0</v>
      </c>
      <c r="H28" s="69">
        <f>LIM!H22</f>
        <v>0</v>
      </c>
      <c r="I28" s="69">
        <f>LIM!I22</f>
        <v>0</v>
      </c>
      <c r="J28" s="69">
        <f>LIM!J22</f>
        <v>0</v>
      </c>
      <c r="K28" s="69">
        <f>LIM!K22</f>
        <v>0</v>
      </c>
      <c r="L28" s="69">
        <f t="shared" si="0"/>
        <v>5</v>
      </c>
      <c r="M28" s="69">
        <f t="shared" si="1"/>
        <v>5</v>
      </c>
      <c r="N28" s="69">
        <f t="shared" si="2"/>
        <v>1</v>
      </c>
      <c r="O28" s="69">
        <f t="shared" si="3"/>
        <v>1</v>
      </c>
      <c r="P28" s="69">
        <f t="shared" si="4"/>
        <v>1</v>
      </c>
      <c r="Q28" s="69">
        <f t="shared" si="5"/>
        <v>1</v>
      </c>
      <c r="R28" s="70">
        <f t="shared" si="6"/>
        <v>1.3862943611198906</v>
      </c>
      <c r="S28" s="70">
        <f t="shared" si="7"/>
        <v>1.3862943611198906</v>
      </c>
      <c r="T28" s="70">
        <f t="shared" si="8"/>
        <v>1.4366491644608244</v>
      </c>
      <c r="U28" s="70">
        <f t="shared" si="9"/>
        <v>1.4366491644608244</v>
      </c>
      <c r="V28" s="70">
        <f t="shared" si="10"/>
        <v>1.1180339887498949</v>
      </c>
      <c r="W28" s="70">
        <f t="shared" si="11"/>
        <v>1.1180339887498949</v>
      </c>
      <c r="X28" s="70">
        <f t="shared" si="12"/>
        <v>0</v>
      </c>
      <c r="Y28" s="70">
        <f t="shared" si="13"/>
        <v>1.5811388300841898</v>
      </c>
      <c r="Z28" s="70">
        <f t="shared" si="14"/>
        <v>0</v>
      </c>
      <c r="AA28" s="69" t="str">
        <f t="shared" si="15"/>
        <v>Negligible</v>
      </c>
      <c r="AB28" s="69" t="str">
        <f t="shared" si="16"/>
        <v>Tidak Ada Indikasi Bias</v>
      </c>
    </row>
    <row r="29" spans="1:28" ht="37.5" x14ac:dyDescent="0.35">
      <c r="A29" s="71" t="str">
        <f>LIM!A23</f>
        <v xml:space="preserve">19. Yang membedakan rekaman teknis dengan rekaman mutu, rekaman teknis terdapat kewajiban untuk </v>
      </c>
      <c r="B29" s="69">
        <f>LIM!B23</f>
        <v>1</v>
      </c>
      <c r="C29" s="69">
        <f>LIM!C23</f>
        <v>1</v>
      </c>
      <c r="D29" s="69">
        <f>LIM!D23</f>
        <v>1</v>
      </c>
      <c r="E29" s="69">
        <f>LIM!E23</f>
        <v>1</v>
      </c>
      <c r="F29" s="69">
        <f>LIM!F23</f>
        <v>1</v>
      </c>
      <c r="G29" s="69">
        <f>LIM!G23</f>
        <v>1</v>
      </c>
      <c r="H29" s="69">
        <f>LIM!H23</f>
        <v>0</v>
      </c>
      <c r="I29" s="69">
        <f>LIM!I23</f>
        <v>0</v>
      </c>
      <c r="J29" s="69">
        <f>LIM!J23</f>
        <v>0</v>
      </c>
      <c r="K29" s="69">
        <f>LIM!K23</f>
        <v>0</v>
      </c>
      <c r="L29" s="69">
        <f t="shared" si="0"/>
        <v>5</v>
      </c>
      <c r="M29" s="69">
        <f t="shared" si="1"/>
        <v>5</v>
      </c>
      <c r="N29" s="69">
        <f t="shared" si="2"/>
        <v>3</v>
      </c>
      <c r="O29" s="69">
        <f t="shared" si="3"/>
        <v>3</v>
      </c>
      <c r="P29" s="69">
        <f t="shared" si="4"/>
        <v>3</v>
      </c>
      <c r="Q29" s="69">
        <f t="shared" si="5"/>
        <v>3</v>
      </c>
      <c r="R29" s="70">
        <f t="shared" si="6"/>
        <v>-0.40546510810816444</v>
      </c>
      <c r="S29" s="70">
        <f t="shared" si="7"/>
        <v>-0.40546510810816444</v>
      </c>
      <c r="T29" s="70">
        <f t="shared" si="8"/>
        <v>-0.35511030476723077</v>
      </c>
      <c r="U29" s="70">
        <f t="shared" si="9"/>
        <v>-0.35511030476723077</v>
      </c>
      <c r="V29" s="70">
        <f t="shared" si="10"/>
        <v>0.91287092917527679</v>
      </c>
      <c r="W29" s="70">
        <f t="shared" si="11"/>
        <v>0.91287092917527679</v>
      </c>
      <c r="X29" s="70">
        <f t="shared" si="12"/>
        <v>0</v>
      </c>
      <c r="Y29" s="70">
        <f t="shared" si="13"/>
        <v>1.2909944487358056</v>
      </c>
      <c r="Z29" s="70">
        <f t="shared" si="14"/>
        <v>0</v>
      </c>
      <c r="AA29" s="69" t="str">
        <f t="shared" si="15"/>
        <v>Negligible</v>
      </c>
      <c r="AB29" s="69" t="str">
        <f t="shared" si="16"/>
        <v>Tidak Ada Indikasi Bias</v>
      </c>
    </row>
    <row r="30" spans="1:28" ht="25" x14ac:dyDescent="0.35">
      <c r="A30" s="71" t="str">
        <f>LIM!A24</f>
        <v>20. Personel yang bertanggung jawab pengelolaan rekaman teknis adalah</v>
      </c>
      <c r="B30" s="69">
        <f>LIM!B24</f>
        <v>1</v>
      </c>
      <c r="C30" s="69">
        <f>LIM!C24</f>
        <v>1</v>
      </c>
      <c r="D30" s="69">
        <f>LIM!D24</f>
        <v>0</v>
      </c>
      <c r="E30" s="69">
        <f>LIM!E24</f>
        <v>0</v>
      </c>
      <c r="F30" s="69">
        <f>LIM!F24</f>
        <v>0</v>
      </c>
      <c r="G30" s="69">
        <f>LIM!G24</f>
        <v>0</v>
      </c>
      <c r="H30" s="69">
        <f>LIM!H24</f>
        <v>0</v>
      </c>
      <c r="I30" s="69">
        <f>LIM!I24</f>
        <v>0</v>
      </c>
      <c r="J30" s="69">
        <f>LIM!J24</f>
        <v>0</v>
      </c>
      <c r="K30" s="69">
        <f>LIM!K24</f>
        <v>0</v>
      </c>
      <c r="L30" s="69">
        <f t="shared" si="0"/>
        <v>5</v>
      </c>
      <c r="M30" s="69">
        <f t="shared" si="1"/>
        <v>5</v>
      </c>
      <c r="N30" s="69">
        <f t="shared" si="2"/>
        <v>1</v>
      </c>
      <c r="O30" s="69">
        <f t="shared" si="3"/>
        <v>1</v>
      </c>
      <c r="P30" s="69">
        <f t="shared" si="4"/>
        <v>1</v>
      </c>
      <c r="Q30" s="69">
        <f t="shared" si="5"/>
        <v>1</v>
      </c>
      <c r="R30" s="70">
        <f t="shared" si="6"/>
        <v>1.3862943611198906</v>
      </c>
      <c r="S30" s="70">
        <f t="shared" si="7"/>
        <v>1.3862943611198906</v>
      </c>
      <c r="T30" s="70">
        <f t="shared" si="8"/>
        <v>1.4366491644608244</v>
      </c>
      <c r="U30" s="70">
        <f t="shared" si="9"/>
        <v>1.4366491644608244</v>
      </c>
      <c r="V30" s="70">
        <f t="shared" si="10"/>
        <v>1.1180339887498949</v>
      </c>
      <c r="W30" s="70">
        <f t="shared" si="11"/>
        <v>1.1180339887498949</v>
      </c>
      <c r="X30" s="70">
        <f t="shared" si="12"/>
        <v>0</v>
      </c>
      <c r="Y30" s="70">
        <f t="shared" si="13"/>
        <v>1.5811388300841898</v>
      </c>
      <c r="Z30" s="70">
        <f t="shared" si="14"/>
        <v>0</v>
      </c>
      <c r="AA30" s="69" t="str">
        <f t="shared" si="15"/>
        <v>Negligible</v>
      </c>
      <c r="AB30" s="69" t="str">
        <f t="shared" si="16"/>
        <v>Tidak Ada Indikasi Bias</v>
      </c>
    </row>
    <row r="31" spans="1:28" ht="37.5" x14ac:dyDescent="0.35">
      <c r="A31" s="71" t="str">
        <f>LIM!A25</f>
        <v>21. Dokumen yang merinci langkah-langkah spesifik dalam suatu proses disebut</v>
      </c>
      <c r="B31" s="69">
        <f>LIM!B25</f>
        <v>1</v>
      </c>
      <c r="C31" s="69">
        <f>LIM!C25</f>
        <v>1</v>
      </c>
      <c r="D31" s="69">
        <f>LIM!D25</f>
        <v>0</v>
      </c>
      <c r="E31" s="69">
        <f>LIM!E25</f>
        <v>0</v>
      </c>
      <c r="F31" s="69">
        <f>LIM!F25</f>
        <v>0</v>
      </c>
      <c r="G31" s="69">
        <f>LIM!G25</f>
        <v>0</v>
      </c>
      <c r="H31" s="69">
        <f>LIM!H25</f>
        <v>0</v>
      </c>
      <c r="I31" s="69">
        <f>LIM!I25</f>
        <v>0</v>
      </c>
      <c r="J31" s="69">
        <f>LIM!J25</f>
        <v>0</v>
      </c>
      <c r="K31" s="69">
        <f>LIM!K25</f>
        <v>0</v>
      </c>
      <c r="L31" s="69">
        <f t="shared" si="0"/>
        <v>5</v>
      </c>
      <c r="M31" s="69">
        <f t="shared" si="1"/>
        <v>5</v>
      </c>
      <c r="N31" s="69">
        <f t="shared" si="2"/>
        <v>1</v>
      </c>
      <c r="O31" s="69">
        <f t="shared" si="3"/>
        <v>1</v>
      </c>
      <c r="P31" s="69">
        <f t="shared" si="4"/>
        <v>1</v>
      </c>
      <c r="Q31" s="69">
        <f t="shared" si="5"/>
        <v>1</v>
      </c>
      <c r="R31" s="70">
        <f t="shared" si="6"/>
        <v>1.3862943611198906</v>
      </c>
      <c r="S31" s="70">
        <f t="shared" si="7"/>
        <v>1.3862943611198906</v>
      </c>
      <c r="T31" s="70">
        <f t="shared" si="8"/>
        <v>1.4366491644608244</v>
      </c>
      <c r="U31" s="70">
        <f t="shared" si="9"/>
        <v>1.4366491644608244</v>
      </c>
      <c r="V31" s="70">
        <f t="shared" si="10"/>
        <v>1.1180339887498949</v>
      </c>
      <c r="W31" s="70">
        <f t="shared" si="11"/>
        <v>1.1180339887498949</v>
      </c>
      <c r="X31" s="70">
        <f t="shared" si="12"/>
        <v>0</v>
      </c>
      <c r="Y31" s="70">
        <f t="shared" si="13"/>
        <v>1.5811388300841898</v>
      </c>
      <c r="Z31" s="70">
        <f t="shared" si="14"/>
        <v>0</v>
      </c>
      <c r="AA31" s="69" t="str">
        <f t="shared" si="15"/>
        <v>Negligible</v>
      </c>
      <c r="AB31" s="69" t="str">
        <f t="shared" si="16"/>
        <v>Tidak Ada Indikasi Bias</v>
      </c>
    </row>
    <row r="32" spans="1:28" ht="37.5" customHeight="1" x14ac:dyDescent="0.35">
      <c r="A32" s="71" t="str">
        <f>LIM!A26</f>
        <v>22. Apa tujuan utama dari pengendalian dokumen</v>
      </c>
      <c r="B32" s="69">
        <f>LIM!B26</f>
        <v>1</v>
      </c>
      <c r="C32" s="69">
        <f>LIM!C26</f>
        <v>1</v>
      </c>
      <c r="D32" s="69">
        <f>LIM!D26</f>
        <v>1</v>
      </c>
      <c r="E32" s="69">
        <f>LIM!E26</f>
        <v>0</v>
      </c>
      <c r="F32" s="69">
        <f>LIM!F26</f>
        <v>1</v>
      </c>
      <c r="G32" s="69">
        <f>LIM!G26</f>
        <v>0</v>
      </c>
      <c r="H32" s="69">
        <f>LIM!H26</f>
        <v>0</v>
      </c>
      <c r="I32" s="69">
        <f>LIM!I26</f>
        <v>0</v>
      </c>
      <c r="J32" s="69">
        <f>LIM!J26</f>
        <v>1</v>
      </c>
      <c r="K32" s="69">
        <f>LIM!K26</f>
        <v>1</v>
      </c>
      <c r="L32" s="69">
        <f t="shared" si="0"/>
        <v>5</v>
      </c>
      <c r="M32" s="69">
        <f t="shared" si="1"/>
        <v>5</v>
      </c>
      <c r="N32" s="69">
        <f t="shared" si="2"/>
        <v>3</v>
      </c>
      <c r="O32" s="69">
        <f t="shared" si="3"/>
        <v>3</v>
      </c>
      <c r="P32" s="69">
        <f t="shared" si="4"/>
        <v>3</v>
      </c>
      <c r="Q32" s="69">
        <f t="shared" si="5"/>
        <v>3</v>
      </c>
      <c r="R32" s="70">
        <f t="shared" si="6"/>
        <v>-0.40546510810816444</v>
      </c>
      <c r="S32" s="70">
        <f t="shared" si="7"/>
        <v>-0.40546510810816444</v>
      </c>
      <c r="T32" s="70">
        <f t="shared" si="8"/>
        <v>-0.35511030476723077</v>
      </c>
      <c r="U32" s="70">
        <f t="shared" si="9"/>
        <v>-0.35511030476723077</v>
      </c>
      <c r="V32" s="70">
        <f t="shared" si="10"/>
        <v>0.91287092917527679</v>
      </c>
      <c r="W32" s="70">
        <f t="shared" si="11"/>
        <v>0.91287092917527679</v>
      </c>
      <c r="X32" s="70">
        <f t="shared" si="12"/>
        <v>0</v>
      </c>
      <c r="Y32" s="70">
        <f t="shared" si="13"/>
        <v>1.2909944487358056</v>
      </c>
      <c r="Z32" s="70">
        <f t="shared" si="14"/>
        <v>0</v>
      </c>
      <c r="AA32" s="69" t="str">
        <f t="shared" si="15"/>
        <v>Negligible</v>
      </c>
      <c r="AB32" s="69" t="str">
        <f t="shared" si="16"/>
        <v>Tidak Ada Indikasi Bias</v>
      </c>
    </row>
    <row r="33" spans="1:28" ht="37.5" customHeight="1" x14ac:dyDescent="0.35">
      <c r="A33" s="71" t="str">
        <f>LIM!A27</f>
        <v>23. Apa yang dimaksud dengan "Rekaman"</v>
      </c>
      <c r="B33" s="69">
        <f>LIM!B27</f>
        <v>1</v>
      </c>
      <c r="C33" s="69">
        <f>LIM!C27</f>
        <v>1</v>
      </c>
      <c r="D33" s="69">
        <f>LIM!D27</f>
        <v>1</v>
      </c>
      <c r="E33" s="69">
        <f>LIM!E27</f>
        <v>0</v>
      </c>
      <c r="F33" s="69">
        <f>LIM!F27</f>
        <v>1</v>
      </c>
      <c r="G33" s="69">
        <f>LIM!G27</f>
        <v>0</v>
      </c>
      <c r="H33" s="69">
        <f>LIM!H27</f>
        <v>0</v>
      </c>
      <c r="I33" s="69">
        <f>LIM!I27</f>
        <v>0</v>
      </c>
      <c r="J33" s="69">
        <f>LIM!J27</f>
        <v>0</v>
      </c>
      <c r="K33" s="69">
        <f>LIM!K27</f>
        <v>0</v>
      </c>
      <c r="L33" s="69">
        <f t="shared" si="0"/>
        <v>5</v>
      </c>
      <c r="M33" s="69">
        <f t="shared" si="1"/>
        <v>5</v>
      </c>
      <c r="N33" s="69">
        <f t="shared" si="2"/>
        <v>2</v>
      </c>
      <c r="O33" s="69">
        <f t="shared" si="3"/>
        <v>2</v>
      </c>
      <c r="P33" s="69">
        <f t="shared" si="4"/>
        <v>2</v>
      </c>
      <c r="Q33" s="69">
        <f t="shared" si="5"/>
        <v>2</v>
      </c>
      <c r="R33" s="70">
        <f t="shared" si="6"/>
        <v>0.40546510810816438</v>
      </c>
      <c r="S33" s="70">
        <f t="shared" si="7"/>
        <v>0.40546510810816438</v>
      </c>
      <c r="T33" s="70">
        <f t="shared" si="8"/>
        <v>0.45581991144909806</v>
      </c>
      <c r="U33" s="70">
        <f t="shared" si="9"/>
        <v>0.45581991144909806</v>
      </c>
      <c r="V33" s="70">
        <f t="shared" si="10"/>
        <v>0.91287092917527679</v>
      </c>
      <c r="W33" s="70">
        <f t="shared" si="11"/>
        <v>0.91287092917527679</v>
      </c>
      <c r="X33" s="70">
        <f t="shared" si="12"/>
        <v>0</v>
      </c>
      <c r="Y33" s="70">
        <f t="shared" si="13"/>
        <v>1.2909944487358056</v>
      </c>
      <c r="Z33" s="70">
        <f t="shared" si="14"/>
        <v>0</v>
      </c>
      <c r="AA33" s="69" t="str">
        <f t="shared" si="15"/>
        <v>Negligible</v>
      </c>
      <c r="AB33" s="69" t="str">
        <f t="shared" si="16"/>
        <v>Tidak Ada Indikasi Bias</v>
      </c>
    </row>
    <row r="34" spans="1:28" ht="25" x14ac:dyDescent="0.35">
      <c r="A34" s="71" t="str">
        <f>LIM!A28</f>
        <v>24. Apa tujuan utama pengaturan jam kerja di laboratorium</v>
      </c>
      <c r="B34" s="69">
        <f>LIM!B28</f>
        <v>1</v>
      </c>
      <c r="C34" s="69">
        <f>LIM!C28</f>
        <v>1</v>
      </c>
      <c r="D34" s="69">
        <f>LIM!D28</f>
        <v>1</v>
      </c>
      <c r="E34" s="69">
        <f>LIM!E28</f>
        <v>0</v>
      </c>
      <c r="F34" s="69">
        <f>LIM!F28</f>
        <v>1</v>
      </c>
      <c r="G34" s="69">
        <f>LIM!G28</f>
        <v>0</v>
      </c>
      <c r="H34" s="69">
        <f>LIM!H28</f>
        <v>0</v>
      </c>
      <c r="I34" s="69">
        <f>LIM!I28</f>
        <v>0</v>
      </c>
      <c r="J34" s="69">
        <f>LIM!J28</f>
        <v>0</v>
      </c>
      <c r="K34" s="69">
        <f>LIM!K28</f>
        <v>0</v>
      </c>
      <c r="L34" s="69">
        <f t="shared" si="0"/>
        <v>5</v>
      </c>
      <c r="M34" s="69">
        <f t="shared" si="1"/>
        <v>5</v>
      </c>
      <c r="N34" s="69">
        <f t="shared" si="2"/>
        <v>2</v>
      </c>
      <c r="O34" s="69">
        <f t="shared" si="3"/>
        <v>2</v>
      </c>
      <c r="P34" s="69">
        <f t="shared" si="4"/>
        <v>2</v>
      </c>
      <c r="Q34" s="69">
        <f t="shared" si="5"/>
        <v>2</v>
      </c>
      <c r="R34" s="70">
        <f t="shared" si="6"/>
        <v>0.40546510810816438</v>
      </c>
      <c r="S34" s="70">
        <f t="shared" si="7"/>
        <v>0.40546510810816438</v>
      </c>
      <c r="T34" s="70">
        <f t="shared" si="8"/>
        <v>0.45581991144909806</v>
      </c>
      <c r="U34" s="70">
        <f t="shared" si="9"/>
        <v>0.45581991144909806</v>
      </c>
      <c r="V34" s="70">
        <f t="shared" si="10"/>
        <v>0.91287092917527679</v>
      </c>
      <c r="W34" s="70">
        <f t="shared" si="11"/>
        <v>0.91287092917527679</v>
      </c>
      <c r="X34" s="70">
        <f t="shared" si="12"/>
        <v>0</v>
      </c>
      <c r="Y34" s="70">
        <f t="shared" si="13"/>
        <v>1.2909944487358056</v>
      </c>
      <c r="Z34" s="70">
        <f t="shared" si="14"/>
        <v>0</v>
      </c>
      <c r="AA34" s="69" t="str">
        <f t="shared" si="15"/>
        <v>Negligible</v>
      </c>
      <c r="AB34" s="69" t="str">
        <f t="shared" si="16"/>
        <v>Tidak Ada Indikasi Bias</v>
      </c>
    </row>
    <row r="35" spans="1:28" ht="25" x14ac:dyDescent="0.35">
      <c r="A35" s="71" t="str">
        <f>LIM!A29</f>
        <v>25. Mengapa penting untuk memiliki jadwal jam kerja yang jelas di laboratorium</v>
      </c>
      <c r="B35" s="69">
        <f>LIM!B29</f>
        <v>1</v>
      </c>
      <c r="C35" s="69">
        <f>LIM!C29</f>
        <v>1</v>
      </c>
      <c r="D35" s="69">
        <f>LIM!D29</f>
        <v>1</v>
      </c>
      <c r="E35" s="69">
        <f>LIM!E29</f>
        <v>1</v>
      </c>
      <c r="F35" s="69">
        <f>LIM!F29</f>
        <v>1</v>
      </c>
      <c r="G35" s="69">
        <f>LIM!G29</f>
        <v>1</v>
      </c>
      <c r="H35" s="69">
        <f>LIM!H29</f>
        <v>1</v>
      </c>
      <c r="I35" s="69">
        <f>LIM!I29</f>
        <v>1</v>
      </c>
      <c r="J35" s="69">
        <f>LIM!J29</f>
        <v>0</v>
      </c>
      <c r="K35" s="69">
        <f>LIM!K29</f>
        <v>0</v>
      </c>
      <c r="L35" s="69">
        <f t="shared" si="0"/>
        <v>5</v>
      </c>
      <c r="M35" s="69">
        <f t="shared" si="1"/>
        <v>5</v>
      </c>
      <c r="N35" s="69">
        <f t="shared" si="2"/>
        <v>4</v>
      </c>
      <c r="O35" s="69">
        <f t="shared" si="3"/>
        <v>4</v>
      </c>
      <c r="P35" s="69">
        <f t="shared" si="4"/>
        <v>4</v>
      </c>
      <c r="Q35" s="69">
        <f t="shared" si="5"/>
        <v>4</v>
      </c>
      <c r="R35" s="70">
        <f t="shared" si="6"/>
        <v>-1.3862943611198906</v>
      </c>
      <c r="S35" s="70">
        <f t="shared" si="7"/>
        <v>-1.3862943611198906</v>
      </c>
      <c r="T35" s="70">
        <f t="shared" si="8"/>
        <v>-1.3359395577789568</v>
      </c>
      <c r="U35" s="70">
        <f t="shared" si="9"/>
        <v>-1.3359395577789568</v>
      </c>
      <c r="V35" s="70">
        <f t="shared" si="10"/>
        <v>1.1180339887498949</v>
      </c>
      <c r="W35" s="70">
        <f t="shared" si="11"/>
        <v>1.1180339887498949</v>
      </c>
      <c r="X35" s="70">
        <f t="shared" si="12"/>
        <v>0</v>
      </c>
      <c r="Y35" s="70">
        <f t="shared" si="13"/>
        <v>1.5811388300841898</v>
      </c>
      <c r="Z35" s="70">
        <f t="shared" si="14"/>
        <v>0</v>
      </c>
      <c r="AA35" s="69" t="str">
        <f t="shared" si="15"/>
        <v>Negligible</v>
      </c>
      <c r="AB35" s="69" t="str">
        <f t="shared" si="16"/>
        <v>Tidak Ada Indikasi Bias</v>
      </c>
    </row>
    <row r="36" spans="1:28" ht="37.5" customHeight="1" x14ac:dyDescent="0.35">
      <c r="A36" s="71" t="str">
        <f>LIM!A30</f>
        <v>26. Bagaimana penggunaan teknologi dapat memengaruhi output di laboratorium</v>
      </c>
      <c r="B36" s="69">
        <f>LIM!B30</f>
        <v>0</v>
      </c>
      <c r="C36" s="69">
        <f>LIM!C30</f>
        <v>0</v>
      </c>
      <c r="D36" s="69">
        <f>LIM!D30</f>
        <v>1</v>
      </c>
      <c r="E36" s="69">
        <f>LIM!E30</f>
        <v>1</v>
      </c>
      <c r="F36" s="69">
        <f>LIM!F30</f>
        <v>1</v>
      </c>
      <c r="G36" s="69">
        <f>LIM!G30</f>
        <v>1</v>
      </c>
      <c r="H36" s="69">
        <f>LIM!H30</f>
        <v>0</v>
      </c>
      <c r="I36" s="69">
        <f>LIM!I30</f>
        <v>0</v>
      </c>
      <c r="J36" s="69">
        <f>LIM!J30</f>
        <v>0</v>
      </c>
      <c r="K36" s="69">
        <f>LIM!K30</f>
        <v>0</v>
      </c>
      <c r="L36" s="69">
        <f t="shared" si="0"/>
        <v>5</v>
      </c>
      <c r="M36" s="69">
        <f t="shared" si="1"/>
        <v>5</v>
      </c>
      <c r="N36" s="69">
        <f t="shared" si="2"/>
        <v>2</v>
      </c>
      <c r="O36" s="69">
        <f t="shared" si="3"/>
        <v>2</v>
      </c>
      <c r="P36" s="69">
        <f t="shared" si="4"/>
        <v>2</v>
      </c>
      <c r="Q36" s="69">
        <f t="shared" si="5"/>
        <v>2</v>
      </c>
      <c r="R36" s="70">
        <f t="shared" si="6"/>
        <v>0.40546510810816438</v>
      </c>
      <c r="S36" s="70">
        <f t="shared" si="7"/>
        <v>0.40546510810816438</v>
      </c>
      <c r="T36" s="70">
        <f t="shared" si="8"/>
        <v>0.45581991144909806</v>
      </c>
      <c r="U36" s="70">
        <f t="shared" si="9"/>
        <v>0.45581991144909806</v>
      </c>
      <c r="V36" s="70">
        <f t="shared" si="10"/>
        <v>0.91287092917527679</v>
      </c>
      <c r="W36" s="70">
        <f t="shared" si="11"/>
        <v>0.91287092917527679</v>
      </c>
      <c r="X36" s="70">
        <f t="shared" si="12"/>
        <v>0</v>
      </c>
      <c r="Y36" s="70">
        <f t="shared" si="13"/>
        <v>1.2909944487358056</v>
      </c>
      <c r="Z36" s="70">
        <f t="shared" si="14"/>
        <v>0</v>
      </c>
      <c r="AA36" s="69" t="str">
        <f t="shared" si="15"/>
        <v>Negligible</v>
      </c>
      <c r="AB36" s="69" t="str">
        <f t="shared" si="16"/>
        <v>Tidak Ada Indikasi Bias</v>
      </c>
    </row>
    <row r="37" spans="1:28" ht="37.5" customHeight="1" x14ac:dyDescent="0.35">
      <c r="A37" s="71" t="str">
        <f>LIM!A31</f>
        <v>27. Dokumen tertulis yang merinci tugas, tanggung jawab, kualifikasi, dan kriteria kinerja yang diharapkan dari individu yang mengisi suatu posisi pekerjaan adalah</v>
      </c>
      <c r="B37" s="69">
        <f>LIM!B31</f>
        <v>1</v>
      </c>
      <c r="C37" s="69">
        <f>LIM!C31</f>
        <v>1</v>
      </c>
      <c r="D37" s="69">
        <f>LIM!D31</f>
        <v>1</v>
      </c>
      <c r="E37" s="69">
        <f>LIM!E31</f>
        <v>1</v>
      </c>
      <c r="F37" s="69">
        <f>LIM!F31</f>
        <v>1</v>
      </c>
      <c r="G37" s="69">
        <f>LIM!G31</f>
        <v>1</v>
      </c>
      <c r="H37" s="69">
        <f>LIM!H31</f>
        <v>1</v>
      </c>
      <c r="I37" s="69">
        <f>LIM!I31</f>
        <v>1</v>
      </c>
      <c r="J37" s="69">
        <f>LIM!J31</f>
        <v>0</v>
      </c>
      <c r="K37" s="69">
        <f>LIM!K31</f>
        <v>0</v>
      </c>
      <c r="L37" s="69">
        <f t="shared" si="0"/>
        <v>5</v>
      </c>
      <c r="M37" s="69">
        <f t="shared" si="1"/>
        <v>5</v>
      </c>
      <c r="N37" s="69">
        <f t="shared" si="2"/>
        <v>4</v>
      </c>
      <c r="O37" s="69">
        <f t="shared" si="3"/>
        <v>4</v>
      </c>
      <c r="P37" s="69">
        <f t="shared" si="4"/>
        <v>4</v>
      </c>
      <c r="Q37" s="69">
        <f t="shared" si="5"/>
        <v>4</v>
      </c>
      <c r="R37" s="70">
        <f t="shared" si="6"/>
        <v>-1.3862943611198906</v>
      </c>
      <c r="S37" s="70">
        <f t="shared" si="7"/>
        <v>-1.3862943611198906</v>
      </c>
      <c r="T37" s="70">
        <f t="shared" si="8"/>
        <v>-1.3359395577789568</v>
      </c>
      <c r="U37" s="70">
        <f t="shared" si="9"/>
        <v>-1.3359395577789568</v>
      </c>
      <c r="V37" s="70">
        <f t="shared" si="10"/>
        <v>1.1180339887498949</v>
      </c>
      <c r="W37" s="70">
        <f t="shared" si="11"/>
        <v>1.1180339887498949</v>
      </c>
      <c r="X37" s="70">
        <f t="shared" si="12"/>
        <v>0</v>
      </c>
      <c r="Y37" s="70">
        <f t="shared" si="13"/>
        <v>1.5811388300841898</v>
      </c>
      <c r="Z37" s="70">
        <f t="shared" si="14"/>
        <v>0</v>
      </c>
      <c r="AA37" s="69" t="str">
        <f t="shared" si="15"/>
        <v>Negligible</v>
      </c>
      <c r="AB37" s="69" t="str">
        <f t="shared" si="16"/>
        <v>Tidak Ada Indikasi Bias</v>
      </c>
    </row>
    <row r="38" spans="1:28" ht="62.5" x14ac:dyDescent="0.35">
      <c r="A38" s="71" t="str">
        <f>LIM!A32</f>
        <v>28. Dokumen yang merinci riwayat hidup seseorang secara lengkap berisi data pendidikan, pengalaman kerja, keterampilan, prestasi, dan pencapaian lainnya</v>
      </c>
      <c r="B38" s="69">
        <f>LIM!B32</f>
        <v>1</v>
      </c>
      <c r="C38" s="69">
        <f>LIM!C32</f>
        <v>1</v>
      </c>
      <c r="D38" s="69">
        <f>LIM!D32</f>
        <v>1</v>
      </c>
      <c r="E38" s="69">
        <f>LIM!E32</f>
        <v>1</v>
      </c>
      <c r="F38" s="69">
        <f>LIM!F32</f>
        <v>1</v>
      </c>
      <c r="G38" s="69">
        <f>LIM!G32</f>
        <v>1</v>
      </c>
      <c r="H38" s="69">
        <f>LIM!H32</f>
        <v>0</v>
      </c>
      <c r="I38" s="69">
        <f>LIM!I32</f>
        <v>0</v>
      </c>
      <c r="J38" s="69">
        <f>LIM!J32</f>
        <v>0</v>
      </c>
      <c r="K38" s="69">
        <f>LIM!K32</f>
        <v>0</v>
      </c>
      <c r="L38" s="69">
        <f t="shared" si="0"/>
        <v>5</v>
      </c>
      <c r="M38" s="69">
        <f t="shared" si="1"/>
        <v>5</v>
      </c>
      <c r="N38" s="69">
        <f t="shared" si="2"/>
        <v>3</v>
      </c>
      <c r="O38" s="69">
        <f t="shared" si="3"/>
        <v>3</v>
      </c>
      <c r="P38" s="69">
        <f t="shared" si="4"/>
        <v>3</v>
      </c>
      <c r="Q38" s="69">
        <f t="shared" si="5"/>
        <v>3</v>
      </c>
      <c r="R38" s="70">
        <f t="shared" si="6"/>
        <v>-0.40546510810816444</v>
      </c>
      <c r="S38" s="70">
        <f t="shared" si="7"/>
        <v>-0.40546510810816444</v>
      </c>
      <c r="T38" s="70">
        <f t="shared" si="8"/>
        <v>-0.35511030476723077</v>
      </c>
      <c r="U38" s="70">
        <f t="shared" si="9"/>
        <v>-0.35511030476723077</v>
      </c>
      <c r="V38" s="70">
        <f t="shared" si="10"/>
        <v>0.91287092917527679</v>
      </c>
      <c r="W38" s="70">
        <f t="shared" si="11"/>
        <v>0.91287092917527679</v>
      </c>
      <c r="X38" s="70">
        <f t="shared" si="12"/>
        <v>0</v>
      </c>
      <c r="Y38" s="70">
        <f t="shared" si="13"/>
        <v>1.2909944487358056</v>
      </c>
      <c r="Z38" s="70">
        <f t="shared" si="14"/>
        <v>0</v>
      </c>
      <c r="AA38" s="69" t="str">
        <f t="shared" si="15"/>
        <v>Negligible</v>
      </c>
      <c r="AB38" s="69" t="str">
        <f t="shared" si="16"/>
        <v>Tidak Ada Indikasi Bias</v>
      </c>
    </row>
    <row r="39" spans="1:28" ht="75" x14ac:dyDescent="0.35">
      <c r="A39" s="71" t="str">
        <f>LIM!A33</f>
        <v>29. Sebelum menduduki jabatan tertentu di Laboratorium diperlukan ...... yang memadai sehingga yang bersangkutan mampu mengerjakan pekerjaan dan menggunakan kemampuannya untuk memecahkan masalah</v>
      </c>
      <c r="B39" s="69">
        <f>LIM!B33</f>
        <v>1</v>
      </c>
      <c r="C39" s="69">
        <f>LIM!C33</f>
        <v>1</v>
      </c>
      <c r="D39" s="69">
        <f>LIM!D33</f>
        <v>0</v>
      </c>
      <c r="E39" s="69">
        <f>LIM!E33</f>
        <v>0</v>
      </c>
      <c r="F39" s="69">
        <f>LIM!F33</f>
        <v>0</v>
      </c>
      <c r="G39" s="69">
        <f>LIM!G33</f>
        <v>0</v>
      </c>
      <c r="H39" s="69">
        <f>LIM!H33</f>
        <v>0</v>
      </c>
      <c r="I39" s="69">
        <f>LIM!I33</f>
        <v>0</v>
      </c>
      <c r="J39" s="69">
        <f>LIM!J33</f>
        <v>0</v>
      </c>
      <c r="K39" s="69">
        <f>LIM!K33</f>
        <v>0</v>
      </c>
      <c r="L39" s="69">
        <f t="shared" si="0"/>
        <v>5</v>
      </c>
      <c r="M39" s="69">
        <f t="shared" si="1"/>
        <v>5</v>
      </c>
      <c r="N39" s="69">
        <f t="shared" si="2"/>
        <v>1</v>
      </c>
      <c r="O39" s="69">
        <f t="shared" si="3"/>
        <v>1</v>
      </c>
      <c r="P39" s="69">
        <f t="shared" si="4"/>
        <v>1</v>
      </c>
      <c r="Q39" s="69">
        <f t="shared" si="5"/>
        <v>1</v>
      </c>
      <c r="R39" s="70">
        <f t="shared" si="6"/>
        <v>1.3862943611198906</v>
      </c>
      <c r="S39" s="70">
        <f t="shared" si="7"/>
        <v>1.3862943611198906</v>
      </c>
      <c r="T39" s="70">
        <f t="shared" si="8"/>
        <v>1.4366491644608244</v>
      </c>
      <c r="U39" s="70">
        <f t="shared" si="9"/>
        <v>1.4366491644608244</v>
      </c>
      <c r="V39" s="70">
        <f t="shared" si="10"/>
        <v>1.1180339887498949</v>
      </c>
      <c r="W39" s="70">
        <f t="shared" si="11"/>
        <v>1.1180339887498949</v>
      </c>
      <c r="X39" s="70">
        <f t="shared" si="12"/>
        <v>0</v>
      </c>
      <c r="Y39" s="70">
        <f t="shared" si="13"/>
        <v>1.5811388300841898</v>
      </c>
      <c r="Z39" s="70">
        <f t="shared" si="14"/>
        <v>0</v>
      </c>
      <c r="AA39" s="69" t="str">
        <f t="shared" si="15"/>
        <v>Negligible</v>
      </c>
      <c r="AB39" s="69" t="str">
        <f t="shared" si="16"/>
        <v>Tidak Ada Indikasi Bias</v>
      </c>
    </row>
    <row r="40" spans="1:28" ht="25" x14ac:dyDescent="0.35">
      <c r="A40" s="71" t="str">
        <f>LIM!A34</f>
        <v>30. Rekaman training personel penting untuk</v>
      </c>
      <c r="B40" s="69">
        <f>LIM!B34</f>
        <v>1</v>
      </c>
      <c r="C40" s="69">
        <f>LIM!C34</f>
        <v>1</v>
      </c>
      <c r="D40" s="69">
        <f>LIM!D34</f>
        <v>1</v>
      </c>
      <c r="E40" s="69">
        <f>LIM!E34</f>
        <v>1</v>
      </c>
      <c r="F40" s="69">
        <f>LIM!F34</f>
        <v>1</v>
      </c>
      <c r="G40" s="69">
        <f>LIM!G34</f>
        <v>1</v>
      </c>
      <c r="H40" s="69">
        <f>LIM!H34</f>
        <v>0</v>
      </c>
      <c r="I40" s="69">
        <f>LIM!I34</f>
        <v>0</v>
      </c>
      <c r="J40" s="69">
        <f>LIM!J34</f>
        <v>0</v>
      </c>
      <c r="K40" s="69">
        <f>LIM!K34</f>
        <v>0</v>
      </c>
      <c r="L40" s="69">
        <f t="shared" si="0"/>
        <v>5</v>
      </c>
      <c r="M40" s="69">
        <f t="shared" si="1"/>
        <v>5</v>
      </c>
      <c r="N40" s="69">
        <f t="shared" si="2"/>
        <v>3</v>
      </c>
      <c r="O40" s="69">
        <f t="shared" si="3"/>
        <v>3</v>
      </c>
      <c r="P40" s="69">
        <f t="shared" si="4"/>
        <v>3</v>
      </c>
      <c r="Q40" s="69">
        <f t="shared" si="5"/>
        <v>3</v>
      </c>
      <c r="R40" s="70">
        <f t="shared" si="6"/>
        <v>-0.40546510810816444</v>
      </c>
      <c r="S40" s="70">
        <f t="shared" si="7"/>
        <v>-0.40546510810816444</v>
      </c>
      <c r="T40" s="70">
        <f t="shared" si="8"/>
        <v>-0.35511030476723077</v>
      </c>
      <c r="U40" s="70">
        <f t="shared" si="9"/>
        <v>-0.35511030476723077</v>
      </c>
      <c r="V40" s="70">
        <f t="shared" si="10"/>
        <v>0.91287092917527679</v>
      </c>
      <c r="W40" s="70">
        <f t="shared" si="11"/>
        <v>0.91287092917527679</v>
      </c>
      <c r="X40" s="70">
        <f t="shared" si="12"/>
        <v>0</v>
      </c>
      <c r="Y40" s="70">
        <f t="shared" si="13"/>
        <v>1.2909944487358056</v>
      </c>
      <c r="Z40" s="70">
        <f t="shared" si="14"/>
        <v>0</v>
      </c>
      <c r="AA40" s="69" t="str">
        <f t="shared" si="15"/>
        <v>Negligible</v>
      </c>
      <c r="AB40" s="69" t="str">
        <f t="shared" si="16"/>
        <v>Tidak Ada Indikasi Bias</v>
      </c>
    </row>
    <row r="41" spans="1:28" ht="37.5" x14ac:dyDescent="0.35">
      <c r="A41" s="71" t="str">
        <f>LIM!A35</f>
        <v>31. Apa tujuan utama dari mengikuti Prosedur Operasional Standar (SOP) di laboratorium</v>
      </c>
      <c r="B41" s="69">
        <f>LIM!B35</f>
        <v>1</v>
      </c>
      <c r="C41" s="69">
        <f>LIM!C35</f>
        <v>1</v>
      </c>
      <c r="D41" s="69">
        <f>LIM!D35</f>
        <v>1</v>
      </c>
      <c r="E41" s="69">
        <f>LIM!E35</f>
        <v>1</v>
      </c>
      <c r="F41" s="69">
        <f>LIM!F35</f>
        <v>1</v>
      </c>
      <c r="G41" s="69">
        <f>LIM!G35</f>
        <v>1</v>
      </c>
      <c r="H41" s="69">
        <f>LIM!H35</f>
        <v>0</v>
      </c>
      <c r="I41" s="69">
        <f>LIM!I35</f>
        <v>0</v>
      </c>
      <c r="J41" s="69">
        <f>LIM!J35</f>
        <v>0</v>
      </c>
      <c r="K41" s="69">
        <f>LIM!K35</f>
        <v>0</v>
      </c>
      <c r="L41" s="69">
        <f t="shared" si="0"/>
        <v>5</v>
      </c>
      <c r="M41" s="69">
        <f t="shared" si="1"/>
        <v>5</v>
      </c>
      <c r="N41" s="69">
        <f t="shared" si="2"/>
        <v>3</v>
      </c>
      <c r="O41" s="69">
        <f t="shared" si="3"/>
        <v>3</v>
      </c>
      <c r="P41" s="69">
        <f t="shared" si="4"/>
        <v>3</v>
      </c>
      <c r="Q41" s="69">
        <f t="shared" si="5"/>
        <v>3</v>
      </c>
      <c r="R41" s="70">
        <f t="shared" si="6"/>
        <v>-0.40546510810816444</v>
      </c>
      <c r="S41" s="70">
        <f t="shared" si="7"/>
        <v>-0.40546510810816444</v>
      </c>
      <c r="T41" s="70">
        <f t="shared" si="8"/>
        <v>-0.35511030476723077</v>
      </c>
      <c r="U41" s="70">
        <f t="shared" si="9"/>
        <v>-0.35511030476723077</v>
      </c>
      <c r="V41" s="70">
        <f t="shared" si="10"/>
        <v>0.91287092917527679</v>
      </c>
      <c r="W41" s="70">
        <f t="shared" si="11"/>
        <v>0.91287092917527679</v>
      </c>
      <c r="X41" s="70">
        <f t="shared" si="12"/>
        <v>0</v>
      </c>
      <c r="Y41" s="70">
        <f t="shared" si="13"/>
        <v>1.2909944487358056</v>
      </c>
      <c r="Z41" s="70">
        <f t="shared" si="14"/>
        <v>0</v>
      </c>
      <c r="AA41" s="69" t="str">
        <f t="shared" si="15"/>
        <v>Negligible</v>
      </c>
      <c r="AB41" s="69" t="str">
        <f t="shared" si="16"/>
        <v>Tidak Ada Indikasi Bias</v>
      </c>
    </row>
    <row r="42" spans="1:28" ht="25" x14ac:dyDescent="0.35">
      <c r="A42" s="71" t="str">
        <f>LIM!A36</f>
        <v>32. Apa yang mungkin terjadi jika personel tidak mengikuti SOP di laboratorium</v>
      </c>
      <c r="B42" s="69">
        <f>LIM!B36</f>
        <v>0</v>
      </c>
      <c r="C42" s="69">
        <f>LIM!C36</f>
        <v>0</v>
      </c>
      <c r="D42" s="69">
        <f>LIM!D36</f>
        <v>1</v>
      </c>
      <c r="E42" s="69">
        <f>LIM!E36</f>
        <v>0</v>
      </c>
      <c r="F42" s="69">
        <f>LIM!F36</f>
        <v>1</v>
      </c>
      <c r="G42" s="69">
        <f>LIM!G36</f>
        <v>0</v>
      </c>
      <c r="H42" s="69">
        <f>LIM!H36</f>
        <v>0</v>
      </c>
      <c r="I42" s="69">
        <f>LIM!I36</f>
        <v>0</v>
      </c>
      <c r="J42" s="69">
        <f>LIM!J36</f>
        <v>0</v>
      </c>
      <c r="K42" s="69">
        <f>LIM!K36</f>
        <v>0</v>
      </c>
      <c r="L42" s="69">
        <f t="shared" si="0"/>
        <v>5</v>
      </c>
      <c r="M42" s="69">
        <f t="shared" si="1"/>
        <v>5</v>
      </c>
      <c r="N42" s="69">
        <f t="shared" si="2"/>
        <v>1</v>
      </c>
      <c r="O42" s="69">
        <f t="shared" si="3"/>
        <v>1</v>
      </c>
      <c r="P42" s="69">
        <f t="shared" si="4"/>
        <v>1</v>
      </c>
      <c r="Q42" s="69">
        <f t="shared" si="5"/>
        <v>1</v>
      </c>
      <c r="R42" s="70">
        <f t="shared" si="6"/>
        <v>1.3862943611198906</v>
      </c>
      <c r="S42" s="70">
        <f t="shared" si="7"/>
        <v>1.3862943611198906</v>
      </c>
      <c r="T42" s="70">
        <f t="shared" si="8"/>
        <v>1.4366491644608244</v>
      </c>
      <c r="U42" s="70">
        <f t="shared" si="9"/>
        <v>1.4366491644608244</v>
      </c>
      <c r="V42" s="70">
        <f t="shared" si="10"/>
        <v>1.1180339887498949</v>
      </c>
      <c r="W42" s="70">
        <f t="shared" si="11"/>
        <v>1.1180339887498949</v>
      </c>
      <c r="X42" s="70">
        <f t="shared" si="12"/>
        <v>0</v>
      </c>
      <c r="Y42" s="70">
        <f t="shared" si="13"/>
        <v>1.5811388300841898</v>
      </c>
      <c r="Z42" s="70">
        <f t="shared" si="14"/>
        <v>0</v>
      </c>
      <c r="AA42" s="69" t="str">
        <f t="shared" si="15"/>
        <v>Negligible</v>
      </c>
      <c r="AB42" s="69" t="str">
        <f t="shared" si="16"/>
        <v>Tidak Ada Indikasi Bias</v>
      </c>
    </row>
    <row r="43" spans="1:28" ht="37.5" x14ac:dyDescent="0.35">
      <c r="A43" s="71" t="str">
        <f>LIM!A37</f>
        <v>33. Siapa yang bertanggung jawab untuk memastikan SOP diikuti dengan benar di laboratorium</v>
      </c>
      <c r="B43" s="69">
        <f>LIM!B37</f>
        <v>1</v>
      </c>
      <c r="C43" s="69">
        <f>LIM!C37</f>
        <v>1</v>
      </c>
      <c r="D43" s="69">
        <f>LIM!D37</f>
        <v>1</v>
      </c>
      <c r="E43" s="69">
        <f>LIM!E37</f>
        <v>1</v>
      </c>
      <c r="F43" s="69">
        <f>LIM!F37</f>
        <v>1</v>
      </c>
      <c r="G43" s="69">
        <f>LIM!G37</f>
        <v>1</v>
      </c>
      <c r="H43" s="69">
        <f>LIM!H37</f>
        <v>0</v>
      </c>
      <c r="I43" s="69">
        <f>LIM!I37</f>
        <v>0</v>
      </c>
      <c r="J43" s="69">
        <f>LIM!J37</f>
        <v>0</v>
      </c>
      <c r="K43" s="69">
        <f>LIM!K37</f>
        <v>0</v>
      </c>
      <c r="L43" s="69">
        <f t="shared" ref="L43:L74" si="17">COUNTIF($B$8:$K$8,"Laki-Laki")</f>
        <v>5</v>
      </c>
      <c r="M43" s="69">
        <f t="shared" ref="M43:M74" si="18">COUNTIF($B$8:$K$8,"Perempuan")</f>
        <v>5</v>
      </c>
      <c r="N43" s="69">
        <f t="shared" ref="N43:N74" si="19">SUMIF($B$8:$K$8,"Laki-Laki",B43:K43)</f>
        <v>3</v>
      </c>
      <c r="O43" s="69">
        <f t="shared" ref="O43:O74" si="20">SUMIF($B$8:$K$8,"Perempuan",B43:K43)</f>
        <v>3</v>
      </c>
      <c r="P43" s="69">
        <f t="shared" ref="P43:P74" si="21">IF(N43=0,0.3,IF(N43=L43,L43-0.3,N43))</f>
        <v>3</v>
      </c>
      <c r="Q43" s="69">
        <f t="shared" ref="Q43:Q74" si="22">IF(O43=0,0.3,IF(O43=M43,M43-0.3,O43))</f>
        <v>3</v>
      </c>
      <c r="R43" s="70">
        <f t="shared" ref="R43:R74" si="23">LN((L43-P43)/P43)</f>
        <v>-0.40546510810816444</v>
      </c>
      <c r="S43" s="70">
        <f t="shared" ref="S43:S74" si="24">LN((M43-Q43)/Q43)</f>
        <v>-0.40546510810816444</v>
      </c>
      <c r="T43" s="70">
        <f t="shared" ref="T43:T74" si="25">R43-AVERAGE($R$11:$R$110)</f>
        <v>-0.35511030476723077</v>
      </c>
      <c r="U43" s="70">
        <f t="shared" ref="U43:U74" si="26">S43-AVERAGE($S$11:$S$110)</f>
        <v>-0.35511030476723077</v>
      </c>
      <c r="V43" s="70">
        <f t="shared" ref="V43:V74" si="27">SQRT(1/P43+1/(L43-P43))</f>
        <v>0.91287092917527679</v>
      </c>
      <c r="W43" s="70">
        <f t="shared" ref="W43:W74" si="28">SQRT(1/Q43+1/(M43-Q43))</f>
        <v>0.91287092917527679</v>
      </c>
      <c r="X43" s="70">
        <f t="shared" ref="X43:X74" si="29">T43-U43</f>
        <v>0</v>
      </c>
      <c r="Y43" s="70">
        <f t="shared" ref="Y43:Y74" si="30">SQRT(V43^2+W43^2)</f>
        <v>1.2909944487358056</v>
      </c>
      <c r="Z43" s="70">
        <f t="shared" ref="Z43:Z74" si="31">X43/Y43</f>
        <v>0</v>
      </c>
      <c r="AA43" s="69" t="str">
        <f t="shared" ref="AA43:AA74" si="32">IF(AND(ABS(X43)&gt;=$B$4,ABS(Z43)&gt;=$B$5),"DIF Besar - review",IF(AND(ABS(X43)&gt;=$B$3,ABS(Z43)&gt;=$B$5),"DIF Moderat - cek","Negligible"))</f>
        <v>Negligible</v>
      </c>
      <c r="AB43" s="69" t="str">
        <f t="shared" ref="AB43:AB74" si="33">IF(ABS(X43)&gt;=$B$4,"Berpotensi Bias - Tinjau Konten",IF(ABS(X43)&gt;=$B$3,"Indikasi Ringan - Pantau","Tidak Ada Indikasi Bias"))</f>
        <v>Tidak Ada Indikasi Bias</v>
      </c>
    </row>
    <row r="44" spans="1:28" ht="25" x14ac:dyDescent="0.35">
      <c r="A44" s="71" t="str">
        <f>LIM!A38</f>
        <v>34. Apa yang harus dilakukan jika ada perubahan dalam SOP di laboratorium</v>
      </c>
      <c r="B44" s="69">
        <f>LIM!B38</f>
        <v>0</v>
      </c>
      <c r="C44" s="69">
        <f>LIM!C38</f>
        <v>0</v>
      </c>
      <c r="D44" s="69">
        <f>LIM!D38</f>
        <v>1</v>
      </c>
      <c r="E44" s="69">
        <f>LIM!E38</f>
        <v>1</v>
      </c>
      <c r="F44" s="69">
        <f>LIM!F38</f>
        <v>1</v>
      </c>
      <c r="G44" s="69">
        <f>LIM!G38</f>
        <v>1</v>
      </c>
      <c r="H44" s="69">
        <f>LIM!H38</f>
        <v>0</v>
      </c>
      <c r="I44" s="69">
        <f>LIM!I38</f>
        <v>0</v>
      </c>
      <c r="J44" s="69">
        <f>LIM!J38</f>
        <v>0</v>
      </c>
      <c r="K44" s="69">
        <f>LIM!K38</f>
        <v>0</v>
      </c>
      <c r="L44" s="69">
        <f t="shared" si="17"/>
        <v>5</v>
      </c>
      <c r="M44" s="69">
        <f t="shared" si="18"/>
        <v>5</v>
      </c>
      <c r="N44" s="69">
        <f t="shared" si="19"/>
        <v>2</v>
      </c>
      <c r="O44" s="69">
        <f t="shared" si="20"/>
        <v>2</v>
      </c>
      <c r="P44" s="69">
        <f t="shared" si="21"/>
        <v>2</v>
      </c>
      <c r="Q44" s="69">
        <f t="shared" si="22"/>
        <v>2</v>
      </c>
      <c r="R44" s="70">
        <f t="shared" si="23"/>
        <v>0.40546510810816438</v>
      </c>
      <c r="S44" s="70">
        <f t="shared" si="24"/>
        <v>0.40546510810816438</v>
      </c>
      <c r="T44" s="70">
        <f t="shared" si="25"/>
        <v>0.45581991144909806</v>
      </c>
      <c r="U44" s="70">
        <f t="shared" si="26"/>
        <v>0.45581991144909806</v>
      </c>
      <c r="V44" s="70">
        <f t="shared" si="27"/>
        <v>0.91287092917527679</v>
      </c>
      <c r="W44" s="70">
        <f t="shared" si="28"/>
        <v>0.91287092917527679</v>
      </c>
      <c r="X44" s="70">
        <f t="shared" si="29"/>
        <v>0</v>
      </c>
      <c r="Y44" s="70">
        <f t="shared" si="30"/>
        <v>1.2909944487358056</v>
      </c>
      <c r="Z44" s="70">
        <f t="shared" si="31"/>
        <v>0</v>
      </c>
      <c r="AA44" s="69" t="str">
        <f t="shared" si="32"/>
        <v>Negligible</v>
      </c>
      <c r="AB44" s="69" t="str">
        <f t="shared" si="33"/>
        <v>Tidak Ada Indikasi Bias</v>
      </c>
    </row>
    <row r="45" spans="1:28" ht="100" x14ac:dyDescent="0.35">
      <c r="A45" s="71" t="str">
        <f>LIM!A39</f>
        <v>35. Aturan atau referensi lain yang digunakan sebagai standar atau panduan untuk mengukur atau mengevaluasi laboratorium, dapat berupa standar internasional, peraturan pemerintah, panduan industri, untuk memastikan bahwa laboratorium mencapai tujuan yang ditetapkan disebut</v>
      </c>
      <c r="B45" s="69">
        <f>LIM!B39</f>
        <v>1</v>
      </c>
      <c r="C45" s="69">
        <f>LIM!C39</f>
        <v>1</v>
      </c>
      <c r="D45" s="69">
        <f>LIM!D39</f>
        <v>1</v>
      </c>
      <c r="E45" s="69">
        <f>LIM!E39</f>
        <v>0</v>
      </c>
      <c r="F45" s="69">
        <f>LIM!F39</f>
        <v>1</v>
      </c>
      <c r="G45" s="69">
        <f>LIM!G39</f>
        <v>0</v>
      </c>
      <c r="H45" s="69">
        <f>LIM!H39</f>
        <v>0</v>
      </c>
      <c r="I45" s="69">
        <f>LIM!I39</f>
        <v>0</v>
      </c>
      <c r="J45" s="69">
        <f>LIM!J39</f>
        <v>0</v>
      </c>
      <c r="K45" s="69">
        <f>LIM!K39</f>
        <v>0</v>
      </c>
      <c r="L45" s="69">
        <f t="shared" si="17"/>
        <v>5</v>
      </c>
      <c r="M45" s="69">
        <f t="shared" si="18"/>
        <v>5</v>
      </c>
      <c r="N45" s="69">
        <f t="shared" si="19"/>
        <v>2</v>
      </c>
      <c r="O45" s="69">
        <f t="shared" si="20"/>
        <v>2</v>
      </c>
      <c r="P45" s="69">
        <f t="shared" si="21"/>
        <v>2</v>
      </c>
      <c r="Q45" s="69">
        <f t="shared" si="22"/>
        <v>2</v>
      </c>
      <c r="R45" s="70">
        <f t="shared" si="23"/>
        <v>0.40546510810816438</v>
      </c>
      <c r="S45" s="70">
        <f t="shared" si="24"/>
        <v>0.40546510810816438</v>
      </c>
      <c r="T45" s="70">
        <f t="shared" si="25"/>
        <v>0.45581991144909806</v>
      </c>
      <c r="U45" s="70">
        <f t="shared" si="26"/>
        <v>0.45581991144909806</v>
      </c>
      <c r="V45" s="70">
        <f t="shared" si="27"/>
        <v>0.91287092917527679</v>
      </c>
      <c r="W45" s="70">
        <f t="shared" si="28"/>
        <v>0.91287092917527679</v>
      </c>
      <c r="X45" s="70">
        <f t="shared" si="29"/>
        <v>0</v>
      </c>
      <c r="Y45" s="70">
        <f t="shared" si="30"/>
        <v>1.2909944487358056</v>
      </c>
      <c r="Z45" s="70">
        <f t="shared" si="31"/>
        <v>0</v>
      </c>
      <c r="AA45" s="69" t="str">
        <f t="shared" si="32"/>
        <v>Negligible</v>
      </c>
      <c r="AB45" s="69" t="str">
        <f t="shared" si="33"/>
        <v>Tidak Ada Indikasi Bias</v>
      </c>
    </row>
    <row r="46" spans="1:28" ht="37.5" x14ac:dyDescent="0.35">
      <c r="A46" s="71" t="str">
        <f>LIM!A40</f>
        <v>36. Standar yang mengatur Konsep dasar, istilah dan Kosakata internasional tentang metrologi adalah</v>
      </c>
      <c r="B46" s="69">
        <f>LIM!B40</f>
        <v>1</v>
      </c>
      <c r="C46" s="69">
        <f>LIM!C40</f>
        <v>1</v>
      </c>
      <c r="D46" s="69">
        <f>LIM!D40</f>
        <v>1</v>
      </c>
      <c r="E46" s="69">
        <f>LIM!E40</f>
        <v>0</v>
      </c>
      <c r="F46" s="69">
        <f>LIM!F40</f>
        <v>1</v>
      </c>
      <c r="G46" s="69">
        <f>LIM!G40</f>
        <v>0</v>
      </c>
      <c r="H46" s="69">
        <f>LIM!H40</f>
        <v>0</v>
      </c>
      <c r="I46" s="69">
        <f>LIM!I40</f>
        <v>0</v>
      </c>
      <c r="J46" s="69">
        <f>LIM!J40</f>
        <v>0</v>
      </c>
      <c r="K46" s="69">
        <f>LIM!K40</f>
        <v>0</v>
      </c>
      <c r="L46" s="69">
        <f t="shared" si="17"/>
        <v>5</v>
      </c>
      <c r="M46" s="69">
        <f t="shared" si="18"/>
        <v>5</v>
      </c>
      <c r="N46" s="69">
        <f t="shared" si="19"/>
        <v>2</v>
      </c>
      <c r="O46" s="69">
        <f t="shared" si="20"/>
        <v>2</v>
      </c>
      <c r="P46" s="69">
        <f t="shared" si="21"/>
        <v>2</v>
      </c>
      <c r="Q46" s="69">
        <f t="shared" si="22"/>
        <v>2</v>
      </c>
      <c r="R46" s="70">
        <f t="shared" si="23"/>
        <v>0.40546510810816438</v>
      </c>
      <c r="S46" s="70">
        <f t="shared" si="24"/>
        <v>0.40546510810816438</v>
      </c>
      <c r="T46" s="70">
        <f t="shared" si="25"/>
        <v>0.45581991144909806</v>
      </c>
      <c r="U46" s="70">
        <f t="shared" si="26"/>
        <v>0.45581991144909806</v>
      </c>
      <c r="V46" s="70">
        <f t="shared" si="27"/>
        <v>0.91287092917527679</v>
      </c>
      <c r="W46" s="70">
        <f t="shared" si="28"/>
        <v>0.91287092917527679</v>
      </c>
      <c r="X46" s="70">
        <f t="shared" si="29"/>
        <v>0</v>
      </c>
      <c r="Y46" s="70">
        <f t="shared" si="30"/>
        <v>1.2909944487358056</v>
      </c>
      <c r="Z46" s="70">
        <f t="shared" si="31"/>
        <v>0</v>
      </c>
      <c r="AA46" s="69" t="str">
        <f t="shared" si="32"/>
        <v>Negligible</v>
      </c>
      <c r="AB46" s="69" t="str">
        <f t="shared" si="33"/>
        <v>Tidak Ada Indikasi Bias</v>
      </c>
    </row>
    <row r="47" spans="1:28" ht="25" x14ac:dyDescent="0.35">
      <c r="A47" s="71" t="str">
        <f>LIM!A41</f>
        <v>37. Standar yang mengatur Kosakata dan prinsip penilaian kesesuaian adalah</v>
      </c>
      <c r="B47" s="69">
        <f>LIM!B41</f>
        <v>1</v>
      </c>
      <c r="C47" s="69">
        <f>LIM!C41</f>
        <v>1</v>
      </c>
      <c r="D47" s="69">
        <f>LIM!D41</f>
        <v>1</v>
      </c>
      <c r="E47" s="69">
        <f>LIM!E41</f>
        <v>1</v>
      </c>
      <c r="F47" s="69">
        <f>LIM!F41</f>
        <v>1</v>
      </c>
      <c r="G47" s="69">
        <f>LIM!G41</f>
        <v>1</v>
      </c>
      <c r="H47" s="69">
        <f>LIM!H41</f>
        <v>1</v>
      </c>
      <c r="I47" s="69">
        <f>LIM!I41</f>
        <v>1</v>
      </c>
      <c r="J47" s="69">
        <f>LIM!J41</f>
        <v>0</v>
      </c>
      <c r="K47" s="69">
        <f>LIM!K41</f>
        <v>0</v>
      </c>
      <c r="L47" s="69">
        <f t="shared" si="17"/>
        <v>5</v>
      </c>
      <c r="M47" s="69">
        <f t="shared" si="18"/>
        <v>5</v>
      </c>
      <c r="N47" s="69">
        <f t="shared" si="19"/>
        <v>4</v>
      </c>
      <c r="O47" s="69">
        <f t="shared" si="20"/>
        <v>4</v>
      </c>
      <c r="P47" s="69">
        <f t="shared" si="21"/>
        <v>4</v>
      </c>
      <c r="Q47" s="69">
        <f t="shared" si="22"/>
        <v>4</v>
      </c>
      <c r="R47" s="70">
        <f t="shared" si="23"/>
        <v>-1.3862943611198906</v>
      </c>
      <c r="S47" s="70">
        <f t="shared" si="24"/>
        <v>-1.3862943611198906</v>
      </c>
      <c r="T47" s="70">
        <f t="shared" si="25"/>
        <v>-1.3359395577789568</v>
      </c>
      <c r="U47" s="70">
        <f t="shared" si="26"/>
        <v>-1.3359395577789568</v>
      </c>
      <c r="V47" s="70">
        <f t="shared" si="27"/>
        <v>1.1180339887498949</v>
      </c>
      <c r="W47" s="70">
        <f t="shared" si="28"/>
        <v>1.1180339887498949</v>
      </c>
      <c r="X47" s="70">
        <f t="shared" si="29"/>
        <v>0</v>
      </c>
      <c r="Y47" s="70">
        <f t="shared" si="30"/>
        <v>1.5811388300841898</v>
      </c>
      <c r="Z47" s="70">
        <f t="shared" si="31"/>
        <v>0</v>
      </c>
      <c r="AA47" s="69" t="str">
        <f t="shared" si="32"/>
        <v>Negligible</v>
      </c>
      <c r="AB47" s="69" t="str">
        <f t="shared" si="33"/>
        <v>Tidak Ada Indikasi Bias</v>
      </c>
    </row>
    <row r="48" spans="1:28" ht="25" x14ac:dyDescent="0.35">
      <c r="A48" s="71" t="str">
        <f>LIM!A42</f>
        <v>38. Persyaratan Umum dalam ISO/IEC 17025 : 2017 meliputi 2 klausul yaitu</v>
      </c>
      <c r="B48" s="69">
        <f>LIM!B42</f>
        <v>1</v>
      </c>
      <c r="C48" s="69">
        <f>LIM!C42</f>
        <v>1</v>
      </c>
      <c r="D48" s="69">
        <f>LIM!D42</f>
        <v>0</v>
      </c>
      <c r="E48" s="69">
        <f>LIM!E42</f>
        <v>1</v>
      </c>
      <c r="F48" s="69">
        <f>LIM!F42</f>
        <v>0</v>
      </c>
      <c r="G48" s="69">
        <f>LIM!G42</f>
        <v>1</v>
      </c>
      <c r="H48" s="69">
        <f>LIM!H42</f>
        <v>0</v>
      </c>
      <c r="I48" s="69">
        <f>LIM!I42</f>
        <v>0</v>
      </c>
      <c r="J48" s="69">
        <f>LIM!J42</f>
        <v>0</v>
      </c>
      <c r="K48" s="69">
        <f>LIM!K42</f>
        <v>0</v>
      </c>
      <c r="L48" s="69">
        <f t="shared" si="17"/>
        <v>5</v>
      </c>
      <c r="M48" s="69">
        <f t="shared" si="18"/>
        <v>5</v>
      </c>
      <c r="N48" s="69">
        <f t="shared" si="19"/>
        <v>2</v>
      </c>
      <c r="O48" s="69">
        <f t="shared" si="20"/>
        <v>2</v>
      </c>
      <c r="P48" s="69">
        <f t="shared" si="21"/>
        <v>2</v>
      </c>
      <c r="Q48" s="69">
        <f t="shared" si="22"/>
        <v>2</v>
      </c>
      <c r="R48" s="70">
        <f t="shared" si="23"/>
        <v>0.40546510810816438</v>
      </c>
      <c r="S48" s="70">
        <f t="shared" si="24"/>
        <v>0.40546510810816438</v>
      </c>
      <c r="T48" s="70">
        <f t="shared" si="25"/>
        <v>0.45581991144909806</v>
      </c>
      <c r="U48" s="70">
        <f t="shared" si="26"/>
        <v>0.45581991144909806</v>
      </c>
      <c r="V48" s="70">
        <f t="shared" si="27"/>
        <v>0.91287092917527679</v>
      </c>
      <c r="W48" s="70">
        <f t="shared" si="28"/>
        <v>0.91287092917527679</v>
      </c>
      <c r="X48" s="70">
        <f t="shared" si="29"/>
        <v>0</v>
      </c>
      <c r="Y48" s="70">
        <f t="shared" si="30"/>
        <v>1.2909944487358056</v>
      </c>
      <c r="Z48" s="70">
        <f t="shared" si="31"/>
        <v>0</v>
      </c>
      <c r="AA48" s="69" t="str">
        <f t="shared" si="32"/>
        <v>Negligible</v>
      </c>
      <c r="AB48" s="69" t="str">
        <f t="shared" si="33"/>
        <v>Tidak Ada Indikasi Bias</v>
      </c>
    </row>
    <row r="49" spans="1:28" ht="62.5" x14ac:dyDescent="0.35">
      <c r="A49" s="71" t="str">
        <f>LIM!A43</f>
        <v>39. Asas yang mengharuskan dan mewajibkan laborarium tidak menyebarluarkan informasi dan segala sesuatu yang berhubungan dengan pelanggan kepada pihak lain adalah</v>
      </c>
      <c r="B49" s="69">
        <f>LIM!B43</f>
        <v>1</v>
      </c>
      <c r="C49" s="69">
        <f>LIM!C43</f>
        <v>1</v>
      </c>
      <c r="D49" s="69">
        <f>LIM!D43</f>
        <v>1</v>
      </c>
      <c r="E49" s="69">
        <f>LIM!E43</f>
        <v>1</v>
      </c>
      <c r="F49" s="69">
        <f>LIM!F43</f>
        <v>1</v>
      </c>
      <c r="G49" s="69">
        <f>LIM!G43</f>
        <v>1</v>
      </c>
      <c r="H49" s="69">
        <f>LIM!H43</f>
        <v>0</v>
      </c>
      <c r="I49" s="69">
        <f>LIM!I43</f>
        <v>0</v>
      </c>
      <c r="J49" s="69">
        <f>LIM!J43</f>
        <v>0</v>
      </c>
      <c r="K49" s="69">
        <f>LIM!K43</f>
        <v>0</v>
      </c>
      <c r="L49" s="69">
        <f t="shared" si="17"/>
        <v>5</v>
      </c>
      <c r="M49" s="69">
        <f t="shared" si="18"/>
        <v>5</v>
      </c>
      <c r="N49" s="69">
        <f t="shared" si="19"/>
        <v>3</v>
      </c>
      <c r="O49" s="69">
        <f t="shared" si="20"/>
        <v>3</v>
      </c>
      <c r="P49" s="69">
        <f t="shared" si="21"/>
        <v>3</v>
      </c>
      <c r="Q49" s="69">
        <f t="shared" si="22"/>
        <v>3</v>
      </c>
      <c r="R49" s="70">
        <f t="shared" si="23"/>
        <v>-0.40546510810816444</v>
      </c>
      <c r="S49" s="70">
        <f t="shared" si="24"/>
        <v>-0.40546510810816444</v>
      </c>
      <c r="T49" s="70">
        <f t="shared" si="25"/>
        <v>-0.35511030476723077</v>
      </c>
      <c r="U49" s="70">
        <f t="shared" si="26"/>
        <v>-0.35511030476723077</v>
      </c>
      <c r="V49" s="70">
        <f t="shared" si="27"/>
        <v>0.91287092917527679</v>
      </c>
      <c r="W49" s="70">
        <f t="shared" si="28"/>
        <v>0.91287092917527679</v>
      </c>
      <c r="X49" s="70">
        <f t="shared" si="29"/>
        <v>0</v>
      </c>
      <c r="Y49" s="70">
        <f t="shared" si="30"/>
        <v>1.2909944487358056</v>
      </c>
      <c r="Z49" s="70">
        <f t="shared" si="31"/>
        <v>0</v>
      </c>
      <c r="AA49" s="69" t="str">
        <f t="shared" si="32"/>
        <v>Negligible</v>
      </c>
      <c r="AB49" s="69" t="str">
        <f t="shared" si="33"/>
        <v>Tidak Ada Indikasi Bias</v>
      </c>
    </row>
    <row r="50" spans="1:28" ht="62.5" x14ac:dyDescent="0.35">
      <c r="A50" s="71" t="str">
        <f>LIM!A44</f>
        <v>40. Komitmen menjaga kerarahasiaan dibuat melalui komitmen yang ..... dalam pengelolaan semua informasi yang diperoleh atau dibuat selama pelaksanaan kegiatan laboratorium</v>
      </c>
      <c r="B50" s="69">
        <f>LIM!B44</f>
        <v>1</v>
      </c>
      <c r="C50" s="69">
        <f>LIM!C44</f>
        <v>1</v>
      </c>
      <c r="D50" s="69">
        <f>LIM!D44</f>
        <v>1</v>
      </c>
      <c r="E50" s="69">
        <f>LIM!E44</f>
        <v>1</v>
      </c>
      <c r="F50" s="69">
        <f>LIM!F44</f>
        <v>1</v>
      </c>
      <c r="G50" s="69">
        <f>LIM!G44</f>
        <v>1</v>
      </c>
      <c r="H50" s="69">
        <f>LIM!H44</f>
        <v>0</v>
      </c>
      <c r="I50" s="69">
        <f>LIM!I44</f>
        <v>0</v>
      </c>
      <c r="J50" s="69">
        <f>LIM!J44</f>
        <v>0</v>
      </c>
      <c r="K50" s="69">
        <f>LIM!K44</f>
        <v>0</v>
      </c>
      <c r="L50" s="69">
        <f t="shared" si="17"/>
        <v>5</v>
      </c>
      <c r="M50" s="69">
        <f t="shared" si="18"/>
        <v>5</v>
      </c>
      <c r="N50" s="69">
        <f t="shared" si="19"/>
        <v>3</v>
      </c>
      <c r="O50" s="69">
        <f t="shared" si="20"/>
        <v>3</v>
      </c>
      <c r="P50" s="69">
        <f t="shared" si="21"/>
        <v>3</v>
      </c>
      <c r="Q50" s="69">
        <f t="shared" si="22"/>
        <v>3</v>
      </c>
      <c r="R50" s="70">
        <f t="shared" si="23"/>
        <v>-0.40546510810816444</v>
      </c>
      <c r="S50" s="70">
        <f t="shared" si="24"/>
        <v>-0.40546510810816444</v>
      </c>
      <c r="T50" s="70">
        <f t="shared" si="25"/>
        <v>-0.35511030476723077</v>
      </c>
      <c r="U50" s="70">
        <f t="shared" si="26"/>
        <v>-0.35511030476723077</v>
      </c>
      <c r="V50" s="70">
        <f t="shared" si="27"/>
        <v>0.91287092917527679</v>
      </c>
      <c r="W50" s="70">
        <f t="shared" si="28"/>
        <v>0.91287092917527679</v>
      </c>
      <c r="X50" s="70">
        <f t="shared" si="29"/>
        <v>0</v>
      </c>
      <c r="Y50" s="70">
        <f t="shared" si="30"/>
        <v>1.2909944487358056</v>
      </c>
      <c r="Z50" s="70">
        <f t="shared" si="31"/>
        <v>0</v>
      </c>
      <c r="AA50" s="69" t="str">
        <f t="shared" si="32"/>
        <v>Negligible</v>
      </c>
      <c r="AB50" s="69" t="str">
        <f t="shared" si="33"/>
        <v>Tidak Ada Indikasi Bias</v>
      </c>
    </row>
    <row r="51" spans="1:28" ht="50" x14ac:dyDescent="0.35">
      <c r="A51" s="71" t="str">
        <f>LIM!A45</f>
        <v>41. Jika laboratorium menyampaikan hasil pengujian pelanggan A kepada pihak lain, maka pelanggan A harus ...... mengenai informasi tersebut</v>
      </c>
      <c r="B51" s="69">
        <f>LIM!B45</f>
        <v>0</v>
      </c>
      <c r="C51" s="69">
        <f>LIM!C45</f>
        <v>0</v>
      </c>
      <c r="D51" s="69">
        <f>LIM!D45</f>
        <v>1</v>
      </c>
      <c r="E51" s="69">
        <f>LIM!E45</f>
        <v>1</v>
      </c>
      <c r="F51" s="69">
        <f>LIM!F45</f>
        <v>1</v>
      </c>
      <c r="G51" s="69">
        <f>LIM!G45</f>
        <v>1</v>
      </c>
      <c r="H51" s="69">
        <f>LIM!H45</f>
        <v>0</v>
      </c>
      <c r="I51" s="69">
        <f>LIM!I45</f>
        <v>0</v>
      </c>
      <c r="J51" s="69">
        <f>LIM!J45</f>
        <v>0</v>
      </c>
      <c r="K51" s="69">
        <f>LIM!K45</f>
        <v>0</v>
      </c>
      <c r="L51" s="69">
        <f t="shared" si="17"/>
        <v>5</v>
      </c>
      <c r="M51" s="69">
        <f t="shared" si="18"/>
        <v>5</v>
      </c>
      <c r="N51" s="69">
        <f t="shared" si="19"/>
        <v>2</v>
      </c>
      <c r="O51" s="69">
        <f t="shared" si="20"/>
        <v>2</v>
      </c>
      <c r="P51" s="69">
        <f t="shared" si="21"/>
        <v>2</v>
      </c>
      <c r="Q51" s="69">
        <f t="shared" si="22"/>
        <v>2</v>
      </c>
      <c r="R51" s="70">
        <f t="shared" si="23"/>
        <v>0.40546510810816438</v>
      </c>
      <c r="S51" s="70">
        <f t="shared" si="24"/>
        <v>0.40546510810816438</v>
      </c>
      <c r="T51" s="70">
        <f t="shared" si="25"/>
        <v>0.45581991144909806</v>
      </c>
      <c r="U51" s="70">
        <f t="shared" si="26"/>
        <v>0.45581991144909806</v>
      </c>
      <c r="V51" s="70">
        <f t="shared" si="27"/>
        <v>0.91287092917527679</v>
      </c>
      <c r="W51" s="70">
        <f t="shared" si="28"/>
        <v>0.91287092917527679</v>
      </c>
      <c r="X51" s="70">
        <f t="shared" si="29"/>
        <v>0</v>
      </c>
      <c r="Y51" s="70">
        <f t="shared" si="30"/>
        <v>1.2909944487358056</v>
      </c>
      <c r="Z51" s="70">
        <f t="shared" si="31"/>
        <v>0</v>
      </c>
      <c r="AA51" s="69" t="str">
        <f t="shared" si="32"/>
        <v>Negligible</v>
      </c>
      <c r="AB51" s="69" t="str">
        <f t="shared" si="33"/>
        <v>Tidak Ada Indikasi Bias</v>
      </c>
    </row>
    <row r="52" spans="1:28" ht="37.5" x14ac:dyDescent="0.35">
      <c r="A52" s="71" t="str">
        <f>LIM!A46</f>
        <v>42. Personel lab yang memiliki tanggung jawab keseluruhan operasional laboratorium adalah</v>
      </c>
      <c r="B52" s="69">
        <f>LIM!B46</f>
        <v>1</v>
      </c>
      <c r="C52" s="69">
        <f>LIM!C46</f>
        <v>1</v>
      </c>
      <c r="D52" s="69">
        <f>LIM!D46</f>
        <v>0</v>
      </c>
      <c r="E52" s="69">
        <f>LIM!E46</f>
        <v>1</v>
      </c>
      <c r="F52" s="69">
        <f>LIM!F46</f>
        <v>0</v>
      </c>
      <c r="G52" s="69">
        <f>LIM!G46</f>
        <v>1</v>
      </c>
      <c r="H52" s="69">
        <f>LIM!H46</f>
        <v>0</v>
      </c>
      <c r="I52" s="69">
        <f>LIM!I46</f>
        <v>0</v>
      </c>
      <c r="J52" s="69">
        <f>LIM!J46</f>
        <v>0</v>
      </c>
      <c r="K52" s="69">
        <f>LIM!K46</f>
        <v>0</v>
      </c>
      <c r="L52" s="69">
        <f t="shared" si="17"/>
        <v>5</v>
      </c>
      <c r="M52" s="69">
        <f t="shared" si="18"/>
        <v>5</v>
      </c>
      <c r="N52" s="69">
        <f t="shared" si="19"/>
        <v>2</v>
      </c>
      <c r="O52" s="69">
        <f t="shared" si="20"/>
        <v>2</v>
      </c>
      <c r="P52" s="69">
        <f t="shared" si="21"/>
        <v>2</v>
      </c>
      <c r="Q52" s="69">
        <f t="shared" si="22"/>
        <v>2</v>
      </c>
      <c r="R52" s="70">
        <f t="shared" si="23"/>
        <v>0.40546510810816438</v>
      </c>
      <c r="S52" s="70">
        <f t="shared" si="24"/>
        <v>0.40546510810816438</v>
      </c>
      <c r="T52" s="70">
        <f t="shared" si="25"/>
        <v>0.45581991144909806</v>
      </c>
      <c r="U52" s="70">
        <f t="shared" si="26"/>
        <v>0.45581991144909806</v>
      </c>
      <c r="V52" s="70">
        <f t="shared" si="27"/>
        <v>0.91287092917527679</v>
      </c>
      <c r="W52" s="70">
        <f t="shared" si="28"/>
        <v>0.91287092917527679</v>
      </c>
      <c r="X52" s="70">
        <f t="shared" si="29"/>
        <v>0</v>
      </c>
      <c r="Y52" s="70">
        <f t="shared" si="30"/>
        <v>1.2909944487358056</v>
      </c>
      <c r="Z52" s="70">
        <f t="shared" si="31"/>
        <v>0</v>
      </c>
      <c r="AA52" s="69" t="str">
        <f t="shared" si="32"/>
        <v>Negligible</v>
      </c>
      <c r="AB52" s="69" t="str">
        <f t="shared" si="33"/>
        <v>Tidak Ada Indikasi Bias</v>
      </c>
    </row>
    <row r="53" spans="1:28" ht="62.5" customHeight="1" x14ac:dyDescent="0.35">
      <c r="A53" s="71" t="str">
        <f>LIM!A47</f>
        <v>43. Susunan hierarki dan fungsi yang diatur secara formal, mencakup pembagian tanggung jawab, wewenang, dan hubungan kerja antara berbagai individu di dalam laboratorium</v>
      </c>
      <c r="B53" s="69">
        <f>LIM!B47</f>
        <v>1</v>
      </c>
      <c r="C53" s="69">
        <f>LIM!C47</f>
        <v>1</v>
      </c>
      <c r="D53" s="69">
        <f>LIM!D47</f>
        <v>1</v>
      </c>
      <c r="E53" s="69">
        <f>LIM!E47</f>
        <v>1</v>
      </c>
      <c r="F53" s="69">
        <f>LIM!F47</f>
        <v>1</v>
      </c>
      <c r="G53" s="69">
        <f>LIM!G47</f>
        <v>1</v>
      </c>
      <c r="H53" s="69">
        <f>LIM!H47</f>
        <v>1</v>
      </c>
      <c r="I53" s="69">
        <f>LIM!I47</f>
        <v>1</v>
      </c>
      <c r="J53" s="69">
        <f>LIM!J47</f>
        <v>0</v>
      </c>
      <c r="K53" s="69">
        <f>LIM!K47</f>
        <v>0</v>
      </c>
      <c r="L53" s="69">
        <f t="shared" si="17"/>
        <v>5</v>
      </c>
      <c r="M53" s="69">
        <f t="shared" si="18"/>
        <v>5</v>
      </c>
      <c r="N53" s="69">
        <f t="shared" si="19"/>
        <v>4</v>
      </c>
      <c r="O53" s="69">
        <f t="shared" si="20"/>
        <v>4</v>
      </c>
      <c r="P53" s="69">
        <f t="shared" si="21"/>
        <v>4</v>
      </c>
      <c r="Q53" s="69">
        <f t="shared" si="22"/>
        <v>4</v>
      </c>
      <c r="R53" s="70">
        <f t="shared" si="23"/>
        <v>-1.3862943611198906</v>
      </c>
      <c r="S53" s="70">
        <f t="shared" si="24"/>
        <v>-1.3862943611198906</v>
      </c>
      <c r="T53" s="70">
        <f t="shared" si="25"/>
        <v>-1.3359395577789568</v>
      </c>
      <c r="U53" s="70">
        <f t="shared" si="26"/>
        <v>-1.3359395577789568</v>
      </c>
      <c r="V53" s="70">
        <f t="shared" si="27"/>
        <v>1.1180339887498949</v>
      </c>
      <c r="W53" s="70">
        <f t="shared" si="28"/>
        <v>1.1180339887498949</v>
      </c>
      <c r="X53" s="70">
        <f t="shared" si="29"/>
        <v>0</v>
      </c>
      <c r="Y53" s="70">
        <f t="shared" si="30"/>
        <v>1.5811388300841898</v>
      </c>
      <c r="Z53" s="70">
        <f t="shared" si="31"/>
        <v>0</v>
      </c>
      <c r="AA53" s="69" t="str">
        <f t="shared" si="32"/>
        <v>Negligible</v>
      </c>
      <c r="AB53" s="69" t="str">
        <f t="shared" si="33"/>
        <v>Tidak Ada Indikasi Bias</v>
      </c>
    </row>
    <row r="54" spans="1:28" ht="37.5" x14ac:dyDescent="0.35">
      <c r="A54" s="71" t="str">
        <f>LIM!A48</f>
        <v>44. Sesuai klausul 5 ISO/IEC 17025 : 2017, jabatan yang WAJIB ada di laboratorium adalah .... (kecuali)</v>
      </c>
      <c r="B54" s="69">
        <f>LIM!B48</f>
        <v>1</v>
      </c>
      <c r="C54" s="69">
        <f>LIM!C48</f>
        <v>1</v>
      </c>
      <c r="D54" s="69">
        <f>LIM!D48</f>
        <v>1</v>
      </c>
      <c r="E54" s="69">
        <f>LIM!E48</f>
        <v>1</v>
      </c>
      <c r="F54" s="69">
        <f>LIM!F48</f>
        <v>1</v>
      </c>
      <c r="G54" s="69">
        <f>LIM!G48</f>
        <v>1</v>
      </c>
      <c r="H54" s="69">
        <f>LIM!H48</f>
        <v>1</v>
      </c>
      <c r="I54" s="69">
        <f>LIM!I48</f>
        <v>1</v>
      </c>
      <c r="J54" s="69">
        <f>LIM!J48</f>
        <v>0</v>
      </c>
      <c r="K54" s="69">
        <f>LIM!K48</f>
        <v>0</v>
      </c>
      <c r="L54" s="69">
        <f t="shared" si="17"/>
        <v>5</v>
      </c>
      <c r="M54" s="69">
        <f t="shared" si="18"/>
        <v>5</v>
      </c>
      <c r="N54" s="69">
        <f t="shared" si="19"/>
        <v>4</v>
      </c>
      <c r="O54" s="69">
        <f t="shared" si="20"/>
        <v>4</v>
      </c>
      <c r="P54" s="69">
        <f t="shared" si="21"/>
        <v>4</v>
      </c>
      <c r="Q54" s="69">
        <f t="shared" si="22"/>
        <v>4</v>
      </c>
      <c r="R54" s="70">
        <f t="shared" si="23"/>
        <v>-1.3862943611198906</v>
      </c>
      <c r="S54" s="70">
        <f t="shared" si="24"/>
        <v>-1.3862943611198906</v>
      </c>
      <c r="T54" s="70">
        <f t="shared" si="25"/>
        <v>-1.3359395577789568</v>
      </c>
      <c r="U54" s="70">
        <f t="shared" si="26"/>
        <v>-1.3359395577789568</v>
      </c>
      <c r="V54" s="70">
        <f t="shared" si="27"/>
        <v>1.1180339887498949</v>
      </c>
      <c r="W54" s="70">
        <f t="shared" si="28"/>
        <v>1.1180339887498949</v>
      </c>
      <c r="X54" s="70">
        <f t="shared" si="29"/>
        <v>0</v>
      </c>
      <c r="Y54" s="70">
        <f t="shared" si="30"/>
        <v>1.5811388300841898</v>
      </c>
      <c r="Z54" s="70">
        <f t="shared" si="31"/>
        <v>0</v>
      </c>
      <c r="AA54" s="69" t="str">
        <f t="shared" si="32"/>
        <v>Negligible</v>
      </c>
      <c r="AB54" s="69" t="str">
        <f t="shared" si="33"/>
        <v>Tidak Ada Indikasi Bias</v>
      </c>
    </row>
    <row r="55" spans="1:28" ht="37.5" customHeight="1" x14ac:dyDescent="0.35">
      <c r="A55" s="71" t="str">
        <f>LIM!A49</f>
        <v>45. Perseonal yang bertanggung jawab, mengelola, melaksanakan atau memverifikasi pekerjaan yang memengaruhi hasil kegiatan laboratorium adalah</v>
      </c>
      <c r="B55" s="69">
        <f>LIM!B49</f>
        <v>1</v>
      </c>
      <c r="C55" s="69">
        <f>LIM!C49</f>
        <v>1</v>
      </c>
      <c r="D55" s="69">
        <f>LIM!D49</f>
        <v>1</v>
      </c>
      <c r="E55" s="69">
        <f>LIM!E49</f>
        <v>1</v>
      </c>
      <c r="F55" s="69">
        <f>LIM!F49</f>
        <v>1</v>
      </c>
      <c r="G55" s="69">
        <f>LIM!G49</f>
        <v>1</v>
      </c>
      <c r="H55" s="69">
        <f>LIM!H49</f>
        <v>1</v>
      </c>
      <c r="I55" s="69">
        <f>LIM!I49</f>
        <v>1</v>
      </c>
      <c r="J55" s="69">
        <f>LIM!J49</f>
        <v>0</v>
      </c>
      <c r="K55" s="69">
        <f>LIM!K49</f>
        <v>0</v>
      </c>
      <c r="L55" s="69">
        <f t="shared" si="17"/>
        <v>5</v>
      </c>
      <c r="M55" s="69">
        <f t="shared" si="18"/>
        <v>5</v>
      </c>
      <c r="N55" s="69">
        <f t="shared" si="19"/>
        <v>4</v>
      </c>
      <c r="O55" s="69">
        <f t="shared" si="20"/>
        <v>4</v>
      </c>
      <c r="P55" s="69">
        <f t="shared" si="21"/>
        <v>4</v>
      </c>
      <c r="Q55" s="69">
        <f t="shared" si="22"/>
        <v>4</v>
      </c>
      <c r="R55" s="70">
        <f t="shared" si="23"/>
        <v>-1.3862943611198906</v>
      </c>
      <c r="S55" s="70">
        <f t="shared" si="24"/>
        <v>-1.3862943611198906</v>
      </c>
      <c r="T55" s="70">
        <f t="shared" si="25"/>
        <v>-1.3359395577789568</v>
      </c>
      <c r="U55" s="70">
        <f t="shared" si="26"/>
        <v>-1.3359395577789568</v>
      </c>
      <c r="V55" s="70">
        <f t="shared" si="27"/>
        <v>1.1180339887498949</v>
      </c>
      <c r="W55" s="70">
        <f t="shared" si="28"/>
        <v>1.1180339887498949</v>
      </c>
      <c r="X55" s="70">
        <f t="shared" si="29"/>
        <v>0</v>
      </c>
      <c r="Y55" s="70">
        <f t="shared" si="30"/>
        <v>1.5811388300841898</v>
      </c>
      <c r="Z55" s="70">
        <f t="shared" si="31"/>
        <v>0</v>
      </c>
      <c r="AA55" s="69" t="str">
        <f t="shared" si="32"/>
        <v>Negligible</v>
      </c>
      <c r="AB55" s="69" t="str">
        <f t="shared" si="33"/>
        <v>Tidak Ada Indikasi Bias</v>
      </c>
    </row>
    <row r="56" spans="1:28" ht="62.5" x14ac:dyDescent="0.35">
      <c r="A56" s="71" t="str">
        <f>LIM!A50</f>
        <v>46. Perseonal yang bertanggung jawab dalam penerapan, pemeliharaan dan peningkatan sistem manajemen, identifikasi penyimpangan dari sistem manajemen kegiatan laboratorium</v>
      </c>
      <c r="B56" s="69">
        <f>LIM!B50</f>
        <v>1</v>
      </c>
      <c r="C56" s="69">
        <f>LIM!C50</f>
        <v>1</v>
      </c>
      <c r="D56" s="69">
        <f>LIM!D50</f>
        <v>1</v>
      </c>
      <c r="E56" s="69">
        <f>LIM!E50</f>
        <v>1</v>
      </c>
      <c r="F56" s="69">
        <f>LIM!F50</f>
        <v>1</v>
      </c>
      <c r="G56" s="69">
        <f>LIM!G50</f>
        <v>1</v>
      </c>
      <c r="H56" s="69">
        <f>LIM!H50</f>
        <v>0</v>
      </c>
      <c r="I56" s="69">
        <f>LIM!I50</f>
        <v>0</v>
      </c>
      <c r="J56" s="69">
        <f>LIM!J50</f>
        <v>1</v>
      </c>
      <c r="K56" s="69">
        <f>LIM!K50</f>
        <v>1</v>
      </c>
      <c r="L56" s="69">
        <f t="shared" si="17"/>
        <v>5</v>
      </c>
      <c r="M56" s="69">
        <f t="shared" si="18"/>
        <v>5</v>
      </c>
      <c r="N56" s="69">
        <f t="shared" si="19"/>
        <v>4</v>
      </c>
      <c r="O56" s="69">
        <f t="shared" si="20"/>
        <v>4</v>
      </c>
      <c r="P56" s="69">
        <f t="shared" si="21"/>
        <v>4</v>
      </c>
      <c r="Q56" s="69">
        <f t="shared" si="22"/>
        <v>4</v>
      </c>
      <c r="R56" s="70">
        <f t="shared" si="23"/>
        <v>-1.3862943611198906</v>
      </c>
      <c r="S56" s="70">
        <f t="shared" si="24"/>
        <v>-1.3862943611198906</v>
      </c>
      <c r="T56" s="70">
        <f t="shared" si="25"/>
        <v>-1.3359395577789568</v>
      </c>
      <c r="U56" s="70">
        <f t="shared" si="26"/>
        <v>-1.3359395577789568</v>
      </c>
      <c r="V56" s="70">
        <f t="shared" si="27"/>
        <v>1.1180339887498949</v>
      </c>
      <c r="W56" s="70">
        <f t="shared" si="28"/>
        <v>1.1180339887498949</v>
      </c>
      <c r="X56" s="70">
        <f t="shared" si="29"/>
        <v>0</v>
      </c>
      <c r="Y56" s="70">
        <f t="shared" si="30"/>
        <v>1.5811388300841898</v>
      </c>
      <c r="Z56" s="70">
        <f t="shared" si="31"/>
        <v>0</v>
      </c>
      <c r="AA56" s="69" t="str">
        <f t="shared" si="32"/>
        <v>Negligible</v>
      </c>
      <c r="AB56" s="69" t="str">
        <f t="shared" si="33"/>
        <v>Tidak Ada Indikasi Bias</v>
      </c>
    </row>
    <row r="57" spans="1:28" ht="50" customHeight="1" x14ac:dyDescent="0.35">
      <c r="A57" s="71" t="str">
        <f>LIM!A51</f>
        <v>47. Kondisi Lingkungan laboratorium Yang TIDAK PERLU dipantau</v>
      </c>
      <c r="B57" s="69">
        <f>LIM!B51</f>
        <v>1</v>
      </c>
      <c r="C57" s="69">
        <f>LIM!C51</f>
        <v>1</v>
      </c>
      <c r="D57" s="69">
        <f>LIM!D51</f>
        <v>1</v>
      </c>
      <c r="E57" s="69">
        <f>LIM!E51</f>
        <v>1</v>
      </c>
      <c r="F57" s="69">
        <f>LIM!F51</f>
        <v>1</v>
      </c>
      <c r="G57" s="69">
        <f>LIM!G51</f>
        <v>1</v>
      </c>
      <c r="H57" s="69">
        <f>LIM!H51</f>
        <v>1</v>
      </c>
      <c r="I57" s="69">
        <f>LIM!I51</f>
        <v>1</v>
      </c>
      <c r="J57" s="69">
        <f>LIM!J51</f>
        <v>0</v>
      </c>
      <c r="K57" s="69">
        <f>LIM!K51</f>
        <v>0</v>
      </c>
      <c r="L57" s="69">
        <f t="shared" si="17"/>
        <v>5</v>
      </c>
      <c r="M57" s="69">
        <f t="shared" si="18"/>
        <v>5</v>
      </c>
      <c r="N57" s="69">
        <f t="shared" si="19"/>
        <v>4</v>
      </c>
      <c r="O57" s="69">
        <f t="shared" si="20"/>
        <v>4</v>
      </c>
      <c r="P57" s="69">
        <f t="shared" si="21"/>
        <v>4</v>
      </c>
      <c r="Q57" s="69">
        <f t="shared" si="22"/>
        <v>4</v>
      </c>
      <c r="R57" s="70">
        <f t="shared" si="23"/>
        <v>-1.3862943611198906</v>
      </c>
      <c r="S57" s="70">
        <f t="shared" si="24"/>
        <v>-1.3862943611198906</v>
      </c>
      <c r="T57" s="70">
        <f t="shared" si="25"/>
        <v>-1.3359395577789568</v>
      </c>
      <c r="U57" s="70">
        <f t="shared" si="26"/>
        <v>-1.3359395577789568</v>
      </c>
      <c r="V57" s="70">
        <f t="shared" si="27"/>
        <v>1.1180339887498949</v>
      </c>
      <c r="W57" s="70">
        <f t="shared" si="28"/>
        <v>1.1180339887498949</v>
      </c>
      <c r="X57" s="70">
        <f t="shared" si="29"/>
        <v>0</v>
      </c>
      <c r="Y57" s="70">
        <f t="shared" si="30"/>
        <v>1.5811388300841898</v>
      </c>
      <c r="Z57" s="70">
        <f t="shared" si="31"/>
        <v>0</v>
      </c>
      <c r="AA57" s="69" t="str">
        <f t="shared" si="32"/>
        <v>Negligible</v>
      </c>
      <c r="AB57" s="69" t="str">
        <f t="shared" si="33"/>
        <v>Tidak Ada Indikasi Bias</v>
      </c>
    </row>
    <row r="58" spans="1:28" ht="50" customHeight="1" x14ac:dyDescent="0.35">
      <c r="A58" s="71" t="str">
        <f>LIM!A52</f>
        <v>48. Tata letak atau susunan fisik dari peralatan, ruang kerja, dan infrastruktur didesain dengan memperhatikan efisiensi operasional, keamanan, keteraturan, dan kenyamanan pengguna dalam menjalankan adalah</v>
      </c>
      <c r="B58" s="69">
        <f>LIM!B52</f>
        <v>1</v>
      </c>
      <c r="C58" s="69">
        <f>LIM!C52</f>
        <v>1</v>
      </c>
      <c r="D58" s="69">
        <f>LIM!D52</f>
        <v>0</v>
      </c>
      <c r="E58" s="69">
        <f>LIM!E52</f>
        <v>0</v>
      </c>
      <c r="F58" s="69">
        <f>LIM!F52</f>
        <v>0</v>
      </c>
      <c r="G58" s="69">
        <f>LIM!G52</f>
        <v>0</v>
      </c>
      <c r="H58" s="69">
        <f>LIM!H52</f>
        <v>0</v>
      </c>
      <c r="I58" s="69">
        <f>LIM!I52</f>
        <v>0</v>
      </c>
      <c r="J58" s="69">
        <f>LIM!J52</f>
        <v>0</v>
      </c>
      <c r="K58" s="69">
        <f>LIM!K52</f>
        <v>0</v>
      </c>
      <c r="L58" s="69">
        <f t="shared" si="17"/>
        <v>5</v>
      </c>
      <c r="M58" s="69">
        <f t="shared" si="18"/>
        <v>5</v>
      </c>
      <c r="N58" s="69">
        <f t="shared" si="19"/>
        <v>1</v>
      </c>
      <c r="O58" s="69">
        <f t="shared" si="20"/>
        <v>1</v>
      </c>
      <c r="P58" s="69">
        <f t="shared" si="21"/>
        <v>1</v>
      </c>
      <c r="Q58" s="69">
        <f t="shared" si="22"/>
        <v>1</v>
      </c>
      <c r="R58" s="70">
        <f t="shared" si="23"/>
        <v>1.3862943611198906</v>
      </c>
      <c r="S58" s="70">
        <f t="shared" si="24"/>
        <v>1.3862943611198906</v>
      </c>
      <c r="T58" s="70">
        <f t="shared" si="25"/>
        <v>1.4366491644608244</v>
      </c>
      <c r="U58" s="70">
        <f t="shared" si="26"/>
        <v>1.4366491644608244</v>
      </c>
      <c r="V58" s="70">
        <f t="shared" si="27"/>
        <v>1.1180339887498949</v>
      </c>
      <c r="W58" s="70">
        <f t="shared" si="28"/>
        <v>1.1180339887498949</v>
      </c>
      <c r="X58" s="70">
        <f t="shared" si="29"/>
        <v>0</v>
      </c>
      <c r="Y58" s="70">
        <f t="shared" si="30"/>
        <v>1.5811388300841898</v>
      </c>
      <c r="Z58" s="70">
        <f t="shared" si="31"/>
        <v>0</v>
      </c>
      <c r="AA58" s="69" t="str">
        <f t="shared" si="32"/>
        <v>Negligible</v>
      </c>
      <c r="AB58" s="69" t="str">
        <f t="shared" si="33"/>
        <v>Tidak Ada Indikasi Bias</v>
      </c>
    </row>
    <row r="59" spans="1:28" ht="50" customHeight="1" x14ac:dyDescent="0.35">
      <c r="A59" s="71" t="str">
        <f>LIM!A53</f>
        <v>49. Setelah diperbaiki, peralatan difungsikan kembali,personel teknis harus</v>
      </c>
      <c r="B59" s="69">
        <f>LIM!B53</f>
        <v>1</v>
      </c>
      <c r="C59" s="69">
        <f>LIM!C53</f>
        <v>1</v>
      </c>
      <c r="D59" s="69">
        <f>LIM!D53</f>
        <v>1</v>
      </c>
      <c r="E59" s="69">
        <f>LIM!E53</f>
        <v>1</v>
      </c>
      <c r="F59" s="69">
        <f>LIM!F53</f>
        <v>1</v>
      </c>
      <c r="G59" s="69">
        <f>LIM!G53</f>
        <v>1</v>
      </c>
      <c r="H59" s="69">
        <f>LIM!H53</f>
        <v>0</v>
      </c>
      <c r="I59" s="69">
        <f>LIM!I53</f>
        <v>0</v>
      </c>
      <c r="J59" s="69">
        <f>LIM!J53</f>
        <v>0</v>
      </c>
      <c r="K59" s="69">
        <f>LIM!K53</f>
        <v>0</v>
      </c>
      <c r="L59" s="69">
        <f t="shared" si="17"/>
        <v>5</v>
      </c>
      <c r="M59" s="69">
        <f t="shared" si="18"/>
        <v>5</v>
      </c>
      <c r="N59" s="69">
        <f t="shared" si="19"/>
        <v>3</v>
      </c>
      <c r="O59" s="69">
        <f t="shared" si="20"/>
        <v>3</v>
      </c>
      <c r="P59" s="69">
        <f t="shared" si="21"/>
        <v>3</v>
      </c>
      <c r="Q59" s="69">
        <f t="shared" si="22"/>
        <v>3</v>
      </c>
      <c r="R59" s="70">
        <f t="shared" si="23"/>
        <v>-0.40546510810816444</v>
      </c>
      <c r="S59" s="70">
        <f t="shared" si="24"/>
        <v>-0.40546510810816444</v>
      </c>
      <c r="T59" s="70">
        <f t="shared" si="25"/>
        <v>-0.35511030476723077</v>
      </c>
      <c r="U59" s="70">
        <f t="shared" si="26"/>
        <v>-0.35511030476723077</v>
      </c>
      <c r="V59" s="70">
        <f t="shared" si="27"/>
        <v>0.91287092917527679</v>
      </c>
      <c r="W59" s="70">
        <f t="shared" si="28"/>
        <v>0.91287092917527679</v>
      </c>
      <c r="X59" s="70">
        <f t="shared" si="29"/>
        <v>0</v>
      </c>
      <c r="Y59" s="70">
        <f t="shared" si="30"/>
        <v>1.2909944487358056</v>
      </c>
      <c r="Z59" s="70">
        <f t="shared" si="31"/>
        <v>0</v>
      </c>
      <c r="AA59" s="69" t="str">
        <f t="shared" si="32"/>
        <v>Negligible</v>
      </c>
      <c r="AB59" s="69" t="str">
        <f t="shared" si="33"/>
        <v>Tidak Ada Indikasi Bias</v>
      </c>
    </row>
    <row r="60" spans="1:28" ht="37.5" x14ac:dyDescent="0.35">
      <c r="A60" s="71" t="str">
        <f>LIM!A54</f>
        <v>50. Dokumen yang menguraikan tentang tahapan / cara kerja penggunaan alat dan instrumen disebut</v>
      </c>
      <c r="B60" s="69">
        <f>LIM!B54</f>
        <v>1</v>
      </c>
      <c r="C60" s="69">
        <f>LIM!C54</f>
        <v>1</v>
      </c>
      <c r="D60" s="69">
        <f>LIM!D54</f>
        <v>1</v>
      </c>
      <c r="E60" s="69">
        <f>LIM!E54</f>
        <v>1</v>
      </c>
      <c r="F60" s="69">
        <f>LIM!F54</f>
        <v>1</v>
      </c>
      <c r="G60" s="69">
        <f>LIM!G54</f>
        <v>1</v>
      </c>
      <c r="H60" s="69">
        <f>LIM!H54</f>
        <v>0</v>
      </c>
      <c r="I60" s="69">
        <f>LIM!I54</f>
        <v>0</v>
      </c>
      <c r="J60" s="69">
        <f>LIM!J54</f>
        <v>1</v>
      </c>
      <c r="K60" s="69">
        <f>LIM!K54</f>
        <v>1</v>
      </c>
      <c r="L60" s="69">
        <f t="shared" si="17"/>
        <v>5</v>
      </c>
      <c r="M60" s="69">
        <f t="shared" si="18"/>
        <v>5</v>
      </c>
      <c r="N60" s="69">
        <f t="shared" si="19"/>
        <v>4</v>
      </c>
      <c r="O60" s="69">
        <f t="shared" si="20"/>
        <v>4</v>
      </c>
      <c r="P60" s="69">
        <f t="shared" si="21"/>
        <v>4</v>
      </c>
      <c r="Q60" s="69">
        <f t="shared" si="22"/>
        <v>4</v>
      </c>
      <c r="R60" s="70">
        <f t="shared" si="23"/>
        <v>-1.3862943611198906</v>
      </c>
      <c r="S60" s="70">
        <f t="shared" si="24"/>
        <v>-1.3862943611198906</v>
      </c>
      <c r="T60" s="70">
        <f t="shared" si="25"/>
        <v>-1.3359395577789568</v>
      </c>
      <c r="U60" s="70">
        <f t="shared" si="26"/>
        <v>-1.3359395577789568</v>
      </c>
      <c r="V60" s="70">
        <f t="shared" si="27"/>
        <v>1.1180339887498949</v>
      </c>
      <c r="W60" s="70">
        <f t="shared" si="28"/>
        <v>1.1180339887498949</v>
      </c>
      <c r="X60" s="70">
        <f t="shared" si="29"/>
        <v>0</v>
      </c>
      <c r="Y60" s="70">
        <f t="shared" si="30"/>
        <v>1.5811388300841898</v>
      </c>
      <c r="Z60" s="70">
        <f t="shared" si="31"/>
        <v>0</v>
      </c>
      <c r="AA60" s="69" t="str">
        <f t="shared" si="32"/>
        <v>Negligible</v>
      </c>
      <c r="AB60" s="69" t="str">
        <f t="shared" si="33"/>
        <v>Tidak Ada Indikasi Bias</v>
      </c>
    </row>
    <row r="61" spans="1:28" ht="75" x14ac:dyDescent="0.35">
      <c r="A61" s="71" t="str">
        <f>LIM!A55</f>
        <v>51. Pengecekan yang diperlukan untuk memelihara kepercayaan pada status kalibrasi untuk menetapkan peralatan ukur tetap dapat dipakai, perlu distel, diperbaiki, atau tidak dapat dipakai lagi adalah</v>
      </c>
      <c r="B61" s="69">
        <f>LIM!B55</f>
        <v>1</v>
      </c>
      <c r="C61" s="69">
        <f>LIM!C55</f>
        <v>1</v>
      </c>
      <c r="D61" s="69">
        <f>LIM!D55</f>
        <v>1</v>
      </c>
      <c r="E61" s="69">
        <f>LIM!E55</f>
        <v>0</v>
      </c>
      <c r="F61" s="69">
        <f>LIM!F55</f>
        <v>1</v>
      </c>
      <c r="G61" s="69">
        <f>LIM!G55</f>
        <v>0</v>
      </c>
      <c r="H61" s="69">
        <f>LIM!H55</f>
        <v>0</v>
      </c>
      <c r="I61" s="69">
        <f>LIM!I55</f>
        <v>0</v>
      </c>
      <c r="J61" s="69">
        <f>LIM!J55</f>
        <v>0</v>
      </c>
      <c r="K61" s="69">
        <f>LIM!K55</f>
        <v>0</v>
      </c>
      <c r="L61" s="69">
        <f t="shared" si="17"/>
        <v>5</v>
      </c>
      <c r="M61" s="69">
        <f t="shared" si="18"/>
        <v>5</v>
      </c>
      <c r="N61" s="69">
        <f t="shared" si="19"/>
        <v>2</v>
      </c>
      <c r="O61" s="69">
        <f t="shared" si="20"/>
        <v>2</v>
      </c>
      <c r="P61" s="69">
        <f t="shared" si="21"/>
        <v>2</v>
      </c>
      <c r="Q61" s="69">
        <f t="shared" si="22"/>
        <v>2</v>
      </c>
      <c r="R61" s="70">
        <f t="shared" si="23"/>
        <v>0.40546510810816438</v>
      </c>
      <c r="S61" s="70">
        <f t="shared" si="24"/>
        <v>0.40546510810816438</v>
      </c>
      <c r="T61" s="70">
        <f t="shared" si="25"/>
        <v>0.45581991144909806</v>
      </c>
      <c r="U61" s="70">
        <f t="shared" si="26"/>
        <v>0.45581991144909806</v>
      </c>
      <c r="V61" s="70">
        <f t="shared" si="27"/>
        <v>0.91287092917527679</v>
      </c>
      <c r="W61" s="70">
        <f t="shared" si="28"/>
        <v>0.91287092917527679</v>
      </c>
      <c r="X61" s="70">
        <f t="shared" si="29"/>
        <v>0</v>
      </c>
      <c r="Y61" s="70">
        <f t="shared" si="30"/>
        <v>1.2909944487358056</v>
      </c>
      <c r="Z61" s="70">
        <f t="shared" si="31"/>
        <v>0</v>
      </c>
      <c r="AA61" s="69" t="str">
        <f t="shared" si="32"/>
        <v>Negligible</v>
      </c>
      <c r="AB61" s="69" t="str">
        <f t="shared" si="33"/>
        <v>Tidak Ada Indikasi Bias</v>
      </c>
    </row>
    <row r="62" spans="1:28" ht="37.5" customHeight="1" x14ac:dyDescent="0.35">
      <c r="A62" s="71" t="str">
        <f>LIM!A56</f>
        <v>52. Bahan pembanding yang dilengkapi sertifikat yang digunakan sebagai penjaminan mutu hasil pengujian di laboratorium</v>
      </c>
      <c r="B62" s="69">
        <f>LIM!B56</f>
        <v>1</v>
      </c>
      <c r="C62" s="69">
        <f>LIM!C56</f>
        <v>1</v>
      </c>
      <c r="D62" s="69">
        <f>LIM!D56</f>
        <v>1</v>
      </c>
      <c r="E62" s="69">
        <f>LIM!E56</f>
        <v>1</v>
      </c>
      <c r="F62" s="69">
        <f>LIM!F56</f>
        <v>1</v>
      </c>
      <c r="G62" s="69">
        <f>LIM!G56</f>
        <v>1</v>
      </c>
      <c r="H62" s="69">
        <f>LIM!H56</f>
        <v>0</v>
      </c>
      <c r="I62" s="69">
        <f>LIM!I56</f>
        <v>0</v>
      </c>
      <c r="J62" s="69">
        <f>LIM!J56</f>
        <v>1</v>
      </c>
      <c r="K62" s="69">
        <f>LIM!K56</f>
        <v>1</v>
      </c>
      <c r="L62" s="69">
        <f t="shared" si="17"/>
        <v>5</v>
      </c>
      <c r="M62" s="69">
        <f t="shared" si="18"/>
        <v>5</v>
      </c>
      <c r="N62" s="69">
        <f t="shared" si="19"/>
        <v>4</v>
      </c>
      <c r="O62" s="69">
        <f t="shared" si="20"/>
        <v>4</v>
      </c>
      <c r="P62" s="69">
        <f t="shared" si="21"/>
        <v>4</v>
      </c>
      <c r="Q62" s="69">
        <f t="shared" si="22"/>
        <v>4</v>
      </c>
      <c r="R62" s="70">
        <f t="shared" si="23"/>
        <v>-1.3862943611198906</v>
      </c>
      <c r="S62" s="70">
        <f t="shared" si="24"/>
        <v>-1.3862943611198906</v>
      </c>
      <c r="T62" s="70">
        <f t="shared" si="25"/>
        <v>-1.3359395577789568</v>
      </c>
      <c r="U62" s="70">
        <f t="shared" si="26"/>
        <v>-1.3359395577789568</v>
      </c>
      <c r="V62" s="70">
        <f t="shared" si="27"/>
        <v>1.1180339887498949</v>
      </c>
      <c r="W62" s="70">
        <f t="shared" si="28"/>
        <v>1.1180339887498949</v>
      </c>
      <c r="X62" s="70">
        <f t="shared" si="29"/>
        <v>0</v>
      </c>
      <c r="Y62" s="70">
        <f t="shared" si="30"/>
        <v>1.5811388300841898</v>
      </c>
      <c r="Z62" s="70">
        <f t="shared" si="31"/>
        <v>0</v>
      </c>
      <c r="AA62" s="69" t="str">
        <f t="shared" si="32"/>
        <v>Negligible</v>
      </c>
      <c r="AB62" s="69" t="str">
        <f t="shared" si="33"/>
        <v>Tidak Ada Indikasi Bias</v>
      </c>
    </row>
    <row r="63" spans="1:28" ht="62.5" x14ac:dyDescent="0.35">
      <c r="A63" s="71" t="str">
        <f>LIM!A57</f>
        <v>53. Proses untuk menghitung nilai penyimpangan alat ukur untuk memastikan bahwa alat tersebut memberikan hasil pengukuran yang akurat adalah</v>
      </c>
      <c r="B63" s="69">
        <f>LIM!B57</f>
        <v>1</v>
      </c>
      <c r="C63" s="69">
        <f>LIM!C57</f>
        <v>1</v>
      </c>
      <c r="D63" s="69">
        <f>LIM!D57</f>
        <v>1</v>
      </c>
      <c r="E63" s="69">
        <f>LIM!E57</f>
        <v>1</v>
      </c>
      <c r="F63" s="69">
        <f>LIM!F57</f>
        <v>1</v>
      </c>
      <c r="G63" s="69">
        <f>LIM!G57</f>
        <v>1</v>
      </c>
      <c r="H63" s="69">
        <f>LIM!H57</f>
        <v>0</v>
      </c>
      <c r="I63" s="69">
        <f>LIM!I57</f>
        <v>0</v>
      </c>
      <c r="J63" s="69">
        <f>LIM!J57</f>
        <v>1</v>
      </c>
      <c r="K63" s="69">
        <f>LIM!K57</f>
        <v>1</v>
      </c>
      <c r="L63" s="69">
        <f t="shared" si="17"/>
        <v>5</v>
      </c>
      <c r="M63" s="69">
        <f t="shared" si="18"/>
        <v>5</v>
      </c>
      <c r="N63" s="69">
        <f t="shared" si="19"/>
        <v>4</v>
      </c>
      <c r="O63" s="69">
        <f t="shared" si="20"/>
        <v>4</v>
      </c>
      <c r="P63" s="69">
        <f t="shared" si="21"/>
        <v>4</v>
      </c>
      <c r="Q63" s="69">
        <f t="shared" si="22"/>
        <v>4</v>
      </c>
      <c r="R63" s="70">
        <f t="shared" si="23"/>
        <v>-1.3862943611198906</v>
      </c>
      <c r="S63" s="70">
        <f t="shared" si="24"/>
        <v>-1.3862943611198906</v>
      </c>
      <c r="T63" s="70">
        <f t="shared" si="25"/>
        <v>-1.3359395577789568</v>
      </c>
      <c r="U63" s="70">
        <f t="shared" si="26"/>
        <v>-1.3359395577789568</v>
      </c>
      <c r="V63" s="70">
        <f t="shared" si="27"/>
        <v>1.1180339887498949</v>
      </c>
      <c r="W63" s="70">
        <f t="shared" si="28"/>
        <v>1.1180339887498949</v>
      </c>
      <c r="X63" s="70">
        <f t="shared" si="29"/>
        <v>0</v>
      </c>
      <c r="Y63" s="70">
        <f t="shared" si="30"/>
        <v>1.5811388300841898</v>
      </c>
      <c r="Z63" s="70">
        <f t="shared" si="31"/>
        <v>0</v>
      </c>
      <c r="AA63" s="69" t="str">
        <f t="shared" si="32"/>
        <v>Negligible</v>
      </c>
      <c r="AB63" s="69" t="str">
        <f t="shared" si="33"/>
        <v>Tidak Ada Indikasi Bias</v>
      </c>
    </row>
    <row r="64" spans="1:28" ht="37.5" customHeight="1" x14ac:dyDescent="0.35">
      <c r="A64" s="71" t="str">
        <f>LIM!A58</f>
        <v>54. Output dalam kegiatan kalibrasi dalam bentuk penyimpangan sistematik adalah</v>
      </c>
      <c r="B64" s="69">
        <f>LIM!B58</f>
        <v>1</v>
      </c>
      <c r="C64" s="69">
        <f>LIM!C58</f>
        <v>1</v>
      </c>
      <c r="D64" s="69">
        <f>LIM!D58</f>
        <v>1</v>
      </c>
      <c r="E64" s="69">
        <f>LIM!E58</f>
        <v>1</v>
      </c>
      <c r="F64" s="69">
        <f>LIM!F58</f>
        <v>1</v>
      </c>
      <c r="G64" s="69">
        <f>LIM!G58</f>
        <v>1</v>
      </c>
      <c r="H64" s="69">
        <f>LIM!H58</f>
        <v>0</v>
      </c>
      <c r="I64" s="69">
        <f>LIM!I58</f>
        <v>0</v>
      </c>
      <c r="J64" s="69">
        <f>LIM!J58</f>
        <v>0</v>
      </c>
      <c r="K64" s="69">
        <f>LIM!K58</f>
        <v>0</v>
      </c>
      <c r="L64" s="69">
        <f t="shared" si="17"/>
        <v>5</v>
      </c>
      <c r="M64" s="69">
        <f t="shared" si="18"/>
        <v>5</v>
      </c>
      <c r="N64" s="69">
        <f t="shared" si="19"/>
        <v>3</v>
      </c>
      <c r="O64" s="69">
        <f t="shared" si="20"/>
        <v>3</v>
      </c>
      <c r="P64" s="69">
        <f t="shared" si="21"/>
        <v>3</v>
      </c>
      <c r="Q64" s="69">
        <f t="shared" si="22"/>
        <v>3</v>
      </c>
      <c r="R64" s="70">
        <f t="shared" si="23"/>
        <v>-0.40546510810816444</v>
      </c>
      <c r="S64" s="70">
        <f t="shared" si="24"/>
        <v>-0.40546510810816444</v>
      </c>
      <c r="T64" s="70">
        <f t="shared" si="25"/>
        <v>-0.35511030476723077</v>
      </c>
      <c r="U64" s="70">
        <f t="shared" si="26"/>
        <v>-0.35511030476723077</v>
      </c>
      <c r="V64" s="70">
        <f t="shared" si="27"/>
        <v>0.91287092917527679</v>
      </c>
      <c r="W64" s="70">
        <f t="shared" si="28"/>
        <v>0.91287092917527679</v>
      </c>
      <c r="X64" s="70">
        <f t="shared" si="29"/>
        <v>0</v>
      </c>
      <c r="Y64" s="70">
        <f t="shared" si="30"/>
        <v>1.2909944487358056</v>
      </c>
      <c r="Z64" s="70">
        <f t="shared" si="31"/>
        <v>0</v>
      </c>
      <c r="AA64" s="69" t="str">
        <f t="shared" si="32"/>
        <v>Negligible</v>
      </c>
      <c r="AB64" s="69" t="str">
        <f t="shared" si="33"/>
        <v>Tidak Ada Indikasi Bias</v>
      </c>
    </row>
    <row r="65" spans="1:28" ht="37.5" customHeight="1" x14ac:dyDescent="0.35">
      <c r="A65" s="71" t="str">
        <f>LIM!A59</f>
        <v>55. Output dalam kegiatan kalibrasi dalam bentuk penyimpangan acak adalah</v>
      </c>
      <c r="B65" s="69">
        <f>LIM!B59</f>
        <v>1</v>
      </c>
      <c r="C65" s="69">
        <f>LIM!C59</f>
        <v>1</v>
      </c>
      <c r="D65" s="69">
        <f>LIM!D59</f>
        <v>1</v>
      </c>
      <c r="E65" s="69">
        <f>LIM!E59</f>
        <v>0</v>
      </c>
      <c r="F65" s="69">
        <f>LIM!F59</f>
        <v>1</v>
      </c>
      <c r="G65" s="69">
        <f>LIM!G59</f>
        <v>0</v>
      </c>
      <c r="H65" s="69">
        <f>LIM!H59</f>
        <v>0</v>
      </c>
      <c r="I65" s="69">
        <f>LIM!I59</f>
        <v>0</v>
      </c>
      <c r="J65" s="69">
        <f>LIM!J59</f>
        <v>0</v>
      </c>
      <c r="K65" s="69">
        <f>LIM!K59</f>
        <v>0</v>
      </c>
      <c r="L65" s="69">
        <f t="shared" si="17"/>
        <v>5</v>
      </c>
      <c r="M65" s="69">
        <f t="shared" si="18"/>
        <v>5</v>
      </c>
      <c r="N65" s="69">
        <f t="shared" si="19"/>
        <v>2</v>
      </c>
      <c r="O65" s="69">
        <f t="shared" si="20"/>
        <v>2</v>
      </c>
      <c r="P65" s="69">
        <f t="shared" si="21"/>
        <v>2</v>
      </c>
      <c r="Q65" s="69">
        <f t="shared" si="22"/>
        <v>2</v>
      </c>
      <c r="R65" s="70">
        <f t="shared" si="23"/>
        <v>0.40546510810816438</v>
      </c>
      <c r="S65" s="70">
        <f t="shared" si="24"/>
        <v>0.40546510810816438</v>
      </c>
      <c r="T65" s="70">
        <f t="shared" si="25"/>
        <v>0.45581991144909806</v>
      </c>
      <c r="U65" s="70">
        <f t="shared" si="26"/>
        <v>0.45581991144909806</v>
      </c>
      <c r="V65" s="70">
        <f t="shared" si="27"/>
        <v>0.91287092917527679</v>
      </c>
      <c r="W65" s="70">
        <f t="shared" si="28"/>
        <v>0.91287092917527679</v>
      </c>
      <c r="X65" s="70">
        <f t="shared" si="29"/>
        <v>0</v>
      </c>
      <c r="Y65" s="70">
        <f t="shared" si="30"/>
        <v>1.2909944487358056</v>
      </c>
      <c r="Z65" s="70">
        <f t="shared" si="31"/>
        <v>0</v>
      </c>
      <c r="AA65" s="69" t="str">
        <f t="shared" si="32"/>
        <v>Negligible</v>
      </c>
      <c r="AB65" s="69" t="str">
        <f t="shared" si="33"/>
        <v>Tidak Ada Indikasi Bias</v>
      </c>
    </row>
    <row r="66" spans="1:28" ht="37.5" customHeight="1" x14ac:dyDescent="0.35">
      <c r="A66" s="71" t="str">
        <f>LIM!A60</f>
        <v>56. Bahan habis pakai, perlengkapan, pereaksi dan jasa yang mempengaruhi pengujian harus di</v>
      </c>
      <c r="B66" s="69">
        <f>LIM!B60</f>
        <v>1</v>
      </c>
      <c r="C66" s="69">
        <f>LIM!C60</f>
        <v>1</v>
      </c>
      <c r="D66" s="69">
        <f>LIM!D60</f>
        <v>1</v>
      </c>
      <c r="E66" s="69">
        <f>LIM!E60</f>
        <v>1</v>
      </c>
      <c r="F66" s="69">
        <f>LIM!F60</f>
        <v>1</v>
      </c>
      <c r="G66" s="69">
        <f>LIM!G60</f>
        <v>1</v>
      </c>
      <c r="H66" s="69">
        <f>LIM!H60</f>
        <v>1</v>
      </c>
      <c r="I66" s="69">
        <f>LIM!I60</f>
        <v>1</v>
      </c>
      <c r="J66" s="69">
        <f>LIM!J60</f>
        <v>0</v>
      </c>
      <c r="K66" s="69">
        <f>LIM!K60</f>
        <v>0</v>
      </c>
      <c r="L66" s="69">
        <f t="shared" si="17"/>
        <v>5</v>
      </c>
      <c r="M66" s="69">
        <f t="shared" si="18"/>
        <v>5</v>
      </c>
      <c r="N66" s="69">
        <f t="shared" si="19"/>
        <v>4</v>
      </c>
      <c r="O66" s="69">
        <f t="shared" si="20"/>
        <v>4</v>
      </c>
      <c r="P66" s="69">
        <f t="shared" si="21"/>
        <v>4</v>
      </c>
      <c r="Q66" s="69">
        <f t="shared" si="22"/>
        <v>4</v>
      </c>
      <c r="R66" s="70">
        <f t="shared" si="23"/>
        <v>-1.3862943611198906</v>
      </c>
      <c r="S66" s="70">
        <f t="shared" si="24"/>
        <v>-1.3862943611198906</v>
      </c>
      <c r="T66" s="70">
        <f t="shared" si="25"/>
        <v>-1.3359395577789568</v>
      </c>
      <c r="U66" s="70">
        <f t="shared" si="26"/>
        <v>-1.3359395577789568</v>
      </c>
      <c r="V66" s="70">
        <f t="shared" si="27"/>
        <v>1.1180339887498949</v>
      </c>
      <c r="W66" s="70">
        <f t="shared" si="28"/>
        <v>1.1180339887498949</v>
      </c>
      <c r="X66" s="70">
        <f t="shared" si="29"/>
        <v>0</v>
      </c>
      <c r="Y66" s="70">
        <f t="shared" si="30"/>
        <v>1.5811388300841898</v>
      </c>
      <c r="Z66" s="70">
        <f t="shared" si="31"/>
        <v>0</v>
      </c>
      <c r="AA66" s="69" t="str">
        <f t="shared" si="32"/>
        <v>Negligible</v>
      </c>
      <c r="AB66" s="69" t="str">
        <f t="shared" si="33"/>
        <v>Tidak Ada Indikasi Bias</v>
      </c>
    </row>
    <row r="67" spans="1:28" ht="37.5" customHeight="1" x14ac:dyDescent="0.35">
      <c r="A67" s="71" t="str">
        <f>LIM!A61</f>
        <v>57. Hal yang TIDAK bisa menjadi alasan sub kontrak pengujian</v>
      </c>
      <c r="B67" s="69">
        <f>LIM!B61</f>
        <v>1</v>
      </c>
      <c r="C67" s="69">
        <f>LIM!C61</f>
        <v>1</v>
      </c>
      <c r="D67" s="69">
        <f>LIM!D61</f>
        <v>1</v>
      </c>
      <c r="E67" s="69">
        <f>LIM!E61</f>
        <v>1</v>
      </c>
      <c r="F67" s="69">
        <f>LIM!F61</f>
        <v>1</v>
      </c>
      <c r="G67" s="69">
        <f>LIM!G61</f>
        <v>1</v>
      </c>
      <c r="H67" s="69">
        <f>LIM!H61</f>
        <v>0</v>
      </c>
      <c r="I67" s="69">
        <f>LIM!I61</f>
        <v>0</v>
      </c>
      <c r="J67" s="69">
        <f>LIM!J61</f>
        <v>0</v>
      </c>
      <c r="K67" s="69">
        <f>LIM!K61</f>
        <v>0</v>
      </c>
      <c r="L67" s="69">
        <f t="shared" si="17"/>
        <v>5</v>
      </c>
      <c r="M67" s="69">
        <f t="shared" si="18"/>
        <v>5</v>
      </c>
      <c r="N67" s="69">
        <f t="shared" si="19"/>
        <v>3</v>
      </c>
      <c r="O67" s="69">
        <f t="shared" si="20"/>
        <v>3</v>
      </c>
      <c r="P67" s="69">
        <f t="shared" si="21"/>
        <v>3</v>
      </c>
      <c r="Q67" s="69">
        <f t="shared" si="22"/>
        <v>3</v>
      </c>
      <c r="R67" s="70">
        <f t="shared" si="23"/>
        <v>-0.40546510810816444</v>
      </c>
      <c r="S67" s="70">
        <f t="shared" si="24"/>
        <v>-0.40546510810816444</v>
      </c>
      <c r="T67" s="70">
        <f t="shared" si="25"/>
        <v>-0.35511030476723077</v>
      </c>
      <c r="U67" s="70">
        <f t="shared" si="26"/>
        <v>-0.35511030476723077</v>
      </c>
      <c r="V67" s="70">
        <f t="shared" si="27"/>
        <v>0.91287092917527679</v>
      </c>
      <c r="W67" s="70">
        <f t="shared" si="28"/>
        <v>0.91287092917527679</v>
      </c>
      <c r="X67" s="70">
        <f t="shared" si="29"/>
        <v>0</v>
      </c>
      <c r="Y67" s="70">
        <f t="shared" si="30"/>
        <v>1.2909944487358056</v>
      </c>
      <c r="Z67" s="70">
        <f t="shared" si="31"/>
        <v>0</v>
      </c>
      <c r="AA67" s="69" t="str">
        <f t="shared" si="32"/>
        <v>Negligible</v>
      </c>
      <c r="AB67" s="69" t="str">
        <f t="shared" si="33"/>
        <v>Tidak Ada Indikasi Bias</v>
      </c>
    </row>
    <row r="68" spans="1:28" ht="25" x14ac:dyDescent="0.35">
      <c r="A68" s="71" t="str">
        <f>LIM!A62</f>
        <v>58. Yang BUKAN bentuk evaluasi pemasok adalah</v>
      </c>
      <c r="B68" s="69">
        <f>LIM!B62</f>
        <v>1</v>
      </c>
      <c r="C68" s="69">
        <f>LIM!C62</f>
        <v>1</v>
      </c>
      <c r="D68" s="69">
        <f>LIM!D62</f>
        <v>1</v>
      </c>
      <c r="E68" s="69">
        <f>LIM!E62</f>
        <v>0</v>
      </c>
      <c r="F68" s="69">
        <f>LIM!F62</f>
        <v>1</v>
      </c>
      <c r="G68" s="69">
        <f>LIM!G62</f>
        <v>0</v>
      </c>
      <c r="H68" s="69">
        <f>LIM!H62</f>
        <v>0</v>
      </c>
      <c r="I68" s="69">
        <f>LIM!I62</f>
        <v>0</v>
      </c>
      <c r="J68" s="69">
        <f>LIM!J62</f>
        <v>0</v>
      </c>
      <c r="K68" s="69">
        <f>LIM!K62</f>
        <v>0</v>
      </c>
      <c r="L68" s="69">
        <f t="shared" si="17"/>
        <v>5</v>
      </c>
      <c r="M68" s="69">
        <f t="shared" si="18"/>
        <v>5</v>
      </c>
      <c r="N68" s="69">
        <f t="shared" si="19"/>
        <v>2</v>
      </c>
      <c r="O68" s="69">
        <f t="shared" si="20"/>
        <v>2</v>
      </c>
      <c r="P68" s="69">
        <f t="shared" si="21"/>
        <v>2</v>
      </c>
      <c r="Q68" s="69">
        <f t="shared" si="22"/>
        <v>2</v>
      </c>
      <c r="R68" s="70">
        <f t="shared" si="23"/>
        <v>0.40546510810816438</v>
      </c>
      <c r="S68" s="70">
        <f t="shared" si="24"/>
        <v>0.40546510810816438</v>
      </c>
      <c r="T68" s="70">
        <f t="shared" si="25"/>
        <v>0.45581991144909806</v>
      </c>
      <c r="U68" s="70">
        <f t="shared" si="26"/>
        <v>0.45581991144909806</v>
      </c>
      <c r="V68" s="70">
        <f t="shared" si="27"/>
        <v>0.91287092917527679</v>
      </c>
      <c r="W68" s="70">
        <f t="shared" si="28"/>
        <v>0.91287092917527679</v>
      </c>
      <c r="X68" s="70">
        <f t="shared" si="29"/>
        <v>0</v>
      </c>
      <c r="Y68" s="70">
        <f t="shared" si="30"/>
        <v>1.2909944487358056</v>
      </c>
      <c r="Z68" s="70">
        <f t="shared" si="31"/>
        <v>0</v>
      </c>
      <c r="AA68" s="69" t="str">
        <f t="shared" si="32"/>
        <v>Negligible</v>
      </c>
      <c r="AB68" s="69" t="str">
        <f t="shared" si="33"/>
        <v>Tidak Ada Indikasi Bias</v>
      </c>
    </row>
    <row r="69" spans="1:28" ht="75" x14ac:dyDescent="0.35">
      <c r="A69" s="71" t="str">
        <f>LIM!A63</f>
        <v>59. Reagen secara berkala dilakukan .... yaitu penghitungan fisik stok barang yang dimiliki oleh laboratorium. bertujuan memastikan jumlah sebenarnya dengan jumlah yang tercatat dalam sistem pencatatan</v>
      </c>
      <c r="B69" s="69">
        <f>LIM!B63</f>
        <v>1</v>
      </c>
      <c r="C69" s="69">
        <f>LIM!C63</f>
        <v>1</v>
      </c>
      <c r="D69" s="69">
        <f>LIM!D63</f>
        <v>0</v>
      </c>
      <c r="E69" s="69">
        <f>LIM!E63</f>
        <v>0</v>
      </c>
      <c r="F69" s="69">
        <f>LIM!F63</f>
        <v>0</v>
      </c>
      <c r="G69" s="69">
        <f>LIM!G63</f>
        <v>0</v>
      </c>
      <c r="H69" s="69">
        <f>LIM!H63</f>
        <v>0</v>
      </c>
      <c r="I69" s="69">
        <f>LIM!I63</f>
        <v>0</v>
      </c>
      <c r="J69" s="69">
        <f>LIM!J63</f>
        <v>0</v>
      </c>
      <c r="K69" s="69">
        <f>LIM!K63</f>
        <v>0</v>
      </c>
      <c r="L69" s="69">
        <f t="shared" si="17"/>
        <v>5</v>
      </c>
      <c r="M69" s="69">
        <f t="shared" si="18"/>
        <v>5</v>
      </c>
      <c r="N69" s="69">
        <f t="shared" si="19"/>
        <v>1</v>
      </c>
      <c r="O69" s="69">
        <f t="shared" si="20"/>
        <v>1</v>
      </c>
      <c r="P69" s="69">
        <f t="shared" si="21"/>
        <v>1</v>
      </c>
      <c r="Q69" s="69">
        <f t="shared" si="22"/>
        <v>1</v>
      </c>
      <c r="R69" s="70">
        <f t="shared" si="23"/>
        <v>1.3862943611198906</v>
      </c>
      <c r="S69" s="70">
        <f t="shared" si="24"/>
        <v>1.3862943611198906</v>
      </c>
      <c r="T69" s="70">
        <f t="shared" si="25"/>
        <v>1.4366491644608244</v>
      </c>
      <c r="U69" s="70">
        <f t="shared" si="26"/>
        <v>1.4366491644608244</v>
      </c>
      <c r="V69" s="70">
        <f t="shared" si="27"/>
        <v>1.1180339887498949</v>
      </c>
      <c r="W69" s="70">
        <f t="shared" si="28"/>
        <v>1.1180339887498949</v>
      </c>
      <c r="X69" s="70">
        <f t="shared" si="29"/>
        <v>0</v>
      </c>
      <c r="Y69" s="70">
        <f t="shared" si="30"/>
        <v>1.5811388300841898</v>
      </c>
      <c r="Z69" s="70">
        <f t="shared" si="31"/>
        <v>0</v>
      </c>
      <c r="AA69" s="69" t="str">
        <f t="shared" si="32"/>
        <v>Negligible</v>
      </c>
      <c r="AB69" s="69" t="str">
        <f t="shared" si="33"/>
        <v>Tidak Ada Indikasi Bias</v>
      </c>
    </row>
    <row r="70" spans="1:28" ht="50" x14ac:dyDescent="0.35">
      <c r="A70" s="71" t="str">
        <f>LIM!A64</f>
        <v>60. Permohonan atau pesanan yang diajukan kepada laboratorium untuk melakukan pengujian atau analisis tertentu atas suatu sampel</v>
      </c>
      <c r="B70" s="69">
        <f>LIM!B64</f>
        <v>1</v>
      </c>
      <c r="C70" s="69">
        <f>LIM!C64</f>
        <v>1</v>
      </c>
      <c r="D70" s="69">
        <f>LIM!D64</f>
        <v>1</v>
      </c>
      <c r="E70" s="69">
        <f>LIM!E64</f>
        <v>0</v>
      </c>
      <c r="F70" s="69">
        <f>LIM!F64</f>
        <v>1</v>
      </c>
      <c r="G70" s="69">
        <f>LIM!G64</f>
        <v>0</v>
      </c>
      <c r="H70" s="69">
        <f>LIM!H64</f>
        <v>1</v>
      </c>
      <c r="I70" s="69">
        <f>LIM!I64</f>
        <v>1</v>
      </c>
      <c r="J70" s="69">
        <f>LIM!J64</f>
        <v>0</v>
      </c>
      <c r="K70" s="69">
        <f>LIM!K64</f>
        <v>0</v>
      </c>
      <c r="L70" s="69">
        <f t="shared" si="17"/>
        <v>5</v>
      </c>
      <c r="M70" s="69">
        <f t="shared" si="18"/>
        <v>5</v>
      </c>
      <c r="N70" s="69">
        <f t="shared" si="19"/>
        <v>3</v>
      </c>
      <c r="O70" s="69">
        <f t="shared" si="20"/>
        <v>3</v>
      </c>
      <c r="P70" s="69">
        <f t="shared" si="21"/>
        <v>3</v>
      </c>
      <c r="Q70" s="69">
        <f t="shared" si="22"/>
        <v>3</v>
      </c>
      <c r="R70" s="70">
        <f t="shared" si="23"/>
        <v>-0.40546510810816444</v>
      </c>
      <c r="S70" s="70">
        <f t="shared" si="24"/>
        <v>-0.40546510810816444</v>
      </c>
      <c r="T70" s="70">
        <f t="shared" si="25"/>
        <v>-0.35511030476723077</v>
      </c>
      <c r="U70" s="70">
        <f t="shared" si="26"/>
        <v>-0.35511030476723077</v>
      </c>
      <c r="V70" s="70">
        <f t="shared" si="27"/>
        <v>0.91287092917527679</v>
      </c>
      <c r="W70" s="70">
        <f t="shared" si="28"/>
        <v>0.91287092917527679</v>
      </c>
      <c r="X70" s="70">
        <f t="shared" si="29"/>
        <v>0</v>
      </c>
      <c r="Y70" s="70">
        <f t="shared" si="30"/>
        <v>1.2909944487358056</v>
      </c>
      <c r="Z70" s="70">
        <f t="shared" si="31"/>
        <v>0</v>
      </c>
      <c r="AA70" s="69" t="str">
        <f t="shared" si="32"/>
        <v>Negligible</v>
      </c>
      <c r="AB70" s="69" t="str">
        <f t="shared" si="33"/>
        <v>Tidak Ada Indikasi Bias</v>
      </c>
    </row>
    <row r="71" spans="1:28" ht="62.5" x14ac:dyDescent="0.35">
      <c r="A71" s="71" t="str">
        <f>LIM!A65</f>
        <v>61. Proses dimana pelanggan mengeluarkan permintaan formal kepada laboratorium untuk mengajukan penawaran kompetitif untuk melakukan pekerjaan pengujian adalah</v>
      </c>
      <c r="B71" s="69">
        <f>LIM!B65</f>
        <v>1</v>
      </c>
      <c r="C71" s="69">
        <f>LIM!C65</f>
        <v>1</v>
      </c>
      <c r="D71" s="69">
        <f>LIM!D65</f>
        <v>1</v>
      </c>
      <c r="E71" s="69">
        <f>LIM!E65</f>
        <v>1</v>
      </c>
      <c r="F71" s="69">
        <f>LIM!F65</f>
        <v>1</v>
      </c>
      <c r="G71" s="69">
        <f>LIM!G65</f>
        <v>1</v>
      </c>
      <c r="H71" s="69">
        <f>LIM!H65</f>
        <v>0</v>
      </c>
      <c r="I71" s="69">
        <f>LIM!I65</f>
        <v>0</v>
      </c>
      <c r="J71" s="69">
        <f>LIM!J65</f>
        <v>1</v>
      </c>
      <c r="K71" s="69">
        <f>LIM!K65</f>
        <v>1</v>
      </c>
      <c r="L71" s="69">
        <f t="shared" si="17"/>
        <v>5</v>
      </c>
      <c r="M71" s="69">
        <f t="shared" si="18"/>
        <v>5</v>
      </c>
      <c r="N71" s="69">
        <f t="shared" si="19"/>
        <v>4</v>
      </c>
      <c r="O71" s="69">
        <f t="shared" si="20"/>
        <v>4</v>
      </c>
      <c r="P71" s="69">
        <f t="shared" si="21"/>
        <v>4</v>
      </c>
      <c r="Q71" s="69">
        <f t="shared" si="22"/>
        <v>4</v>
      </c>
      <c r="R71" s="70">
        <f t="shared" si="23"/>
        <v>-1.3862943611198906</v>
      </c>
      <c r="S71" s="70">
        <f t="shared" si="24"/>
        <v>-1.3862943611198906</v>
      </c>
      <c r="T71" s="70">
        <f t="shared" si="25"/>
        <v>-1.3359395577789568</v>
      </c>
      <c r="U71" s="70">
        <f t="shared" si="26"/>
        <v>-1.3359395577789568</v>
      </c>
      <c r="V71" s="70">
        <f t="shared" si="27"/>
        <v>1.1180339887498949</v>
      </c>
      <c r="W71" s="70">
        <f t="shared" si="28"/>
        <v>1.1180339887498949</v>
      </c>
      <c r="X71" s="70">
        <f t="shared" si="29"/>
        <v>0</v>
      </c>
      <c r="Y71" s="70">
        <f t="shared" si="30"/>
        <v>1.5811388300841898</v>
      </c>
      <c r="Z71" s="70">
        <f t="shared" si="31"/>
        <v>0</v>
      </c>
      <c r="AA71" s="69" t="str">
        <f t="shared" si="32"/>
        <v>Negligible</v>
      </c>
      <c r="AB71" s="69" t="str">
        <f t="shared" si="33"/>
        <v>Tidak Ada Indikasi Bias</v>
      </c>
    </row>
    <row r="72" spans="1:28" ht="62.5" x14ac:dyDescent="0.35">
      <c r="A72" s="71" t="str">
        <f>LIM!A66</f>
        <v>62. Laboratorium menyusun . . . . yang berisi jumlah, volume, kemasan dan perlakukan sampel. Dibuat dalam bentuk banner dan dipasang untuk memudahkan pelanggan membaca</v>
      </c>
      <c r="B72" s="69">
        <f>LIM!B66</f>
        <v>0</v>
      </c>
      <c r="C72" s="69">
        <f>LIM!C66</f>
        <v>0</v>
      </c>
      <c r="D72" s="69">
        <f>LIM!D66</f>
        <v>1</v>
      </c>
      <c r="E72" s="69">
        <f>LIM!E66</f>
        <v>1</v>
      </c>
      <c r="F72" s="69">
        <f>LIM!F66</f>
        <v>1</v>
      </c>
      <c r="G72" s="69">
        <f>LIM!G66</f>
        <v>1</v>
      </c>
      <c r="H72" s="69">
        <f>LIM!H66</f>
        <v>0</v>
      </c>
      <c r="I72" s="69">
        <f>LIM!I66</f>
        <v>0</v>
      </c>
      <c r="J72" s="69">
        <f>LIM!J66</f>
        <v>0</v>
      </c>
      <c r="K72" s="69">
        <f>LIM!K66</f>
        <v>0</v>
      </c>
      <c r="L72" s="69">
        <f t="shared" si="17"/>
        <v>5</v>
      </c>
      <c r="M72" s="69">
        <f t="shared" si="18"/>
        <v>5</v>
      </c>
      <c r="N72" s="69">
        <f t="shared" si="19"/>
        <v>2</v>
      </c>
      <c r="O72" s="69">
        <f t="shared" si="20"/>
        <v>2</v>
      </c>
      <c r="P72" s="69">
        <f t="shared" si="21"/>
        <v>2</v>
      </c>
      <c r="Q72" s="69">
        <f t="shared" si="22"/>
        <v>2</v>
      </c>
      <c r="R72" s="70">
        <f t="shared" si="23"/>
        <v>0.40546510810816438</v>
      </c>
      <c r="S72" s="70">
        <f t="shared" si="24"/>
        <v>0.40546510810816438</v>
      </c>
      <c r="T72" s="70">
        <f t="shared" si="25"/>
        <v>0.45581991144909806</v>
      </c>
      <c r="U72" s="70">
        <f t="shared" si="26"/>
        <v>0.45581991144909806</v>
      </c>
      <c r="V72" s="70">
        <f t="shared" si="27"/>
        <v>0.91287092917527679</v>
      </c>
      <c r="W72" s="70">
        <f t="shared" si="28"/>
        <v>0.91287092917527679</v>
      </c>
      <c r="X72" s="70">
        <f t="shared" si="29"/>
        <v>0</v>
      </c>
      <c r="Y72" s="70">
        <f t="shared" si="30"/>
        <v>1.2909944487358056</v>
      </c>
      <c r="Z72" s="70">
        <f t="shared" si="31"/>
        <v>0</v>
      </c>
      <c r="AA72" s="69" t="str">
        <f t="shared" si="32"/>
        <v>Negligible</v>
      </c>
      <c r="AB72" s="69" t="str">
        <f t="shared" si="33"/>
        <v>Tidak Ada Indikasi Bias</v>
      </c>
    </row>
    <row r="73" spans="1:28" ht="50" x14ac:dyDescent="0.35">
      <c r="A73" s="71" t="str">
        <f>LIM!A67</f>
        <v>63. Dokumen yang menentukan jumlah dan ukuran sampel yang diambil untuk memastikan representatif mewakili dari suatu populasi</v>
      </c>
      <c r="B73" s="69">
        <f>LIM!B67</f>
        <v>1</v>
      </c>
      <c r="C73" s="69">
        <f>LIM!C67</f>
        <v>1</v>
      </c>
      <c r="D73" s="69">
        <f>LIM!D67</f>
        <v>1</v>
      </c>
      <c r="E73" s="69">
        <f>LIM!E67</f>
        <v>0</v>
      </c>
      <c r="F73" s="69">
        <f>LIM!F67</f>
        <v>1</v>
      </c>
      <c r="G73" s="69">
        <f>LIM!G67</f>
        <v>0</v>
      </c>
      <c r="H73" s="69">
        <f>LIM!H67</f>
        <v>0</v>
      </c>
      <c r="I73" s="69">
        <f>LIM!I67</f>
        <v>0</v>
      </c>
      <c r="J73" s="69">
        <f>LIM!J67</f>
        <v>1</v>
      </c>
      <c r="K73" s="69">
        <f>LIM!K67</f>
        <v>1</v>
      </c>
      <c r="L73" s="69">
        <f t="shared" si="17"/>
        <v>5</v>
      </c>
      <c r="M73" s="69">
        <f t="shared" si="18"/>
        <v>5</v>
      </c>
      <c r="N73" s="69">
        <f t="shared" si="19"/>
        <v>3</v>
      </c>
      <c r="O73" s="69">
        <f t="shared" si="20"/>
        <v>3</v>
      </c>
      <c r="P73" s="69">
        <f t="shared" si="21"/>
        <v>3</v>
      </c>
      <c r="Q73" s="69">
        <f t="shared" si="22"/>
        <v>3</v>
      </c>
      <c r="R73" s="70">
        <f t="shared" si="23"/>
        <v>-0.40546510810816444</v>
      </c>
      <c r="S73" s="70">
        <f t="shared" si="24"/>
        <v>-0.40546510810816444</v>
      </c>
      <c r="T73" s="70">
        <f t="shared" si="25"/>
        <v>-0.35511030476723077</v>
      </c>
      <c r="U73" s="70">
        <f t="shared" si="26"/>
        <v>-0.35511030476723077</v>
      </c>
      <c r="V73" s="70">
        <f t="shared" si="27"/>
        <v>0.91287092917527679</v>
      </c>
      <c r="W73" s="70">
        <f t="shared" si="28"/>
        <v>0.91287092917527679</v>
      </c>
      <c r="X73" s="70">
        <f t="shared" si="29"/>
        <v>0</v>
      </c>
      <c r="Y73" s="70">
        <f t="shared" si="30"/>
        <v>1.2909944487358056</v>
      </c>
      <c r="Z73" s="70">
        <f t="shared" si="31"/>
        <v>0</v>
      </c>
      <c r="AA73" s="69" t="str">
        <f t="shared" si="32"/>
        <v>Negligible</v>
      </c>
      <c r="AB73" s="69" t="str">
        <f t="shared" si="33"/>
        <v>Tidak Ada Indikasi Bias</v>
      </c>
    </row>
    <row r="74" spans="1:28" ht="37.5" x14ac:dyDescent="0.35">
      <c r="A74" s="71" t="str">
        <f>LIM!A68</f>
        <v>64. Dokumen yang merinci peralatan, bahan, wadah sehingga integritas sampel tetap terjaga</v>
      </c>
      <c r="B74" s="69">
        <f>LIM!B68</f>
        <v>1</v>
      </c>
      <c r="C74" s="69">
        <f>LIM!C68</f>
        <v>1</v>
      </c>
      <c r="D74" s="69">
        <f>LIM!D68</f>
        <v>1</v>
      </c>
      <c r="E74" s="69">
        <f>LIM!E68</f>
        <v>1</v>
      </c>
      <c r="F74" s="69">
        <f>LIM!F68</f>
        <v>1</v>
      </c>
      <c r="G74" s="69">
        <f>LIM!G68</f>
        <v>1</v>
      </c>
      <c r="H74" s="69">
        <f>LIM!H68</f>
        <v>1</v>
      </c>
      <c r="I74" s="69">
        <f>LIM!I68</f>
        <v>1</v>
      </c>
      <c r="J74" s="69">
        <f>LIM!J68</f>
        <v>0</v>
      </c>
      <c r="K74" s="69">
        <f>LIM!K68</f>
        <v>0</v>
      </c>
      <c r="L74" s="69">
        <f t="shared" si="17"/>
        <v>5</v>
      </c>
      <c r="M74" s="69">
        <f t="shared" si="18"/>
        <v>5</v>
      </c>
      <c r="N74" s="69">
        <f t="shared" si="19"/>
        <v>4</v>
      </c>
      <c r="O74" s="69">
        <f t="shared" si="20"/>
        <v>4</v>
      </c>
      <c r="P74" s="69">
        <f t="shared" si="21"/>
        <v>4</v>
      </c>
      <c r="Q74" s="69">
        <f t="shared" si="22"/>
        <v>4</v>
      </c>
      <c r="R74" s="70">
        <f t="shared" si="23"/>
        <v>-1.3862943611198906</v>
      </c>
      <c r="S74" s="70">
        <f t="shared" si="24"/>
        <v>-1.3862943611198906</v>
      </c>
      <c r="T74" s="70">
        <f t="shared" si="25"/>
        <v>-1.3359395577789568</v>
      </c>
      <c r="U74" s="70">
        <f t="shared" si="26"/>
        <v>-1.3359395577789568</v>
      </c>
      <c r="V74" s="70">
        <f t="shared" si="27"/>
        <v>1.1180339887498949</v>
      </c>
      <c r="W74" s="70">
        <f t="shared" si="28"/>
        <v>1.1180339887498949</v>
      </c>
      <c r="X74" s="70">
        <f t="shared" si="29"/>
        <v>0</v>
      </c>
      <c r="Y74" s="70">
        <f t="shared" si="30"/>
        <v>1.5811388300841898</v>
      </c>
      <c r="Z74" s="70">
        <f t="shared" si="31"/>
        <v>0</v>
      </c>
      <c r="AA74" s="69" t="str">
        <f t="shared" si="32"/>
        <v>Negligible</v>
      </c>
      <c r="AB74" s="69" t="str">
        <f t="shared" si="33"/>
        <v>Tidak Ada Indikasi Bias</v>
      </c>
    </row>
    <row r="75" spans="1:28" ht="62.5" x14ac:dyDescent="0.35">
      <c r="A75" s="71" t="str">
        <f>LIM!A69</f>
        <v xml:space="preserve">65. Salah satu standar sampling yang digunakan dengan pengambilan sampel untuk mengetahui apakah dalam sampel terdapat yang cacat atau tidak pada suatu lot adalah </v>
      </c>
      <c r="B75" s="69">
        <f>LIM!B69</f>
        <v>1</v>
      </c>
      <c r="C75" s="69">
        <f>LIM!C69</f>
        <v>1</v>
      </c>
      <c r="D75" s="69">
        <f>LIM!D69</f>
        <v>1</v>
      </c>
      <c r="E75" s="69">
        <f>LIM!E69</f>
        <v>0</v>
      </c>
      <c r="F75" s="69">
        <f>LIM!F69</f>
        <v>1</v>
      </c>
      <c r="G75" s="69">
        <f>LIM!G69</f>
        <v>0</v>
      </c>
      <c r="H75" s="69">
        <f>LIM!H69</f>
        <v>0</v>
      </c>
      <c r="I75" s="69">
        <f>LIM!I69</f>
        <v>0</v>
      </c>
      <c r="J75" s="69">
        <f>LIM!J69</f>
        <v>1</v>
      </c>
      <c r="K75" s="69">
        <f>LIM!K69</f>
        <v>1</v>
      </c>
      <c r="L75" s="69">
        <f t="shared" ref="L75:L110" si="34">COUNTIF($B$8:$K$8,"Laki-Laki")</f>
        <v>5</v>
      </c>
      <c r="M75" s="69">
        <f t="shared" ref="M75:M110" si="35">COUNTIF($B$8:$K$8,"Perempuan")</f>
        <v>5</v>
      </c>
      <c r="N75" s="69">
        <f t="shared" ref="N75:N110" si="36">SUMIF($B$8:$K$8,"Laki-Laki",B75:K75)</f>
        <v>3</v>
      </c>
      <c r="O75" s="69">
        <f t="shared" ref="O75:O110" si="37">SUMIF($B$8:$K$8,"Perempuan",B75:K75)</f>
        <v>3</v>
      </c>
      <c r="P75" s="69">
        <f t="shared" ref="P75:P110" si="38">IF(N75=0,0.3,IF(N75=L75,L75-0.3,N75))</f>
        <v>3</v>
      </c>
      <c r="Q75" s="69">
        <f t="shared" ref="Q75:Q110" si="39">IF(O75=0,0.3,IF(O75=M75,M75-0.3,O75))</f>
        <v>3</v>
      </c>
      <c r="R75" s="70">
        <f t="shared" ref="R75:R110" si="40">LN((L75-P75)/P75)</f>
        <v>-0.40546510810816444</v>
      </c>
      <c r="S75" s="70">
        <f t="shared" ref="S75:S110" si="41">LN((M75-Q75)/Q75)</f>
        <v>-0.40546510810816444</v>
      </c>
      <c r="T75" s="70">
        <f t="shared" ref="T75:T110" si="42">R75-AVERAGE($R$11:$R$110)</f>
        <v>-0.35511030476723077</v>
      </c>
      <c r="U75" s="70">
        <f t="shared" ref="U75:U110" si="43">S75-AVERAGE($S$11:$S$110)</f>
        <v>-0.35511030476723077</v>
      </c>
      <c r="V75" s="70">
        <f t="shared" ref="V75:V110" si="44">SQRT(1/P75+1/(L75-P75))</f>
        <v>0.91287092917527679</v>
      </c>
      <c r="W75" s="70">
        <f t="shared" ref="W75:W110" si="45">SQRT(1/Q75+1/(M75-Q75))</f>
        <v>0.91287092917527679</v>
      </c>
      <c r="X75" s="70">
        <f t="shared" ref="X75:X110" si="46">T75-U75</f>
        <v>0</v>
      </c>
      <c r="Y75" s="70">
        <f t="shared" ref="Y75:Y110" si="47">SQRT(V75^2+W75^2)</f>
        <v>1.2909944487358056</v>
      </c>
      <c r="Z75" s="70">
        <f t="shared" ref="Z75:Z106" si="48">X75/Y75</f>
        <v>0</v>
      </c>
      <c r="AA75" s="69" t="str">
        <f t="shared" ref="AA75:AA106" si="49">IF(AND(ABS(X75)&gt;=$B$4,ABS(Z75)&gt;=$B$5),"DIF Besar - review",IF(AND(ABS(X75)&gt;=$B$3,ABS(Z75)&gt;=$B$5),"DIF Moderat - cek","Negligible"))</f>
        <v>Negligible</v>
      </c>
      <c r="AB75" s="69" t="str">
        <f t="shared" ref="AB75:AB110" si="50">IF(ABS(X75)&gt;=$B$4,"Berpotensi Bias - Tinjau Konten",IF(ABS(X75)&gt;=$B$3,"Indikasi Ringan - Pantau","Tidak Ada Indikasi Bias"))</f>
        <v>Tidak Ada Indikasi Bias</v>
      </c>
    </row>
    <row r="76" spans="1:28" ht="25" x14ac:dyDescent="0.35">
      <c r="A76" s="71" t="str">
        <f>LIM!A70</f>
        <v>66. Metode pengujian harus divalidasi penuh, kecuali metode</v>
      </c>
      <c r="B76" s="69">
        <f>LIM!B70</f>
        <v>1</v>
      </c>
      <c r="C76" s="69">
        <f>LIM!C70</f>
        <v>1</v>
      </c>
      <c r="D76" s="69">
        <f>LIM!D70</f>
        <v>1</v>
      </c>
      <c r="E76" s="69">
        <f>LIM!E70</f>
        <v>0</v>
      </c>
      <c r="F76" s="69">
        <f>LIM!F70</f>
        <v>1</v>
      </c>
      <c r="G76" s="69">
        <f>LIM!G70</f>
        <v>0</v>
      </c>
      <c r="H76" s="69">
        <f>LIM!H70</f>
        <v>1</v>
      </c>
      <c r="I76" s="69">
        <f>LIM!I70</f>
        <v>1</v>
      </c>
      <c r="J76" s="69">
        <f>LIM!J70</f>
        <v>0</v>
      </c>
      <c r="K76" s="69">
        <f>LIM!K70</f>
        <v>0</v>
      </c>
      <c r="L76" s="69">
        <f t="shared" si="34"/>
        <v>5</v>
      </c>
      <c r="M76" s="69">
        <f t="shared" si="35"/>
        <v>5</v>
      </c>
      <c r="N76" s="69">
        <f t="shared" si="36"/>
        <v>3</v>
      </c>
      <c r="O76" s="69">
        <f t="shared" si="37"/>
        <v>3</v>
      </c>
      <c r="P76" s="69">
        <f t="shared" si="38"/>
        <v>3</v>
      </c>
      <c r="Q76" s="69">
        <f t="shared" si="39"/>
        <v>3</v>
      </c>
      <c r="R76" s="70">
        <f t="shared" si="40"/>
        <v>-0.40546510810816444</v>
      </c>
      <c r="S76" s="70">
        <f t="shared" si="41"/>
        <v>-0.40546510810816444</v>
      </c>
      <c r="T76" s="70">
        <f t="shared" si="42"/>
        <v>-0.35511030476723077</v>
      </c>
      <c r="U76" s="70">
        <f t="shared" si="43"/>
        <v>-0.35511030476723077</v>
      </c>
      <c r="V76" s="70">
        <f t="shared" si="44"/>
        <v>0.91287092917527679</v>
      </c>
      <c r="W76" s="70">
        <f t="shared" si="45"/>
        <v>0.91287092917527679</v>
      </c>
      <c r="X76" s="70">
        <f t="shared" si="46"/>
        <v>0</v>
      </c>
      <c r="Y76" s="70">
        <f t="shared" si="47"/>
        <v>1.2909944487358056</v>
      </c>
      <c r="Z76" s="70">
        <f t="shared" si="48"/>
        <v>0</v>
      </c>
      <c r="AA76" s="69" t="str">
        <f t="shared" si="49"/>
        <v>Negligible</v>
      </c>
      <c r="AB76" s="69" t="str">
        <f t="shared" si="50"/>
        <v>Tidak Ada Indikasi Bias</v>
      </c>
    </row>
    <row r="77" spans="1:28" ht="25" x14ac:dyDescent="0.35">
      <c r="A77" s="71" t="str">
        <f>LIM!A71</f>
        <v>67. Lab boleh mebuat / mengembangkan metode sendiri dan dikategorikan metode</v>
      </c>
      <c r="B77" s="69">
        <f>LIM!B71</f>
        <v>0</v>
      </c>
      <c r="C77" s="69">
        <f>LIM!C71</f>
        <v>0</v>
      </c>
      <c r="D77" s="69">
        <f>LIM!D71</f>
        <v>1</v>
      </c>
      <c r="E77" s="69">
        <f>LIM!E71</f>
        <v>1</v>
      </c>
      <c r="F77" s="69">
        <f>LIM!F71</f>
        <v>1</v>
      </c>
      <c r="G77" s="69">
        <f>LIM!G71</f>
        <v>1</v>
      </c>
      <c r="H77" s="69">
        <f>LIM!H71</f>
        <v>0</v>
      </c>
      <c r="I77" s="69">
        <f>LIM!I71</f>
        <v>0</v>
      </c>
      <c r="J77" s="69">
        <f>LIM!J71</f>
        <v>0</v>
      </c>
      <c r="K77" s="69">
        <f>LIM!K71</f>
        <v>0</v>
      </c>
      <c r="L77" s="69">
        <f t="shared" si="34"/>
        <v>5</v>
      </c>
      <c r="M77" s="69">
        <f t="shared" si="35"/>
        <v>5</v>
      </c>
      <c r="N77" s="69">
        <f t="shared" si="36"/>
        <v>2</v>
      </c>
      <c r="O77" s="69">
        <f t="shared" si="37"/>
        <v>2</v>
      </c>
      <c r="P77" s="69">
        <f t="shared" si="38"/>
        <v>2</v>
      </c>
      <c r="Q77" s="69">
        <f t="shared" si="39"/>
        <v>2</v>
      </c>
      <c r="R77" s="70">
        <f t="shared" si="40"/>
        <v>0.40546510810816438</v>
      </c>
      <c r="S77" s="70">
        <f t="shared" si="41"/>
        <v>0.40546510810816438</v>
      </c>
      <c r="T77" s="70">
        <f t="shared" si="42"/>
        <v>0.45581991144909806</v>
      </c>
      <c r="U77" s="70">
        <f t="shared" si="43"/>
        <v>0.45581991144909806</v>
      </c>
      <c r="V77" s="70">
        <f t="shared" si="44"/>
        <v>0.91287092917527679</v>
      </c>
      <c r="W77" s="70">
        <f t="shared" si="45"/>
        <v>0.91287092917527679</v>
      </c>
      <c r="X77" s="70">
        <f t="shared" si="46"/>
        <v>0</v>
      </c>
      <c r="Y77" s="70">
        <f t="shared" si="47"/>
        <v>1.2909944487358056</v>
      </c>
      <c r="Z77" s="70">
        <f t="shared" si="48"/>
        <v>0</v>
      </c>
      <c r="AA77" s="69" t="str">
        <f t="shared" si="49"/>
        <v>Negligible</v>
      </c>
      <c r="AB77" s="69" t="str">
        <f t="shared" si="50"/>
        <v>Tidak Ada Indikasi Bias</v>
      </c>
    </row>
    <row r="78" spans="1:28" ht="25" x14ac:dyDescent="0.35">
      <c r="A78" s="71" t="str">
        <f>LIM!A72</f>
        <v>68. Yang dihitung dalam pembuatan laporan verifikasi atau akurasi adalah</v>
      </c>
      <c r="B78" s="69">
        <f>LIM!B72</f>
        <v>1</v>
      </c>
      <c r="C78" s="69">
        <f>LIM!C72</f>
        <v>1</v>
      </c>
      <c r="D78" s="69">
        <f>LIM!D72</f>
        <v>1</v>
      </c>
      <c r="E78" s="69">
        <f>LIM!E72</f>
        <v>1</v>
      </c>
      <c r="F78" s="69">
        <f>LIM!F72</f>
        <v>1</v>
      </c>
      <c r="G78" s="69">
        <f>LIM!G72</f>
        <v>1</v>
      </c>
      <c r="H78" s="69">
        <f>LIM!H72</f>
        <v>0</v>
      </c>
      <c r="I78" s="69">
        <f>LIM!I72</f>
        <v>0</v>
      </c>
      <c r="J78" s="69">
        <f>LIM!J72</f>
        <v>0</v>
      </c>
      <c r="K78" s="69">
        <f>LIM!K72</f>
        <v>0</v>
      </c>
      <c r="L78" s="69">
        <f t="shared" si="34"/>
        <v>5</v>
      </c>
      <c r="M78" s="69">
        <f t="shared" si="35"/>
        <v>5</v>
      </c>
      <c r="N78" s="69">
        <f t="shared" si="36"/>
        <v>3</v>
      </c>
      <c r="O78" s="69">
        <f t="shared" si="37"/>
        <v>3</v>
      </c>
      <c r="P78" s="69">
        <f t="shared" si="38"/>
        <v>3</v>
      </c>
      <c r="Q78" s="69">
        <f t="shared" si="39"/>
        <v>3</v>
      </c>
      <c r="R78" s="70">
        <f t="shared" si="40"/>
        <v>-0.40546510810816444</v>
      </c>
      <c r="S78" s="70">
        <f t="shared" si="41"/>
        <v>-0.40546510810816444</v>
      </c>
      <c r="T78" s="70">
        <f t="shared" si="42"/>
        <v>-0.35511030476723077</v>
      </c>
      <c r="U78" s="70">
        <f t="shared" si="43"/>
        <v>-0.35511030476723077</v>
      </c>
      <c r="V78" s="70">
        <f t="shared" si="44"/>
        <v>0.91287092917527679</v>
      </c>
      <c r="W78" s="70">
        <f t="shared" si="45"/>
        <v>0.91287092917527679</v>
      </c>
      <c r="X78" s="70">
        <f t="shared" si="46"/>
        <v>0</v>
      </c>
      <c r="Y78" s="70">
        <f t="shared" si="47"/>
        <v>1.2909944487358056</v>
      </c>
      <c r="Z78" s="70">
        <f t="shared" si="48"/>
        <v>0</v>
      </c>
      <c r="AA78" s="69" t="str">
        <f t="shared" si="49"/>
        <v>Negligible</v>
      </c>
      <c r="AB78" s="69" t="str">
        <f t="shared" si="50"/>
        <v>Tidak Ada Indikasi Bias</v>
      </c>
    </row>
    <row r="79" spans="1:28" ht="37.5" x14ac:dyDescent="0.35">
      <c r="A79" s="71" t="str">
        <f>LIM!A73</f>
        <v>69. Pada sertifikat kalibrasi, terdapat informasi tentang ketidakpastian bentangan dg tingkat kepercayaan</v>
      </c>
      <c r="B79" s="69">
        <f>LIM!B73</f>
        <v>0</v>
      </c>
      <c r="C79" s="69">
        <f>LIM!C73</f>
        <v>0</v>
      </c>
      <c r="D79" s="69">
        <f>LIM!D73</f>
        <v>0</v>
      </c>
      <c r="E79" s="69">
        <f>LIM!E73</f>
        <v>1</v>
      </c>
      <c r="F79" s="69">
        <f>LIM!F73</f>
        <v>0</v>
      </c>
      <c r="G79" s="69">
        <f>LIM!G73</f>
        <v>1</v>
      </c>
      <c r="H79" s="69">
        <f>LIM!H73</f>
        <v>0</v>
      </c>
      <c r="I79" s="69">
        <f>LIM!I73</f>
        <v>0</v>
      </c>
      <c r="J79" s="69">
        <f>LIM!J73</f>
        <v>1</v>
      </c>
      <c r="K79" s="69">
        <f>LIM!K73</f>
        <v>1</v>
      </c>
      <c r="L79" s="69">
        <f t="shared" si="34"/>
        <v>5</v>
      </c>
      <c r="M79" s="69">
        <f t="shared" si="35"/>
        <v>5</v>
      </c>
      <c r="N79" s="69">
        <f t="shared" si="36"/>
        <v>2</v>
      </c>
      <c r="O79" s="69">
        <f t="shared" si="37"/>
        <v>2</v>
      </c>
      <c r="P79" s="69">
        <f t="shared" si="38"/>
        <v>2</v>
      </c>
      <c r="Q79" s="69">
        <f t="shared" si="39"/>
        <v>2</v>
      </c>
      <c r="R79" s="70">
        <f t="shared" si="40"/>
        <v>0.40546510810816438</v>
      </c>
      <c r="S79" s="70">
        <f t="shared" si="41"/>
        <v>0.40546510810816438</v>
      </c>
      <c r="T79" s="70">
        <f t="shared" si="42"/>
        <v>0.45581991144909806</v>
      </c>
      <c r="U79" s="70">
        <f t="shared" si="43"/>
        <v>0.45581991144909806</v>
      </c>
      <c r="V79" s="70">
        <f t="shared" si="44"/>
        <v>0.91287092917527679</v>
      </c>
      <c r="W79" s="70">
        <f t="shared" si="45"/>
        <v>0.91287092917527679</v>
      </c>
      <c r="X79" s="70">
        <f t="shared" si="46"/>
        <v>0</v>
      </c>
      <c r="Y79" s="70">
        <f t="shared" si="47"/>
        <v>1.2909944487358056</v>
      </c>
      <c r="Z79" s="70">
        <f t="shared" si="48"/>
        <v>0</v>
      </c>
      <c r="AA79" s="69" t="str">
        <f t="shared" si="49"/>
        <v>Negligible</v>
      </c>
      <c r="AB79" s="69" t="str">
        <f t="shared" si="50"/>
        <v>Tidak Ada Indikasi Bias</v>
      </c>
    </row>
    <row r="80" spans="1:28" ht="37.5" x14ac:dyDescent="0.35">
      <c r="A80" s="71" t="str">
        <f>LIM!A74</f>
        <v>70. Ketidakpastian pengukuran WAJIB dilaporakan dalam sertifikat hasil pengujian apabilan .... (kecuali)</v>
      </c>
      <c r="B80" s="69">
        <f>LIM!B74</f>
        <v>1</v>
      </c>
      <c r="C80" s="69">
        <f>LIM!C74</f>
        <v>1</v>
      </c>
      <c r="D80" s="69">
        <f>LIM!D74</f>
        <v>0</v>
      </c>
      <c r="E80" s="69">
        <f>LIM!E74</f>
        <v>0</v>
      </c>
      <c r="F80" s="69">
        <f>LIM!F74</f>
        <v>0</v>
      </c>
      <c r="G80" s="69">
        <f>LIM!G74</f>
        <v>0</v>
      </c>
      <c r="H80" s="69">
        <f>LIM!H74</f>
        <v>0</v>
      </c>
      <c r="I80" s="69">
        <f>LIM!I74</f>
        <v>0</v>
      </c>
      <c r="J80" s="69">
        <f>LIM!J74</f>
        <v>0</v>
      </c>
      <c r="K80" s="69">
        <f>LIM!K74</f>
        <v>0</v>
      </c>
      <c r="L80" s="69">
        <f t="shared" si="34"/>
        <v>5</v>
      </c>
      <c r="M80" s="69">
        <f t="shared" si="35"/>
        <v>5</v>
      </c>
      <c r="N80" s="69">
        <f t="shared" si="36"/>
        <v>1</v>
      </c>
      <c r="O80" s="69">
        <f t="shared" si="37"/>
        <v>1</v>
      </c>
      <c r="P80" s="69">
        <f t="shared" si="38"/>
        <v>1</v>
      </c>
      <c r="Q80" s="69">
        <f t="shared" si="39"/>
        <v>1</v>
      </c>
      <c r="R80" s="70">
        <f t="shared" si="40"/>
        <v>1.3862943611198906</v>
      </c>
      <c r="S80" s="70">
        <f t="shared" si="41"/>
        <v>1.3862943611198906</v>
      </c>
      <c r="T80" s="70">
        <f t="shared" si="42"/>
        <v>1.4366491644608244</v>
      </c>
      <c r="U80" s="70">
        <f t="shared" si="43"/>
        <v>1.4366491644608244</v>
      </c>
      <c r="V80" s="70">
        <f t="shared" si="44"/>
        <v>1.1180339887498949</v>
      </c>
      <c r="W80" s="70">
        <f t="shared" si="45"/>
        <v>1.1180339887498949</v>
      </c>
      <c r="X80" s="70">
        <f t="shared" si="46"/>
        <v>0</v>
      </c>
      <c r="Y80" s="70">
        <f t="shared" si="47"/>
        <v>1.5811388300841898</v>
      </c>
      <c r="Z80" s="70">
        <f t="shared" si="48"/>
        <v>0</v>
      </c>
      <c r="AA80" s="69" t="str">
        <f t="shared" si="49"/>
        <v>Negligible</v>
      </c>
      <c r="AB80" s="69" t="str">
        <f t="shared" si="50"/>
        <v>Tidak Ada Indikasi Bias</v>
      </c>
    </row>
    <row r="81" spans="1:28" ht="62.5" x14ac:dyDescent="0.35">
      <c r="A81" s="71" t="str">
        <f>LIM!A75</f>
        <v>71. Laboratorium harus memiliki sistem untuk identifikasi sampel , dan dipertahankan selama sampel berada di bawah penanganan laboratorium, identifikasi tersebut dapat berupa</v>
      </c>
      <c r="B81" s="69">
        <f>LIM!B75</f>
        <v>1</v>
      </c>
      <c r="C81" s="69">
        <f>LIM!C75</f>
        <v>1</v>
      </c>
      <c r="D81" s="69">
        <f>LIM!D75</f>
        <v>0</v>
      </c>
      <c r="E81" s="69">
        <f>LIM!E75</f>
        <v>0</v>
      </c>
      <c r="F81" s="69">
        <f>LIM!F75</f>
        <v>0</v>
      </c>
      <c r="G81" s="69">
        <f>LIM!G75</f>
        <v>0</v>
      </c>
      <c r="H81" s="69">
        <f>LIM!H75</f>
        <v>0</v>
      </c>
      <c r="I81" s="69">
        <f>LIM!I75</f>
        <v>0</v>
      </c>
      <c r="J81" s="69">
        <f>LIM!J75</f>
        <v>0</v>
      </c>
      <c r="K81" s="69">
        <f>LIM!K75</f>
        <v>0</v>
      </c>
      <c r="L81" s="69">
        <f t="shared" si="34"/>
        <v>5</v>
      </c>
      <c r="M81" s="69">
        <f t="shared" si="35"/>
        <v>5</v>
      </c>
      <c r="N81" s="69">
        <f t="shared" si="36"/>
        <v>1</v>
      </c>
      <c r="O81" s="69">
        <f t="shared" si="37"/>
        <v>1</v>
      </c>
      <c r="P81" s="69">
        <f t="shared" si="38"/>
        <v>1</v>
      </c>
      <c r="Q81" s="69">
        <f t="shared" si="39"/>
        <v>1</v>
      </c>
      <c r="R81" s="70">
        <f t="shared" si="40"/>
        <v>1.3862943611198906</v>
      </c>
      <c r="S81" s="70">
        <f t="shared" si="41"/>
        <v>1.3862943611198906</v>
      </c>
      <c r="T81" s="70">
        <f t="shared" si="42"/>
        <v>1.4366491644608244</v>
      </c>
      <c r="U81" s="70">
        <f t="shared" si="43"/>
        <v>1.4366491644608244</v>
      </c>
      <c r="V81" s="70">
        <f t="shared" si="44"/>
        <v>1.1180339887498949</v>
      </c>
      <c r="W81" s="70">
        <f t="shared" si="45"/>
        <v>1.1180339887498949</v>
      </c>
      <c r="X81" s="70">
        <f t="shared" si="46"/>
        <v>0</v>
      </c>
      <c r="Y81" s="70">
        <f t="shared" si="47"/>
        <v>1.5811388300841898</v>
      </c>
      <c r="Z81" s="70">
        <f t="shared" si="48"/>
        <v>0</v>
      </c>
      <c r="AA81" s="69" t="str">
        <f t="shared" si="49"/>
        <v>Negligible</v>
      </c>
      <c r="AB81" s="69" t="str">
        <f t="shared" si="50"/>
        <v>Tidak Ada Indikasi Bias</v>
      </c>
    </row>
    <row r="82" spans="1:28" ht="25" x14ac:dyDescent="0.35">
      <c r="A82" s="71" t="str">
        <f>LIM!A76</f>
        <v>72. Pemastian keabsahan hasil pengujian untuk material</v>
      </c>
      <c r="B82" s="69">
        <f>LIM!B76</f>
        <v>1</v>
      </c>
      <c r="C82" s="69">
        <f>LIM!C76</f>
        <v>1</v>
      </c>
      <c r="D82" s="69">
        <f>LIM!D76</f>
        <v>1</v>
      </c>
      <c r="E82" s="69">
        <f>LIM!E76</f>
        <v>0</v>
      </c>
      <c r="F82" s="69">
        <f>LIM!F76</f>
        <v>1</v>
      </c>
      <c r="G82" s="69">
        <f>LIM!G76</f>
        <v>0</v>
      </c>
      <c r="H82" s="69">
        <f>LIM!H76</f>
        <v>0</v>
      </c>
      <c r="I82" s="69">
        <f>LIM!I76</f>
        <v>0</v>
      </c>
      <c r="J82" s="69">
        <f>LIM!J76</f>
        <v>0</v>
      </c>
      <c r="K82" s="69">
        <f>LIM!K76</f>
        <v>0</v>
      </c>
      <c r="L82" s="69">
        <f t="shared" si="34"/>
        <v>5</v>
      </c>
      <c r="M82" s="69">
        <f t="shared" si="35"/>
        <v>5</v>
      </c>
      <c r="N82" s="69">
        <f t="shared" si="36"/>
        <v>2</v>
      </c>
      <c r="O82" s="69">
        <f t="shared" si="37"/>
        <v>2</v>
      </c>
      <c r="P82" s="69">
        <f t="shared" si="38"/>
        <v>2</v>
      </c>
      <c r="Q82" s="69">
        <f t="shared" si="39"/>
        <v>2</v>
      </c>
      <c r="R82" s="70">
        <f t="shared" si="40"/>
        <v>0.40546510810816438</v>
      </c>
      <c r="S82" s="70">
        <f t="shared" si="41"/>
        <v>0.40546510810816438</v>
      </c>
      <c r="T82" s="70">
        <f t="shared" si="42"/>
        <v>0.45581991144909806</v>
      </c>
      <c r="U82" s="70">
        <f t="shared" si="43"/>
        <v>0.45581991144909806</v>
      </c>
      <c r="V82" s="70">
        <f t="shared" si="44"/>
        <v>0.91287092917527679</v>
      </c>
      <c r="W82" s="70">
        <f t="shared" si="45"/>
        <v>0.91287092917527679</v>
      </c>
      <c r="X82" s="70">
        <f t="shared" si="46"/>
        <v>0</v>
      </c>
      <c r="Y82" s="70">
        <f t="shared" si="47"/>
        <v>1.2909944487358056</v>
      </c>
      <c r="Z82" s="70">
        <f t="shared" si="48"/>
        <v>0</v>
      </c>
      <c r="AA82" s="69" t="str">
        <f t="shared" si="49"/>
        <v>Negligible</v>
      </c>
      <c r="AB82" s="69" t="str">
        <f t="shared" si="50"/>
        <v>Tidak Ada Indikasi Bias</v>
      </c>
    </row>
    <row r="83" spans="1:28" ht="25" x14ac:dyDescent="0.35">
      <c r="A83" s="71" t="str">
        <f>LIM!A77</f>
        <v>73. Pemastian keabsahan hasil pengujian untuk peralatan</v>
      </c>
      <c r="B83" s="69">
        <f>LIM!B77</f>
        <v>1</v>
      </c>
      <c r="C83" s="69">
        <f>LIM!C77</f>
        <v>1</v>
      </c>
      <c r="D83" s="69">
        <f>LIM!D77</f>
        <v>0</v>
      </c>
      <c r="E83" s="69">
        <f>LIM!E77</f>
        <v>0</v>
      </c>
      <c r="F83" s="69">
        <f>LIM!F77</f>
        <v>0</v>
      </c>
      <c r="G83" s="69">
        <f>LIM!G77</f>
        <v>0</v>
      </c>
      <c r="H83" s="69">
        <f>LIM!H77</f>
        <v>0</v>
      </c>
      <c r="I83" s="69">
        <f>LIM!I77</f>
        <v>0</v>
      </c>
      <c r="J83" s="69">
        <f>LIM!J77</f>
        <v>0</v>
      </c>
      <c r="K83" s="69">
        <f>LIM!K77</f>
        <v>0</v>
      </c>
      <c r="L83" s="69">
        <f t="shared" si="34"/>
        <v>5</v>
      </c>
      <c r="M83" s="69">
        <f t="shared" si="35"/>
        <v>5</v>
      </c>
      <c r="N83" s="69">
        <f t="shared" si="36"/>
        <v>1</v>
      </c>
      <c r="O83" s="69">
        <f t="shared" si="37"/>
        <v>1</v>
      </c>
      <c r="P83" s="69">
        <f t="shared" si="38"/>
        <v>1</v>
      </c>
      <c r="Q83" s="69">
        <f t="shared" si="39"/>
        <v>1</v>
      </c>
      <c r="R83" s="70">
        <f t="shared" si="40"/>
        <v>1.3862943611198906</v>
      </c>
      <c r="S83" s="70">
        <f t="shared" si="41"/>
        <v>1.3862943611198906</v>
      </c>
      <c r="T83" s="70">
        <f t="shared" si="42"/>
        <v>1.4366491644608244</v>
      </c>
      <c r="U83" s="70">
        <f t="shared" si="43"/>
        <v>1.4366491644608244</v>
      </c>
      <c r="V83" s="70">
        <f t="shared" si="44"/>
        <v>1.1180339887498949</v>
      </c>
      <c r="W83" s="70">
        <f t="shared" si="45"/>
        <v>1.1180339887498949</v>
      </c>
      <c r="X83" s="70">
        <f t="shared" si="46"/>
        <v>0</v>
      </c>
      <c r="Y83" s="70">
        <f t="shared" si="47"/>
        <v>1.5811388300841898</v>
      </c>
      <c r="Z83" s="70">
        <f t="shared" si="48"/>
        <v>0</v>
      </c>
      <c r="AA83" s="69" t="str">
        <f t="shared" si="49"/>
        <v>Negligible</v>
      </c>
      <c r="AB83" s="69" t="str">
        <f t="shared" si="50"/>
        <v>Tidak Ada Indikasi Bias</v>
      </c>
    </row>
    <row r="84" spans="1:28" ht="25" x14ac:dyDescent="0.35">
      <c r="A84" s="71" t="str">
        <f>LIM!A78</f>
        <v>74. Pemastian keabsahan hasil pengujian untuk personel</v>
      </c>
      <c r="B84" s="69">
        <f>LIM!B78</f>
        <v>1</v>
      </c>
      <c r="C84" s="69">
        <f>LIM!C78</f>
        <v>1</v>
      </c>
      <c r="D84" s="69">
        <f>LIM!D78</f>
        <v>1</v>
      </c>
      <c r="E84" s="69">
        <f>LIM!E78</f>
        <v>0</v>
      </c>
      <c r="F84" s="69">
        <f>LIM!F78</f>
        <v>1</v>
      </c>
      <c r="G84" s="69">
        <f>LIM!G78</f>
        <v>0</v>
      </c>
      <c r="H84" s="69">
        <f>LIM!H78</f>
        <v>0</v>
      </c>
      <c r="I84" s="69">
        <f>LIM!I78</f>
        <v>0</v>
      </c>
      <c r="J84" s="69">
        <f>LIM!J78</f>
        <v>0</v>
      </c>
      <c r="K84" s="69">
        <f>LIM!K78</f>
        <v>0</v>
      </c>
      <c r="L84" s="69">
        <f t="shared" si="34"/>
        <v>5</v>
      </c>
      <c r="M84" s="69">
        <f t="shared" si="35"/>
        <v>5</v>
      </c>
      <c r="N84" s="69">
        <f t="shared" si="36"/>
        <v>2</v>
      </c>
      <c r="O84" s="69">
        <f t="shared" si="37"/>
        <v>2</v>
      </c>
      <c r="P84" s="69">
        <f t="shared" si="38"/>
        <v>2</v>
      </c>
      <c r="Q84" s="69">
        <f t="shared" si="39"/>
        <v>2</v>
      </c>
      <c r="R84" s="70">
        <f t="shared" si="40"/>
        <v>0.40546510810816438</v>
      </c>
      <c r="S84" s="70">
        <f t="shared" si="41"/>
        <v>0.40546510810816438</v>
      </c>
      <c r="T84" s="70">
        <f t="shared" si="42"/>
        <v>0.45581991144909806</v>
      </c>
      <c r="U84" s="70">
        <f t="shared" si="43"/>
        <v>0.45581991144909806</v>
      </c>
      <c r="V84" s="70">
        <f t="shared" si="44"/>
        <v>0.91287092917527679</v>
      </c>
      <c r="W84" s="70">
        <f t="shared" si="45"/>
        <v>0.91287092917527679</v>
      </c>
      <c r="X84" s="70">
        <f t="shared" si="46"/>
        <v>0</v>
      </c>
      <c r="Y84" s="70">
        <f t="shared" si="47"/>
        <v>1.2909944487358056</v>
      </c>
      <c r="Z84" s="70">
        <f t="shared" si="48"/>
        <v>0</v>
      </c>
      <c r="AA84" s="69" t="str">
        <f t="shared" si="49"/>
        <v>Negligible</v>
      </c>
      <c r="AB84" s="69" t="str">
        <f t="shared" si="50"/>
        <v>Tidak Ada Indikasi Bias</v>
      </c>
    </row>
    <row r="85" spans="1:28" ht="62.5" x14ac:dyDescent="0.35">
      <c r="A85" s="71" t="str">
        <f>LIM!A79</f>
        <v>75. Program di mana laboratorium secara periodik diuji oleh badan independen untuk mengevaluasi kompetensi dalam melakukan analisis dengan perbandingan antar laboratorium</v>
      </c>
      <c r="B85" s="69">
        <f>LIM!B79</f>
        <v>0</v>
      </c>
      <c r="C85" s="69">
        <f>LIM!C79</f>
        <v>0</v>
      </c>
      <c r="D85" s="69">
        <f>LIM!D79</f>
        <v>1</v>
      </c>
      <c r="E85" s="69">
        <f>LIM!E79</f>
        <v>0</v>
      </c>
      <c r="F85" s="69">
        <f>LIM!F79</f>
        <v>1</v>
      </c>
      <c r="G85" s="69">
        <f>LIM!G79</f>
        <v>0</v>
      </c>
      <c r="H85" s="69">
        <f>LIM!H79</f>
        <v>0</v>
      </c>
      <c r="I85" s="69">
        <f>LIM!I79</f>
        <v>0</v>
      </c>
      <c r="J85" s="69">
        <f>LIM!J79</f>
        <v>0</v>
      </c>
      <c r="K85" s="69">
        <f>LIM!K79</f>
        <v>0</v>
      </c>
      <c r="L85" s="69">
        <f t="shared" si="34"/>
        <v>5</v>
      </c>
      <c r="M85" s="69">
        <f t="shared" si="35"/>
        <v>5</v>
      </c>
      <c r="N85" s="69">
        <f t="shared" si="36"/>
        <v>1</v>
      </c>
      <c r="O85" s="69">
        <f t="shared" si="37"/>
        <v>1</v>
      </c>
      <c r="P85" s="69">
        <f t="shared" si="38"/>
        <v>1</v>
      </c>
      <c r="Q85" s="69">
        <f t="shared" si="39"/>
        <v>1</v>
      </c>
      <c r="R85" s="70">
        <f t="shared" si="40"/>
        <v>1.3862943611198906</v>
      </c>
      <c r="S85" s="70">
        <f t="shared" si="41"/>
        <v>1.3862943611198906</v>
      </c>
      <c r="T85" s="70">
        <f t="shared" si="42"/>
        <v>1.4366491644608244</v>
      </c>
      <c r="U85" s="70">
        <f t="shared" si="43"/>
        <v>1.4366491644608244</v>
      </c>
      <c r="V85" s="70">
        <f t="shared" si="44"/>
        <v>1.1180339887498949</v>
      </c>
      <c r="W85" s="70">
        <f t="shared" si="45"/>
        <v>1.1180339887498949</v>
      </c>
      <c r="X85" s="70">
        <f t="shared" si="46"/>
        <v>0</v>
      </c>
      <c r="Y85" s="70">
        <f t="shared" si="47"/>
        <v>1.5811388300841898</v>
      </c>
      <c r="Z85" s="70">
        <f t="shared" si="48"/>
        <v>0</v>
      </c>
      <c r="AA85" s="69" t="str">
        <f t="shared" si="49"/>
        <v>Negligible</v>
      </c>
      <c r="AB85" s="69" t="str">
        <f t="shared" si="50"/>
        <v>Tidak Ada Indikasi Bias</v>
      </c>
    </row>
    <row r="86" spans="1:28" ht="25" x14ac:dyDescent="0.35">
      <c r="A86" s="71" t="str">
        <f>LIM!A80</f>
        <v>76. Tugas Kepala lab terkait pelaporan hasil pengujian adalah</v>
      </c>
      <c r="B86" s="69">
        <f>LIM!B80</f>
        <v>0</v>
      </c>
      <c r="C86" s="69">
        <f>LIM!C80</f>
        <v>0</v>
      </c>
      <c r="D86" s="69">
        <f>LIM!D80</f>
        <v>1</v>
      </c>
      <c r="E86" s="69">
        <f>LIM!E80</f>
        <v>1</v>
      </c>
      <c r="F86" s="69">
        <f>LIM!F80</f>
        <v>1</v>
      </c>
      <c r="G86" s="69">
        <f>LIM!G80</f>
        <v>1</v>
      </c>
      <c r="H86" s="69">
        <f>LIM!H80</f>
        <v>0</v>
      </c>
      <c r="I86" s="69">
        <f>LIM!I80</f>
        <v>0</v>
      </c>
      <c r="J86" s="69">
        <f>LIM!J80</f>
        <v>0</v>
      </c>
      <c r="K86" s="69">
        <f>LIM!K80</f>
        <v>0</v>
      </c>
      <c r="L86" s="69">
        <f t="shared" si="34"/>
        <v>5</v>
      </c>
      <c r="M86" s="69">
        <f t="shared" si="35"/>
        <v>5</v>
      </c>
      <c r="N86" s="69">
        <f t="shared" si="36"/>
        <v>2</v>
      </c>
      <c r="O86" s="69">
        <f t="shared" si="37"/>
        <v>2</v>
      </c>
      <c r="P86" s="69">
        <f t="shared" si="38"/>
        <v>2</v>
      </c>
      <c r="Q86" s="69">
        <f t="shared" si="39"/>
        <v>2</v>
      </c>
      <c r="R86" s="70">
        <f t="shared" si="40"/>
        <v>0.40546510810816438</v>
      </c>
      <c r="S86" s="70">
        <f t="shared" si="41"/>
        <v>0.40546510810816438</v>
      </c>
      <c r="T86" s="70">
        <f t="shared" si="42"/>
        <v>0.45581991144909806</v>
      </c>
      <c r="U86" s="70">
        <f t="shared" si="43"/>
        <v>0.45581991144909806</v>
      </c>
      <c r="V86" s="70">
        <f t="shared" si="44"/>
        <v>0.91287092917527679</v>
      </c>
      <c r="W86" s="70">
        <f t="shared" si="45"/>
        <v>0.91287092917527679</v>
      </c>
      <c r="X86" s="70">
        <f t="shared" si="46"/>
        <v>0</v>
      </c>
      <c r="Y86" s="70">
        <f t="shared" si="47"/>
        <v>1.2909944487358056</v>
      </c>
      <c r="Z86" s="70">
        <f t="shared" si="48"/>
        <v>0</v>
      </c>
      <c r="AA86" s="69" t="str">
        <f t="shared" si="49"/>
        <v>Negligible</v>
      </c>
      <c r="AB86" s="69" t="str">
        <f t="shared" si="50"/>
        <v>Tidak Ada Indikasi Bias</v>
      </c>
    </row>
    <row r="87" spans="1:28" ht="37.5" x14ac:dyDescent="0.35">
      <c r="A87" s="71" t="str">
        <f>LIM!A81</f>
        <v>77. Setiap laporan pengujian atau sertifikat kalibrasi harus mencakup setidaknya informasi berikut ... kecuali</v>
      </c>
      <c r="B87" s="69">
        <f>LIM!B81</f>
        <v>0</v>
      </c>
      <c r="C87" s="69">
        <f>LIM!C81</f>
        <v>0</v>
      </c>
      <c r="D87" s="69">
        <f>LIM!D81</f>
        <v>1</v>
      </c>
      <c r="E87" s="69">
        <f>LIM!E81</f>
        <v>1</v>
      </c>
      <c r="F87" s="69">
        <f>LIM!F81</f>
        <v>1</v>
      </c>
      <c r="G87" s="69">
        <f>LIM!G81</f>
        <v>1</v>
      </c>
      <c r="H87" s="69">
        <f>LIM!H81</f>
        <v>0</v>
      </c>
      <c r="I87" s="69">
        <f>LIM!I81</f>
        <v>0</v>
      </c>
      <c r="J87" s="69">
        <f>LIM!J81</f>
        <v>0</v>
      </c>
      <c r="K87" s="69">
        <f>LIM!K81</f>
        <v>0</v>
      </c>
      <c r="L87" s="69">
        <f t="shared" si="34"/>
        <v>5</v>
      </c>
      <c r="M87" s="69">
        <f t="shared" si="35"/>
        <v>5</v>
      </c>
      <c r="N87" s="69">
        <f t="shared" si="36"/>
        <v>2</v>
      </c>
      <c r="O87" s="69">
        <f t="shared" si="37"/>
        <v>2</v>
      </c>
      <c r="P87" s="69">
        <f t="shared" si="38"/>
        <v>2</v>
      </c>
      <c r="Q87" s="69">
        <f t="shared" si="39"/>
        <v>2</v>
      </c>
      <c r="R87" s="70">
        <f t="shared" si="40"/>
        <v>0.40546510810816438</v>
      </c>
      <c r="S87" s="70">
        <f t="shared" si="41"/>
        <v>0.40546510810816438</v>
      </c>
      <c r="T87" s="70">
        <f t="shared" si="42"/>
        <v>0.45581991144909806</v>
      </c>
      <c r="U87" s="70">
        <f t="shared" si="43"/>
        <v>0.45581991144909806</v>
      </c>
      <c r="V87" s="70">
        <f t="shared" si="44"/>
        <v>0.91287092917527679</v>
      </c>
      <c r="W87" s="70">
        <f t="shared" si="45"/>
        <v>0.91287092917527679</v>
      </c>
      <c r="X87" s="70">
        <f t="shared" si="46"/>
        <v>0</v>
      </c>
      <c r="Y87" s="70">
        <f t="shared" si="47"/>
        <v>1.2909944487358056</v>
      </c>
      <c r="Z87" s="70">
        <f t="shared" si="48"/>
        <v>0</v>
      </c>
      <c r="AA87" s="69" t="str">
        <f t="shared" si="49"/>
        <v>Negligible</v>
      </c>
      <c r="AB87" s="69" t="str">
        <f t="shared" si="50"/>
        <v>Tidak Ada Indikasi Bias</v>
      </c>
    </row>
    <row r="88" spans="1:28" ht="25" x14ac:dyDescent="0.35">
      <c r="A88" s="71" t="str">
        <f>LIM!A82</f>
        <v>78. Salah satu prinsip dalam pengendalian data adalah</v>
      </c>
      <c r="B88" s="69">
        <f>LIM!B82</f>
        <v>0</v>
      </c>
      <c r="C88" s="69">
        <f>LIM!C82</f>
        <v>0</v>
      </c>
      <c r="D88" s="69">
        <f>LIM!D82</f>
        <v>1</v>
      </c>
      <c r="E88" s="69">
        <f>LIM!E82</f>
        <v>0</v>
      </c>
      <c r="F88" s="69">
        <f>LIM!F82</f>
        <v>1</v>
      </c>
      <c r="G88" s="69">
        <f>LIM!G82</f>
        <v>0</v>
      </c>
      <c r="H88" s="69">
        <f>LIM!H82</f>
        <v>0</v>
      </c>
      <c r="I88" s="69">
        <f>LIM!I82</f>
        <v>0</v>
      </c>
      <c r="J88" s="69">
        <f>LIM!J82</f>
        <v>0</v>
      </c>
      <c r="K88" s="69">
        <f>LIM!K82</f>
        <v>0</v>
      </c>
      <c r="L88" s="69">
        <f t="shared" si="34"/>
        <v>5</v>
      </c>
      <c r="M88" s="69">
        <f t="shared" si="35"/>
        <v>5</v>
      </c>
      <c r="N88" s="69">
        <f t="shared" si="36"/>
        <v>1</v>
      </c>
      <c r="O88" s="69">
        <f t="shared" si="37"/>
        <v>1</v>
      </c>
      <c r="P88" s="69">
        <f t="shared" si="38"/>
        <v>1</v>
      </c>
      <c r="Q88" s="69">
        <f t="shared" si="39"/>
        <v>1</v>
      </c>
      <c r="R88" s="70">
        <f t="shared" si="40"/>
        <v>1.3862943611198906</v>
      </c>
      <c r="S88" s="70">
        <f t="shared" si="41"/>
        <v>1.3862943611198906</v>
      </c>
      <c r="T88" s="70">
        <f t="shared" si="42"/>
        <v>1.4366491644608244</v>
      </c>
      <c r="U88" s="70">
        <f t="shared" si="43"/>
        <v>1.4366491644608244</v>
      </c>
      <c r="V88" s="70">
        <f t="shared" si="44"/>
        <v>1.1180339887498949</v>
      </c>
      <c r="W88" s="70">
        <f t="shared" si="45"/>
        <v>1.1180339887498949</v>
      </c>
      <c r="X88" s="70">
        <f t="shared" si="46"/>
        <v>0</v>
      </c>
      <c r="Y88" s="70">
        <f t="shared" si="47"/>
        <v>1.5811388300841898</v>
      </c>
      <c r="Z88" s="70">
        <f t="shared" si="48"/>
        <v>0</v>
      </c>
      <c r="AA88" s="69" t="str">
        <f t="shared" si="49"/>
        <v>Negligible</v>
      </c>
      <c r="AB88" s="69" t="str">
        <f t="shared" si="50"/>
        <v>Tidak Ada Indikasi Bias</v>
      </c>
    </row>
    <row r="89" spans="1:28" ht="25" x14ac:dyDescent="0.35">
      <c r="A89" s="71" t="str">
        <f>LIM!A83</f>
        <v>79. Salah satu langkah yang diambil untuk memastikan keamanan data</v>
      </c>
      <c r="B89" s="69">
        <f>LIM!B83</f>
        <v>1</v>
      </c>
      <c r="C89" s="69">
        <f>LIM!C83</f>
        <v>1</v>
      </c>
      <c r="D89" s="69">
        <f>LIM!D83</f>
        <v>1</v>
      </c>
      <c r="E89" s="69">
        <f>LIM!E83</f>
        <v>0</v>
      </c>
      <c r="F89" s="69">
        <f>LIM!F83</f>
        <v>1</v>
      </c>
      <c r="G89" s="69">
        <f>LIM!G83</f>
        <v>0</v>
      </c>
      <c r="H89" s="69">
        <f>LIM!H83</f>
        <v>0</v>
      </c>
      <c r="I89" s="69">
        <f>LIM!I83</f>
        <v>0</v>
      </c>
      <c r="J89" s="69">
        <f>LIM!J83</f>
        <v>0</v>
      </c>
      <c r="K89" s="69">
        <f>LIM!K83</f>
        <v>0</v>
      </c>
      <c r="L89" s="69">
        <f t="shared" si="34"/>
        <v>5</v>
      </c>
      <c r="M89" s="69">
        <f t="shared" si="35"/>
        <v>5</v>
      </c>
      <c r="N89" s="69">
        <f t="shared" si="36"/>
        <v>2</v>
      </c>
      <c r="O89" s="69">
        <f t="shared" si="37"/>
        <v>2</v>
      </c>
      <c r="P89" s="69">
        <f t="shared" si="38"/>
        <v>2</v>
      </c>
      <c r="Q89" s="69">
        <f t="shared" si="39"/>
        <v>2</v>
      </c>
      <c r="R89" s="70">
        <f t="shared" si="40"/>
        <v>0.40546510810816438</v>
      </c>
      <c r="S89" s="70">
        <f t="shared" si="41"/>
        <v>0.40546510810816438</v>
      </c>
      <c r="T89" s="70">
        <f t="shared" si="42"/>
        <v>0.45581991144909806</v>
      </c>
      <c r="U89" s="70">
        <f t="shared" si="43"/>
        <v>0.45581991144909806</v>
      </c>
      <c r="V89" s="70">
        <f t="shared" si="44"/>
        <v>0.91287092917527679</v>
      </c>
      <c r="W89" s="70">
        <f t="shared" si="45"/>
        <v>0.91287092917527679</v>
      </c>
      <c r="X89" s="70">
        <f t="shared" si="46"/>
        <v>0</v>
      </c>
      <c r="Y89" s="70">
        <f t="shared" si="47"/>
        <v>1.2909944487358056</v>
      </c>
      <c r="Z89" s="70">
        <f t="shared" si="48"/>
        <v>0</v>
      </c>
      <c r="AA89" s="69" t="str">
        <f t="shared" si="49"/>
        <v>Negligible</v>
      </c>
      <c r="AB89" s="69" t="str">
        <f t="shared" si="50"/>
        <v>Tidak Ada Indikasi Bias</v>
      </c>
    </row>
    <row r="90" spans="1:28" ht="37.5" x14ac:dyDescent="0.35">
      <c r="A90" s="71" t="str">
        <f>LIM!A84</f>
        <v>80. Proses pemeriksaan kembali data oleh personel yang tidak terlibat dalam pengumpulan data disebut</v>
      </c>
      <c r="B90" s="69">
        <f>LIM!B84</f>
        <v>1</v>
      </c>
      <c r="C90" s="69">
        <f>LIM!C84</f>
        <v>1</v>
      </c>
      <c r="D90" s="69">
        <f>LIM!D84</f>
        <v>1</v>
      </c>
      <c r="E90" s="69">
        <f>LIM!E84</f>
        <v>1</v>
      </c>
      <c r="F90" s="69">
        <f>LIM!F84</f>
        <v>1</v>
      </c>
      <c r="G90" s="69">
        <f>LIM!G84</f>
        <v>1</v>
      </c>
      <c r="H90" s="69">
        <f>LIM!H84</f>
        <v>0</v>
      </c>
      <c r="I90" s="69">
        <f>LIM!I84</f>
        <v>0</v>
      </c>
      <c r="J90" s="69">
        <f>LIM!J84</f>
        <v>1</v>
      </c>
      <c r="K90" s="69">
        <f>LIM!K84</f>
        <v>1</v>
      </c>
      <c r="L90" s="69">
        <f t="shared" si="34"/>
        <v>5</v>
      </c>
      <c r="M90" s="69">
        <f t="shared" si="35"/>
        <v>5</v>
      </c>
      <c r="N90" s="69">
        <f t="shared" si="36"/>
        <v>4</v>
      </c>
      <c r="O90" s="69">
        <f t="shared" si="37"/>
        <v>4</v>
      </c>
      <c r="P90" s="69">
        <f t="shared" si="38"/>
        <v>4</v>
      </c>
      <c r="Q90" s="69">
        <f t="shared" si="39"/>
        <v>4</v>
      </c>
      <c r="R90" s="70">
        <f t="shared" si="40"/>
        <v>-1.3862943611198906</v>
      </c>
      <c r="S90" s="70">
        <f t="shared" si="41"/>
        <v>-1.3862943611198906</v>
      </c>
      <c r="T90" s="70">
        <f t="shared" si="42"/>
        <v>-1.3359395577789568</v>
      </c>
      <c r="U90" s="70">
        <f t="shared" si="43"/>
        <v>-1.3359395577789568</v>
      </c>
      <c r="V90" s="70">
        <f t="shared" si="44"/>
        <v>1.1180339887498949</v>
      </c>
      <c r="W90" s="70">
        <f t="shared" si="45"/>
        <v>1.1180339887498949</v>
      </c>
      <c r="X90" s="70">
        <f t="shared" si="46"/>
        <v>0</v>
      </c>
      <c r="Y90" s="70">
        <f t="shared" si="47"/>
        <v>1.5811388300841898</v>
      </c>
      <c r="Z90" s="70">
        <f t="shared" si="48"/>
        <v>0</v>
      </c>
      <c r="AA90" s="69" t="str">
        <f t="shared" si="49"/>
        <v>Negligible</v>
      </c>
      <c r="AB90" s="69" t="str">
        <f t="shared" si="50"/>
        <v>Tidak Ada Indikasi Bias</v>
      </c>
    </row>
    <row r="91" spans="1:28" ht="37.5" customHeight="1" x14ac:dyDescent="0.35">
      <c r="A91" s="71" t="str">
        <f>LIM!A85</f>
        <v>81. Apa yang dimaksud dengan pengaduan pelanggan</v>
      </c>
      <c r="B91" s="69">
        <f>LIM!B85</f>
        <v>1</v>
      </c>
      <c r="C91" s="69">
        <f>LIM!C85</f>
        <v>1</v>
      </c>
      <c r="D91" s="69">
        <f>LIM!D85</f>
        <v>1</v>
      </c>
      <c r="E91" s="69">
        <f>LIM!E85</f>
        <v>0</v>
      </c>
      <c r="F91" s="69">
        <f>LIM!F85</f>
        <v>1</v>
      </c>
      <c r="G91" s="69">
        <f>LIM!G85</f>
        <v>0</v>
      </c>
      <c r="H91" s="69">
        <f>LIM!H85</f>
        <v>0</v>
      </c>
      <c r="I91" s="69">
        <f>LIM!I85</f>
        <v>0</v>
      </c>
      <c r="J91" s="69">
        <f>LIM!J85</f>
        <v>0</v>
      </c>
      <c r="K91" s="69">
        <f>LIM!K85</f>
        <v>0</v>
      </c>
      <c r="L91" s="69">
        <f t="shared" si="34"/>
        <v>5</v>
      </c>
      <c r="M91" s="69">
        <f t="shared" si="35"/>
        <v>5</v>
      </c>
      <c r="N91" s="69">
        <f t="shared" si="36"/>
        <v>2</v>
      </c>
      <c r="O91" s="69">
        <f t="shared" si="37"/>
        <v>2</v>
      </c>
      <c r="P91" s="69">
        <f t="shared" si="38"/>
        <v>2</v>
      </c>
      <c r="Q91" s="69">
        <f t="shared" si="39"/>
        <v>2</v>
      </c>
      <c r="R91" s="70">
        <f t="shared" si="40"/>
        <v>0.40546510810816438</v>
      </c>
      <c r="S91" s="70">
        <f t="shared" si="41"/>
        <v>0.40546510810816438</v>
      </c>
      <c r="T91" s="70">
        <f t="shared" si="42"/>
        <v>0.45581991144909806</v>
      </c>
      <c r="U91" s="70">
        <f t="shared" si="43"/>
        <v>0.45581991144909806</v>
      </c>
      <c r="V91" s="70">
        <f t="shared" si="44"/>
        <v>0.91287092917527679</v>
      </c>
      <c r="W91" s="70">
        <f t="shared" si="45"/>
        <v>0.91287092917527679</v>
      </c>
      <c r="X91" s="70">
        <f t="shared" si="46"/>
        <v>0</v>
      </c>
      <c r="Y91" s="70">
        <f t="shared" si="47"/>
        <v>1.2909944487358056</v>
      </c>
      <c r="Z91" s="70">
        <f t="shared" si="48"/>
        <v>0</v>
      </c>
      <c r="AA91" s="69" t="str">
        <f t="shared" si="49"/>
        <v>Negligible</v>
      </c>
      <c r="AB91" s="69" t="str">
        <f t="shared" si="50"/>
        <v>Tidak Ada Indikasi Bias</v>
      </c>
    </row>
    <row r="92" spans="1:28" ht="37.5" x14ac:dyDescent="0.35">
      <c r="A92" s="71" t="str">
        <f>LIM!A86</f>
        <v>82. Apa yang bisa dilakukan lab untuk meningkatkan efektivitas penanganan pengaduan pelanggan</v>
      </c>
      <c r="B92" s="69">
        <f>LIM!B86</f>
        <v>1</v>
      </c>
      <c r="C92" s="69">
        <f>LIM!C86</f>
        <v>1</v>
      </c>
      <c r="D92" s="69">
        <f>LIM!D86</f>
        <v>1</v>
      </c>
      <c r="E92" s="69">
        <f>LIM!E86</f>
        <v>0</v>
      </c>
      <c r="F92" s="69">
        <f>LIM!F86</f>
        <v>1</v>
      </c>
      <c r="G92" s="69">
        <f>LIM!G86</f>
        <v>0</v>
      </c>
      <c r="H92" s="69">
        <f>LIM!H86</f>
        <v>1</v>
      </c>
      <c r="I92" s="69">
        <f>LIM!I86</f>
        <v>1</v>
      </c>
      <c r="J92" s="69">
        <f>LIM!J86</f>
        <v>0</v>
      </c>
      <c r="K92" s="69">
        <f>LIM!K86</f>
        <v>0</v>
      </c>
      <c r="L92" s="69">
        <f t="shared" si="34"/>
        <v>5</v>
      </c>
      <c r="M92" s="69">
        <f t="shared" si="35"/>
        <v>5</v>
      </c>
      <c r="N92" s="69">
        <f t="shared" si="36"/>
        <v>3</v>
      </c>
      <c r="O92" s="69">
        <f t="shared" si="37"/>
        <v>3</v>
      </c>
      <c r="P92" s="69">
        <f t="shared" si="38"/>
        <v>3</v>
      </c>
      <c r="Q92" s="69">
        <f t="shared" si="39"/>
        <v>3</v>
      </c>
      <c r="R92" s="70">
        <f t="shared" si="40"/>
        <v>-0.40546510810816444</v>
      </c>
      <c r="S92" s="70">
        <f t="shared" si="41"/>
        <v>-0.40546510810816444</v>
      </c>
      <c r="T92" s="70">
        <f t="shared" si="42"/>
        <v>-0.35511030476723077</v>
      </c>
      <c r="U92" s="70">
        <f t="shared" si="43"/>
        <v>-0.35511030476723077</v>
      </c>
      <c r="V92" s="70">
        <f t="shared" si="44"/>
        <v>0.91287092917527679</v>
      </c>
      <c r="W92" s="70">
        <f t="shared" si="45"/>
        <v>0.91287092917527679</v>
      </c>
      <c r="X92" s="70">
        <f t="shared" si="46"/>
        <v>0</v>
      </c>
      <c r="Y92" s="70">
        <f t="shared" si="47"/>
        <v>1.2909944487358056</v>
      </c>
      <c r="Z92" s="70">
        <f t="shared" si="48"/>
        <v>0</v>
      </c>
      <c r="AA92" s="69" t="str">
        <f t="shared" si="49"/>
        <v>Negligible</v>
      </c>
      <c r="AB92" s="69" t="str">
        <f t="shared" si="50"/>
        <v>Tidak Ada Indikasi Bias</v>
      </c>
    </row>
    <row r="93" spans="1:28" ht="37.5" x14ac:dyDescent="0.35">
      <c r="A93" s="71" t="str">
        <f>LIM!A87</f>
        <v>83. Apa yang bisa dilakukan lab untuk meningkatkan efektivitas penanganan pengaduan pelanggan</v>
      </c>
      <c r="B93" s="69">
        <f>LIM!B87</f>
        <v>0</v>
      </c>
      <c r="C93" s="69">
        <f>LIM!C87</f>
        <v>0</v>
      </c>
      <c r="D93" s="69">
        <f>LIM!D87</f>
        <v>0</v>
      </c>
      <c r="E93" s="69">
        <f>LIM!E87</f>
        <v>1</v>
      </c>
      <c r="F93" s="69">
        <f>LIM!F87</f>
        <v>0</v>
      </c>
      <c r="G93" s="69">
        <f>LIM!G87</f>
        <v>1</v>
      </c>
      <c r="H93" s="69">
        <f>LIM!H87</f>
        <v>1</v>
      </c>
      <c r="I93" s="69">
        <f>LIM!I87</f>
        <v>1</v>
      </c>
      <c r="J93" s="69">
        <f>LIM!J87</f>
        <v>1</v>
      </c>
      <c r="K93" s="69">
        <f>LIM!K87</f>
        <v>1</v>
      </c>
      <c r="L93" s="69">
        <f t="shared" si="34"/>
        <v>5</v>
      </c>
      <c r="M93" s="69">
        <f t="shared" si="35"/>
        <v>5</v>
      </c>
      <c r="N93" s="69">
        <f t="shared" si="36"/>
        <v>3</v>
      </c>
      <c r="O93" s="69">
        <f t="shared" si="37"/>
        <v>3</v>
      </c>
      <c r="P93" s="69">
        <f t="shared" si="38"/>
        <v>3</v>
      </c>
      <c r="Q93" s="69">
        <f t="shared" si="39"/>
        <v>3</v>
      </c>
      <c r="R93" s="70">
        <f t="shared" si="40"/>
        <v>-0.40546510810816444</v>
      </c>
      <c r="S93" s="70">
        <f t="shared" si="41"/>
        <v>-0.40546510810816444</v>
      </c>
      <c r="T93" s="70">
        <f t="shared" si="42"/>
        <v>-0.35511030476723077</v>
      </c>
      <c r="U93" s="70">
        <f t="shared" si="43"/>
        <v>-0.35511030476723077</v>
      </c>
      <c r="V93" s="70">
        <f t="shared" si="44"/>
        <v>0.91287092917527679</v>
      </c>
      <c r="W93" s="70">
        <f t="shared" si="45"/>
        <v>0.91287092917527679</v>
      </c>
      <c r="X93" s="70">
        <f t="shared" si="46"/>
        <v>0</v>
      </c>
      <c r="Y93" s="70">
        <f t="shared" si="47"/>
        <v>1.2909944487358056</v>
      </c>
      <c r="Z93" s="70">
        <f t="shared" si="48"/>
        <v>0</v>
      </c>
      <c r="AA93" s="69" t="str">
        <f t="shared" si="49"/>
        <v>Negligible</v>
      </c>
      <c r="AB93" s="69" t="str">
        <f t="shared" si="50"/>
        <v>Tidak Ada Indikasi Bias</v>
      </c>
    </row>
    <row r="94" spans="1:28" ht="25" x14ac:dyDescent="0.35">
      <c r="A94" s="71" t="str">
        <f>LIM!A88</f>
        <v>84. Bagaimana pelanggan lab dapat mengajukan pengaduan</v>
      </c>
      <c r="B94" s="69">
        <f>LIM!B88</f>
        <v>1</v>
      </c>
      <c r="C94" s="69">
        <f>LIM!C88</f>
        <v>1</v>
      </c>
      <c r="D94" s="69">
        <f>LIM!D88</f>
        <v>0</v>
      </c>
      <c r="E94" s="69">
        <f>LIM!E88</f>
        <v>0</v>
      </c>
      <c r="F94" s="69">
        <f>LIM!F88</f>
        <v>0</v>
      </c>
      <c r="G94" s="69">
        <f>LIM!G88</f>
        <v>0</v>
      </c>
      <c r="H94" s="69">
        <f>LIM!H88</f>
        <v>0</v>
      </c>
      <c r="I94" s="69">
        <f>LIM!I88</f>
        <v>0</v>
      </c>
      <c r="J94" s="69">
        <f>LIM!J88</f>
        <v>0</v>
      </c>
      <c r="K94" s="69">
        <f>LIM!K88</f>
        <v>0</v>
      </c>
      <c r="L94" s="69">
        <f t="shared" si="34"/>
        <v>5</v>
      </c>
      <c r="M94" s="69">
        <f t="shared" si="35"/>
        <v>5</v>
      </c>
      <c r="N94" s="69">
        <f t="shared" si="36"/>
        <v>1</v>
      </c>
      <c r="O94" s="69">
        <f t="shared" si="37"/>
        <v>1</v>
      </c>
      <c r="P94" s="69">
        <f t="shared" si="38"/>
        <v>1</v>
      </c>
      <c r="Q94" s="69">
        <f t="shared" si="39"/>
        <v>1</v>
      </c>
      <c r="R94" s="70">
        <f t="shared" si="40"/>
        <v>1.3862943611198906</v>
      </c>
      <c r="S94" s="70">
        <f t="shared" si="41"/>
        <v>1.3862943611198906</v>
      </c>
      <c r="T94" s="70">
        <f t="shared" si="42"/>
        <v>1.4366491644608244</v>
      </c>
      <c r="U94" s="70">
        <f t="shared" si="43"/>
        <v>1.4366491644608244</v>
      </c>
      <c r="V94" s="70">
        <f t="shared" si="44"/>
        <v>1.1180339887498949</v>
      </c>
      <c r="W94" s="70">
        <f t="shared" si="45"/>
        <v>1.1180339887498949</v>
      </c>
      <c r="X94" s="70">
        <f t="shared" si="46"/>
        <v>0</v>
      </c>
      <c r="Y94" s="70">
        <f t="shared" si="47"/>
        <v>1.5811388300841898</v>
      </c>
      <c r="Z94" s="70">
        <f t="shared" si="48"/>
        <v>0</v>
      </c>
      <c r="AA94" s="69" t="str">
        <f t="shared" si="49"/>
        <v>Negligible</v>
      </c>
      <c r="AB94" s="69" t="str">
        <f t="shared" si="50"/>
        <v>Tidak Ada Indikasi Bias</v>
      </c>
    </row>
    <row r="95" spans="1:28" ht="37.5" x14ac:dyDescent="0.35">
      <c r="A95" s="71" t="str">
        <f>LIM!A89</f>
        <v>85. Siapa yang bertanggung jawab untuk mengidentifikasi pekerjaan yang tidak sesuai</v>
      </c>
      <c r="B95" s="69">
        <f>LIM!B89</f>
        <v>1</v>
      </c>
      <c r="C95" s="69">
        <f>LIM!C89</f>
        <v>1</v>
      </c>
      <c r="D95" s="69">
        <f>LIM!D89</f>
        <v>1</v>
      </c>
      <c r="E95" s="69">
        <f>LIM!E89</f>
        <v>0</v>
      </c>
      <c r="F95" s="69">
        <f>LIM!F89</f>
        <v>1</v>
      </c>
      <c r="G95" s="69">
        <f>LIM!G89</f>
        <v>0</v>
      </c>
      <c r="H95" s="69">
        <f>LIM!H89</f>
        <v>0</v>
      </c>
      <c r="I95" s="69">
        <f>LIM!I89</f>
        <v>0</v>
      </c>
      <c r="J95" s="69">
        <f>LIM!J89</f>
        <v>0</v>
      </c>
      <c r="K95" s="69">
        <f>LIM!K89</f>
        <v>0</v>
      </c>
      <c r="L95" s="69">
        <f t="shared" si="34"/>
        <v>5</v>
      </c>
      <c r="M95" s="69">
        <f t="shared" si="35"/>
        <v>5</v>
      </c>
      <c r="N95" s="69">
        <f t="shared" si="36"/>
        <v>2</v>
      </c>
      <c r="O95" s="69">
        <f t="shared" si="37"/>
        <v>2</v>
      </c>
      <c r="P95" s="69">
        <f t="shared" si="38"/>
        <v>2</v>
      </c>
      <c r="Q95" s="69">
        <f t="shared" si="39"/>
        <v>2</v>
      </c>
      <c r="R95" s="70">
        <f t="shared" si="40"/>
        <v>0.40546510810816438</v>
      </c>
      <c r="S95" s="70">
        <f t="shared" si="41"/>
        <v>0.40546510810816438</v>
      </c>
      <c r="T95" s="70">
        <f t="shared" si="42"/>
        <v>0.45581991144909806</v>
      </c>
      <c r="U95" s="70">
        <f t="shared" si="43"/>
        <v>0.45581991144909806</v>
      </c>
      <c r="V95" s="70">
        <f t="shared" si="44"/>
        <v>0.91287092917527679</v>
      </c>
      <c r="W95" s="70">
        <f t="shared" si="45"/>
        <v>0.91287092917527679</v>
      </c>
      <c r="X95" s="70">
        <f t="shared" si="46"/>
        <v>0</v>
      </c>
      <c r="Y95" s="70">
        <f t="shared" si="47"/>
        <v>1.2909944487358056</v>
      </c>
      <c r="Z95" s="70">
        <f t="shared" si="48"/>
        <v>0</v>
      </c>
      <c r="AA95" s="69" t="str">
        <f t="shared" si="49"/>
        <v>Negligible</v>
      </c>
      <c r="AB95" s="69" t="str">
        <f t="shared" si="50"/>
        <v>Tidak Ada Indikasi Bias</v>
      </c>
    </row>
    <row r="96" spans="1:28" ht="25" x14ac:dyDescent="0.35">
      <c r="A96" s="71" t="str">
        <f>LIM!A90</f>
        <v>86. Apa yang harus dilakukan setelah pekerjaan tidak sesuai diidentifikasi</v>
      </c>
      <c r="B96" s="69">
        <f>LIM!B90</f>
        <v>1</v>
      </c>
      <c r="C96" s="69">
        <f>LIM!C90</f>
        <v>1</v>
      </c>
      <c r="D96" s="69">
        <f>LIM!D90</f>
        <v>1</v>
      </c>
      <c r="E96" s="69">
        <f>LIM!E90</f>
        <v>1</v>
      </c>
      <c r="F96" s="69">
        <f>LIM!F90</f>
        <v>1</v>
      </c>
      <c r="G96" s="69">
        <f>LIM!G90</f>
        <v>1</v>
      </c>
      <c r="H96" s="69">
        <f>LIM!H90</f>
        <v>0</v>
      </c>
      <c r="I96" s="69">
        <f>LIM!I90</f>
        <v>0</v>
      </c>
      <c r="J96" s="69">
        <f>LIM!J90</f>
        <v>0</v>
      </c>
      <c r="K96" s="69">
        <f>LIM!K90</f>
        <v>0</v>
      </c>
      <c r="L96" s="69">
        <f t="shared" si="34"/>
        <v>5</v>
      </c>
      <c r="M96" s="69">
        <f t="shared" si="35"/>
        <v>5</v>
      </c>
      <c r="N96" s="69">
        <f t="shared" si="36"/>
        <v>3</v>
      </c>
      <c r="O96" s="69">
        <f t="shared" si="37"/>
        <v>3</v>
      </c>
      <c r="P96" s="69">
        <f t="shared" si="38"/>
        <v>3</v>
      </c>
      <c r="Q96" s="69">
        <f t="shared" si="39"/>
        <v>3</v>
      </c>
      <c r="R96" s="70">
        <f t="shared" si="40"/>
        <v>-0.40546510810816444</v>
      </c>
      <c r="S96" s="70">
        <f t="shared" si="41"/>
        <v>-0.40546510810816444</v>
      </c>
      <c r="T96" s="70">
        <f t="shared" si="42"/>
        <v>-0.35511030476723077</v>
      </c>
      <c r="U96" s="70">
        <f t="shared" si="43"/>
        <v>-0.35511030476723077</v>
      </c>
      <c r="V96" s="70">
        <f t="shared" si="44"/>
        <v>0.91287092917527679</v>
      </c>
      <c r="W96" s="70">
        <f t="shared" si="45"/>
        <v>0.91287092917527679</v>
      </c>
      <c r="X96" s="70">
        <f t="shared" si="46"/>
        <v>0</v>
      </c>
      <c r="Y96" s="70">
        <f t="shared" si="47"/>
        <v>1.2909944487358056</v>
      </c>
      <c r="Z96" s="70">
        <f t="shared" si="48"/>
        <v>0</v>
      </c>
      <c r="AA96" s="69" t="str">
        <f t="shared" si="49"/>
        <v>Negligible</v>
      </c>
      <c r="AB96" s="69" t="str">
        <f t="shared" si="50"/>
        <v>Tidak Ada Indikasi Bias</v>
      </c>
    </row>
    <row r="97" spans="1:28" ht="37.5" customHeight="1" x14ac:dyDescent="0.35">
      <c r="A97" s="71" t="str">
        <f>LIM!A91</f>
        <v>87. Apa konsekuensi dari tidak menangani pekerjaan yang tidak sesuai dengan baik</v>
      </c>
      <c r="B97" s="69">
        <f>LIM!B91</f>
        <v>1</v>
      </c>
      <c r="C97" s="69">
        <f>LIM!C91</f>
        <v>1</v>
      </c>
      <c r="D97" s="69">
        <f>LIM!D91</f>
        <v>1</v>
      </c>
      <c r="E97" s="69">
        <f>LIM!E91</f>
        <v>1</v>
      </c>
      <c r="F97" s="69">
        <f>LIM!F91</f>
        <v>1</v>
      </c>
      <c r="G97" s="69">
        <f>LIM!G91</f>
        <v>1</v>
      </c>
      <c r="H97" s="69">
        <f>LIM!H91</f>
        <v>0</v>
      </c>
      <c r="I97" s="69">
        <f>LIM!I91</f>
        <v>0</v>
      </c>
      <c r="J97" s="69">
        <f>LIM!J91</f>
        <v>1</v>
      </c>
      <c r="K97" s="69">
        <f>LIM!K91</f>
        <v>1</v>
      </c>
      <c r="L97" s="69">
        <f t="shared" si="34"/>
        <v>5</v>
      </c>
      <c r="M97" s="69">
        <f t="shared" si="35"/>
        <v>5</v>
      </c>
      <c r="N97" s="69">
        <f t="shared" si="36"/>
        <v>4</v>
      </c>
      <c r="O97" s="69">
        <f t="shared" si="37"/>
        <v>4</v>
      </c>
      <c r="P97" s="69">
        <f t="shared" si="38"/>
        <v>4</v>
      </c>
      <c r="Q97" s="69">
        <f t="shared" si="39"/>
        <v>4</v>
      </c>
      <c r="R97" s="70">
        <f t="shared" si="40"/>
        <v>-1.3862943611198906</v>
      </c>
      <c r="S97" s="70">
        <f t="shared" si="41"/>
        <v>-1.3862943611198906</v>
      </c>
      <c r="T97" s="70">
        <f t="shared" si="42"/>
        <v>-1.3359395577789568</v>
      </c>
      <c r="U97" s="70">
        <f t="shared" si="43"/>
        <v>-1.3359395577789568</v>
      </c>
      <c r="V97" s="70">
        <f t="shared" si="44"/>
        <v>1.1180339887498949</v>
      </c>
      <c r="W97" s="70">
        <f t="shared" si="45"/>
        <v>1.1180339887498949</v>
      </c>
      <c r="X97" s="70">
        <f t="shared" si="46"/>
        <v>0</v>
      </c>
      <c r="Y97" s="70">
        <f t="shared" si="47"/>
        <v>1.5811388300841898</v>
      </c>
      <c r="Z97" s="70">
        <f t="shared" si="48"/>
        <v>0</v>
      </c>
      <c r="AA97" s="69" t="str">
        <f t="shared" si="49"/>
        <v>Negligible</v>
      </c>
      <c r="AB97" s="69" t="str">
        <f t="shared" si="50"/>
        <v>Tidak Ada Indikasi Bias</v>
      </c>
    </row>
    <row r="98" spans="1:28" ht="25" x14ac:dyDescent="0.35">
      <c r="A98" s="71" t="str">
        <f>LIM!A92</f>
        <v>88. Dalam audit internal, pernyataan yg salah</v>
      </c>
      <c r="B98" s="69">
        <f>LIM!B92</f>
        <v>1</v>
      </c>
      <c r="C98" s="69">
        <f>LIM!C92</f>
        <v>1</v>
      </c>
      <c r="D98" s="69">
        <f>LIM!D92</f>
        <v>1</v>
      </c>
      <c r="E98" s="69">
        <f>LIM!E92</f>
        <v>1</v>
      </c>
      <c r="F98" s="69">
        <f>LIM!F92</f>
        <v>1</v>
      </c>
      <c r="G98" s="69">
        <f>LIM!G92</f>
        <v>1</v>
      </c>
      <c r="H98" s="69">
        <f>LIM!H92</f>
        <v>0</v>
      </c>
      <c r="I98" s="69">
        <f>LIM!I92</f>
        <v>0</v>
      </c>
      <c r="J98" s="69">
        <f>LIM!J92</f>
        <v>0</v>
      </c>
      <c r="K98" s="69">
        <f>LIM!K92</f>
        <v>0</v>
      </c>
      <c r="L98" s="69">
        <f t="shared" si="34"/>
        <v>5</v>
      </c>
      <c r="M98" s="69">
        <f t="shared" si="35"/>
        <v>5</v>
      </c>
      <c r="N98" s="69">
        <f t="shared" si="36"/>
        <v>3</v>
      </c>
      <c r="O98" s="69">
        <f t="shared" si="37"/>
        <v>3</v>
      </c>
      <c r="P98" s="69">
        <f t="shared" si="38"/>
        <v>3</v>
      </c>
      <c r="Q98" s="69">
        <f t="shared" si="39"/>
        <v>3</v>
      </c>
      <c r="R98" s="70">
        <f t="shared" si="40"/>
        <v>-0.40546510810816444</v>
      </c>
      <c r="S98" s="70">
        <f t="shared" si="41"/>
        <v>-0.40546510810816444</v>
      </c>
      <c r="T98" s="70">
        <f t="shared" si="42"/>
        <v>-0.35511030476723077</v>
      </c>
      <c r="U98" s="70">
        <f t="shared" si="43"/>
        <v>-0.35511030476723077</v>
      </c>
      <c r="V98" s="70">
        <f t="shared" si="44"/>
        <v>0.91287092917527679</v>
      </c>
      <c r="W98" s="70">
        <f t="shared" si="45"/>
        <v>0.91287092917527679</v>
      </c>
      <c r="X98" s="70">
        <f t="shared" si="46"/>
        <v>0</v>
      </c>
      <c r="Y98" s="70">
        <f t="shared" si="47"/>
        <v>1.2909944487358056</v>
      </c>
      <c r="Z98" s="70">
        <f t="shared" si="48"/>
        <v>0</v>
      </c>
      <c r="AA98" s="69" t="str">
        <f t="shared" si="49"/>
        <v>Negligible</v>
      </c>
      <c r="AB98" s="69" t="str">
        <f t="shared" si="50"/>
        <v>Tidak Ada Indikasi Bias</v>
      </c>
    </row>
    <row r="99" spans="1:28" ht="25" x14ac:dyDescent="0.35">
      <c r="A99" s="71" t="str">
        <f>LIM!A93</f>
        <v>89. Manakah dari pernyataan berikut yang salah tentang audit internal</v>
      </c>
      <c r="B99" s="69">
        <f>LIM!B93</f>
        <v>1</v>
      </c>
      <c r="C99" s="69">
        <f>LIM!C93</f>
        <v>1</v>
      </c>
      <c r="D99" s="69">
        <f>LIM!D93</f>
        <v>1</v>
      </c>
      <c r="E99" s="69">
        <f>LIM!E93</f>
        <v>0</v>
      </c>
      <c r="F99" s="69">
        <f>LIM!F93</f>
        <v>1</v>
      </c>
      <c r="G99" s="69">
        <f>LIM!G93</f>
        <v>0</v>
      </c>
      <c r="H99" s="69">
        <f>LIM!H93</f>
        <v>0</v>
      </c>
      <c r="I99" s="69">
        <f>LIM!I93</f>
        <v>0</v>
      </c>
      <c r="J99" s="69">
        <f>LIM!J93</f>
        <v>1</v>
      </c>
      <c r="K99" s="69">
        <f>LIM!K93</f>
        <v>1</v>
      </c>
      <c r="L99" s="69">
        <f t="shared" si="34"/>
        <v>5</v>
      </c>
      <c r="M99" s="69">
        <f t="shared" si="35"/>
        <v>5</v>
      </c>
      <c r="N99" s="69">
        <f t="shared" si="36"/>
        <v>3</v>
      </c>
      <c r="O99" s="69">
        <f t="shared" si="37"/>
        <v>3</v>
      </c>
      <c r="P99" s="69">
        <f t="shared" si="38"/>
        <v>3</v>
      </c>
      <c r="Q99" s="69">
        <f t="shared" si="39"/>
        <v>3</v>
      </c>
      <c r="R99" s="70">
        <f t="shared" si="40"/>
        <v>-0.40546510810816444</v>
      </c>
      <c r="S99" s="70">
        <f t="shared" si="41"/>
        <v>-0.40546510810816444</v>
      </c>
      <c r="T99" s="70">
        <f t="shared" si="42"/>
        <v>-0.35511030476723077</v>
      </c>
      <c r="U99" s="70">
        <f t="shared" si="43"/>
        <v>-0.35511030476723077</v>
      </c>
      <c r="V99" s="70">
        <f t="shared" si="44"/>
        <v>0.91287092917527679</v>
      </c>
      <c r="W99" s="70">
        <f t="shared" si="45"/>
        <v>0.91287092917527679</v>
      </c>
      <c r="X99" s="70">
        <f t="shared" si="46"/>
        <v>0</v>
      </c>
      <c r="Y99" s="70">
        <f t="shared" si="47"/>
        <v>1.2909944487358056</v>
      </c>
      <c r="Z99" s="70">
        <f t="shared" si="48"/>
        <v>0</v>
      </c>
      <c r="AA99" s="69" t="str">
        <f t="shared" si="49"/>
        <v>Negligible</v>
      </c>
      <c r="AB99" s="69" t="str">
        <f t="shared" si="50"/>
        <v>Tidak Ada Indikasi Bias</v>
      </c>
    </row>
    <row r="100" spans="1:28" ht="37.5" customHeight="1" x14ac:dyDescent="0.35">
      <c r="A100" s="71" t="str">
        <f>LIM!A94</f>
        <v>90. Manakah yang bukan merupakan langkah-langkah dalam melakukan audit internal</v>
      </c>
      <c r="B100" s="69">
        <f>LIM!B94</f>
        <v>1</v>
      </c>
      <c r="C100" s="69">
        <f>LIM!C94</f>
        <v>1</v>
      </c>
      <c r="D100" s="69">
        <f>LIM!D94</f>
        <v>1</v>
      </c>
      <c r="E100" s="69">
        <f>LIM!E94</f>
        <v>0</v>
      </c>
      <c r="F100" s="69">
        <f>LIM!F94</f>
        <v>1</v>
      </c>
      <c r="G100" s="69">
        <f>LIM!G94</f>
        <v>0</v>
      </c>
      <c r="H100" s="69">
        <f>LIM!H94</f>
        <v>1</v>
      </c>
      <c r="I100" s="69">
        <f>LIM!I94</f>
        <v>1</v>
      </c>
      <c r="J100" s="69">
        <f>LIM!J94</f>
        <v>0</v>
      </c>
      <c r="K100" s="69">
        <f>LIM!K94</f>
        <v>0</v>
      </c>
      <c r="L100" s="69">
        <f t="shared" si="34"/>
        <v>5</v>
      </c>
      <c r="M100" s="69">
        <f t="shared" si="35"/>
        <v>5</v>
      </c>
      <c r="N100" s="69">
        <f t="shared" si="36"/>
        <v>3</v>
      </c>
      <c r="O100" s="69">
        <f t="shared" si="37"/>
        <v>3</v>
      </c>
      <c r="P100" s="69">
        <f t="shared" si="38"/>
        <v>3</v>
      </c>
      <c r="Q100" s="69">
        <f t="shared" si="39"/>
        <v>3</v>
      </c>
      <c r="R100" s="70">
        <f t="shared" si="40"/>
        <v>-0.40546510810816444</v>
      </c>
      <c r="S100" s="70">
        <f t="shared" si="41"/>
        <v>-0.40546510810816444</v>
      </c>
      <c r="T100" s="70">
        <f t="shared" si="42"/>
        <v>-0.35511030476723077</v>
      </c>
      <c r="U100" s="70">
        <f t="shared" si="43"/>
        <v>-0.35511030476723077</v>
      </c>
      <c r="V100" s="70">
        <f t="shared" si="44"/>
        <v>0.91287092917527679</v>
      </c>
      <c r="W100" s="70">
        <f t="shared" si="45"/>
        <v>0.91287092917527679</v>
      </c>
      <c r="X100" s="70">
        <f t="shared" si="46"/>
        <v>0</v>
      </c>
      <c r="Y100" s="70">
        <f t="shared" si="47"/>
        <v>1.2909944487358056</v>
      </c>
      <c r="Z100" s="70">
        <f t="shared" si="48"/>
        <v>0</v>
      </c>
      <c r="AA100" s="69" t="str">
        <f t="shared" si="49"/>
        <v>Negligible</v>
      </c>
      <c r="AB100" s="69" t="str">
        <f t="shared" si="50"/>
        <v>Tidak Ada Indikasi Bias</v>
      </c>
    </row>
    <row r="101" spans="1:28" ht="25" x14ac:dyDescent="0.35">
      <c r="A101" s="71" t="str">
        <f>LIM!A95</f>
        <v>91. Manajemen risiko dalam ISO/IEC 17025 bertujuan untuk</v>
      </c>
      <c r="B101" s="69">
        <f>LIM!B95</f>
        <v>1</v>
      </c>
      <c r="C101" s="69">
        <f>LIM!C95</f>
        <v>1</v>
      </c>
      <c r="D101" s="69">
        <f>LIM!D95</f>
        <v>1</v>
      </c>
      <c r="E101" s="69">
        <f>LIM!E95</f>
        <v>1</v>
      </c>
      <c r="F101" s="69">
        <f>LIM!F95</f>
        <v>1</v>
      </c>
      <c r="G101" s="69">
        <f>LIM!G95</f>
        <v>1</v>
      </c>
      <c r="H101" s="69">
        <f>LIM!H95</f>
        <v>0</v>
      </c>
      <c r="I101" s="69">
        <f>LIM!I95</f>
        <v>0</v>
      </c>
      <c r="J101" s="69">
        <f>LIM!J95</f>
        <v>0</v>
      </c>
      <c r="K101" s="69">
        <f>LIM!K95</f>
        <v>0</v>
      </c>
      <c r="L101" s="69">
        <f t="shared" si="34"/>
        <v>5</v>
      </c>
      <c r="M101" s="69">
        <f t="shared" si="35"/>
        <v>5</v>
      </c>
      <c r="N101" s="69">
        <f t="shared" si="36"/>
        <v>3</v>
      </c>
      <c r="O101" s="69">
        <f t="shared" si="37"/>
        <v>3</v>
      </c>
      <c r="P101" s="69">
        <f t="shared" si="38"/>
        <v>3</v>
      </c>
      <c r="Q101" s="69">
        <f t="shared" si="39"/>
        <v>3</v>
      </c>
      <c r="R101" s="70">
        <f t="shared" si="40"/>
        <v>-0.40546510810816444</v>
      </c>
      <c r="S101" s="70">
        <f t="shared" si="41"/>
        <v>-0.40546510810816444</v>
      </c>
      <c r="T101" s="70">
        <f t="shared" si="42"/>
        <v>-0.35511030476723077</v>
      </c>
      <c r="U101" s="70">
        <f t="shared" si="43"/>
        <v>-0.35511030476723077</v>
      </c>
      <c r="V101" s="70">
        <f t="shared" si="44"/>
        <v>0.91287092917527679</v>
      </c>
      <c r="W101" s="70">
        <f t="shared" si="45"/>
        <v>0.91287092917527679</v>
      </c>
      <c r="X101" s="70">
        <f t="shared" si="46"/>
        <v>0</v>
      </c>
      <c r="Y101" s="70">
        <f t="shared" si="47"/>
        <v>1.2909944487358056</v>
      </c>
      <c r="Z101" s="70">
        <f t="shared" si="48"/>
        <v>0</v>
      </c>
      <c r="AA101" s="69" t="str">
        <f t="shared" si="49"/>
        <v>Negligible</v>
      </c>
      <c r="AB101" s="69" t="str">
        <f t="shared" si="50"/>
        <v>Tidak Ada Indikasi Bias</v>
      </c>
    </row>
    <row r="102" spans="1:28" ht="25" x14ac:dyDescent="0.35">
      <c r="A102" s="71" t="str">
        <f>LIM!A96</f>
        <v>92. Apa yang dimaksud dengan "Analisa Risiko"</v>
      </c>
      <c r="B102" s="69">
        <f>LIM!B96</f>
        <v>1</v>
      </c>
      <c r="C102" s="69">
        <f>LIM!C96</f>
        <v>1</v>
      </c>
      <c r="D102" s="69">
        <f>LIM!D96</f>
        <v>1</v>
      </c>
      <c r="E102" s="69">
        <f>LIM!E96</f>
        <v>1</v>
      </c>
      <c r="F102" s="69">
        <f>LIM!F96</f>
        <v>1</v>
      </c>
      <c r="G102" s="69">
        <f>LIM!G96</f>
        <v>1</v>
      </c>
      <c r="H102" s="69">
        <f>LIM!H96</f>
        <v>0</v>
      </c>
      <c r="I102" s="69">
        <f>LIM!I96</f>
        <v>0</v>
      </c>
      <c r="J102" s="69">
        <f>LIM!J96</f>
        <v>0</v>
      </c>
      <c r="K102" s="69">
        <f>LIM!K96</f>
        <v>0</v>
      </c>
      <c r="L102" s="69">
        <f t="shared" si="34"/>
        <v>5</v>
      </c>
      <c r="M102" s="69">
        <f t="shared" si="35"/>
        <v>5</v>
      </c>
      <c r="N102" s="69">
        <f t="shared" si="36"/>
        <v>3</v>
      </c>
      <c r="O102" s="69">
        <f t="shared" si="37"/>
        <v>3</v>
      </c>
      <c r="P102" s="69">
        <f t="shared" si="38"/>
        <v>3</v>
      </c>
      <c r="Q102" s="69">
        <f t="shared" si="39"/>
        <v>3</v>
      </c>
      <c r="R102" s="70">
        <f t="shared" si="40"/>
        <v>-0.40546510810816444</v>
      </c>
      <c r="S102" s="70">
        <f t="shared" si="41"/>
        <v>-0.40546510810816444</v>
      </c>
      <c r="T102" s="70">
        <f t="shared" si="42"/>
        <v>-0.35511030476723077</v>
      </c>
      <c r="U102" s="70">
        <f t="shared" si="43"/>
        <v>-0.35511030476723077</v>
      </c>
      <c r="V102" s="70">
        <f t="shared" si="44"/>
        <v>0.91287092917527679</v>
      </c>
      <c r="W102" s="70">
        <f t="shared" si="45"/>
        <v>0.91287092917527679</v>
      </c>
      <c r="X102" s="70">
        <f t="shared" si="46"/>
        <v>0</v>
      </c>
      <c r="Y102" s="70">
        <f t="shared" si="47"/>
        <v>1.2909944487358056</v>
      </c>
      <c r="Z102" s="70">
        <f t="shared" si="48"/>
        <v>0</v>
      </c>
      <c r="AA102" s="69" t="str">
        <f t="shared" si="49"/>
        <v>Negligible</v>
      </c>
      <c r="AB102" s="69" t="str">
        <f t="shared" si="50"/>
        <v>Tidak Ada Indikasi Bias</v>
      </c>
    </row>
    <row r="103" spans="1:28" ht="37.5" customHeight="1" x14ac:dyDescent="0.35">
      <c r="A103" s="71" t="str">
        <f>LIM!A97</f>
        <v>93. Manakah dari pernyataan berikut yang benar tentang peningkatan</v>
      </c>
      <c r="B103" s="69">
        <f>LIM!B97</f>
        <v>1</v>
      </c>
      <c r="C103" s="69">
        <f>LIM!C97</f>
        <v>1</v>
      </c>
      <c r="D103" s="69">
        <f>LIM!D97</f>
        <v>1</v>
      </c>
      <c r="E103" s="69">
        <f>LIM!E97</f>
        <v>1</v>
      </c>
      <c r="F103" s="69">
        <f>LIM!F97</f>
        <v>1</v>
      </c>
      <c r="G103" s="69">
        <f>LIM!G97</f>
        <v>1</v>
      </c>
      <c r="H103" s="69">
        <f>LIM!H97</f>
        <v>0</v>
      </c>
      <c r="I103" s="69">
        <f>LIM!I97</f>
        <v>0</v>
      </c>
      <c r="J103" s="69">
        <f>LIM!J97</f>
        <v>0</v>
      </c>
      <c r="K103" s="69">
        <f>LIM!K97</f>
        <v>0</v>
      </c>
      <c r="L103" s="69">
        <f t="shared" si="34"/>
        <v>5</v>
      </c>
      <c r="M103" s="69">
        <f t="shared" si="35"/>
        <v>5</v>
      </c>
      <c r="N103" s="69">
        <f t="shared" si="36"/>
        <v>3</v>
      </c>
      <c r="O103" s="69">
        <f t="shared" si="37"/>
        <v>3</v>
      </c>
      <c r="P103" s="69">
        <f t="shared" si="38"/>
        <v>3</v>
      </c>
      <c r="Q103" s="69">
        <f t="shared" si="39"/>
        <v>3</v>
      </c>
      <c r="R103" s="70">
        <f t="shared" si="40"/>
        <v>-0.40546510810816444</v>
      </c>
      <c r="S103" s="70">
        <f t="shared" si="41"/>
        <v>-0.40546510810816444</v>
      </c>
      <c r="T103" s="70">
        <f t="shared" si="42"/>
        <v>-0.35511030476723077</v>
      </c>
      <c r="U103" s="70">
        <f t="shared" si="43"/>
        <v>-0.35511030476723077</v>
      </c>
      <c r="V103" s="70">
        <f t="shared" si="44"/>
        <v>0.91287092917527679</v>
      </c>
      <c r="W103" s="70">
        <f t="shared" si="45"/>
        <v>0.91287092917527679</v>
      </c>
      <c r="X103" s="70">
        <f t="shared" si="46"/>
        <v>0</v>
      </c>
      <c r="Y103" s="70">
        <f t="shared" si="47"/>
        <v>1.2909944487358056</v>
      </c>
      <c r="Z103" s="70">
        <f t="shared" si="48"/>
        <v>0</v>
      </c>
      <c r="AA103" s="69" t="str">
        <f t="shared" si="49"/>
        <v>Negligible</v>
      </c>
      <c r="AB103" s="69" t="str">
        <f t="shared" si="50"/>
        <v>Tidak Ada Indikasi Bias</v>
      </c>
    </row>
    <row r="104" spans="1:28" ht="50" customHeight="1" x14ac:dyDescent="0.35">
      <c r="A104" s="71" t="str">
        <f>LIM!A98</f>
        <v>94. Apa yang dimaksud dengan peningkatan berkelanjutan</v>
      </c>
      <c r="B104" s="69">
        <f>LIM!B98</f>
        <v>0</v>
      </c>
      <c r="C104" s="69">
        <f>LIM!C98</f>
        <v>0</v>
      </c>
      <c r="D104" s="69">
        <f>LIM!D98</f>
        <v>1</v>
      </c>
      <c r="E104" s="69">
        <f>LIM!E98</f>
        <v>1</v>
      </c>
      <c r="F104" s="69">
        <f>LIM!F98</f>
        <v>1</v>
      </c>
      <c r="G104" s="69">
        <f>LIM!G98</f>
        <v>1</v>
      </c>
      <c r="H104" s="69">
        <f>LIM!H98</f>
        <v>0</v>
      </c>
      <c r="I104" s="69">
        <f>LIM!I98</f>
        <v>0</v>
      </c>
      <c r="J104" s="69">
        <f>LIM!J98</f>
        <v>0</v>
      </c>
      <c r="K104" s="69">
        <f>LIM!K98</f>
        <v>0</v>
      </c>
      <c r="L104" s="69">
        <f t="shared" si="34"/>
        <v>5</v>
      </c>
      <c r="M104" s="69">
        <f t="shared" si="35"/>
        <v>5</v>
      </c>
      <c r="N104" s="69">
        <f t="shared" si="36"/>
        <v>2</v>
      </c>
      <c r="O104" s="69">
        <f t="shared" si="37"/>
        <v>2</v>
      </c>
      <c r="P104" s="69">
        <f t="shared" si="38"/>
        <v>2</v>
      </c>
      <c r="Q104" s="69">
        <f t="shared" si="39"/>
        <v>2</v>
      </c>
      <c r="R104" s="70">
        <f t="shared" si="40"/>
        <v>0.40546510810816438</v>
      </c>
      <c r="S104" s="70">
        <f t="shared" si="41"/>
        <v>0.40546510810816438</v>
      </c>
      <c r="T104" s="70">
        <f t="shared" si="42"/>
        <v>0.45581991144909806</v>
      </c>
      <c r="U104" s="70">
        <f t="shared" si="43"/>
        <v>0.45581991144909806</v>
      </c>
      <c r="V104" s="70">
        <f t="shared" si="44"/>
        <v>0.91287092917527679</v>
      </c>
      <c r="W104" s="70">
        <f t="shared" si="45"/>
        <v>0.91287092917527679</v>
      </c>
      <c r="X104" s="70">
        <f t="shared" si="46"/>
        <v>0</v>
      </c>
      <c r="Y104" s="70">
        <f t="shared" si="47"/>
        <v>1.2909944487358056</v>
      </c>
      <c r="Z104" s="70">
        <f t="shared" si="48"/>
        <v>0</v>
      </c>
      <c r="AA104" s="69" t="str">
        <f t="shared" si="49"/>
        <v>Negligible</v>
      </c>
      <c r="AB104" s="69" t="str">
        <f t="shared" si="50"/>
        <v>Tidak Ada Indikasi Bias</v>
      </c>
    </row>
    <row r="105" spans="1:28" ht="25" x14ac:dyDescent="0.35">
      <c r="A105" s="71" t="str">
        <f>LIM!A99</f>
        <v>95. Langkah pertama dalam proses peningkatan berkelanjutan adalah</v>
      </c>
      <c r="B105" s="69">
        <f>LIM!B99</f>
        <v>1</v>
      </c>
      <c r="C105" s="69">
        <f>LIM!C99</f>
        <v>1</v>
      </c>
      <c r="D105" s="69">
        <f>LIM!D99</f>
        <v>1</v>
      </c>
      <c r="E105" s="69">
        <f>LIM!E99</f>
        <v>0</v>
      </c>
      <c r="F105" s="69">
        <f>LIM!F99</f>
        <v>1</v>
      </c>
      <c r="G105" s="69">
        <f>LIM!G99</f>
        <v>0</v>
      </c>
      <c r="H105" s="69">
        <f>LIM!H99</f>
        <v>0</v>
      </c>
      <c r="I105" s="69">
        <f>LIM!I99</f>
        <v>0</v>
      </c>
      <c r="J105" s="69">
        <f>LIM!J99</f>
        <v>1</v>
      </c>
      <c r="K105" s="69">
        <f>LIM!K99</f>
        <v>1</v>
      </c>
      <c r="L105" s="69">
        <f t="shared" si="34"/>
        <v>5</v>
      </c>
      <c r="M105" s="69">
        <f t="shared" si="35"/>
        <v>5</v>
      </c>
      <c r="N105" s="69">
        <f t="shared" si="36"/>
        <v>3</v>
      </c>
      <c r="O105" s="69">
        <f t="shared" si="37"/>
        <v>3</v>
      </c>
      <c r="P105" s="69">
        <f t="shared" si="38"/>
        <v>3</v>
      </c>
      <c r="Q105" s="69">
        <f t="shared" si="39"/>
        <v>3</v>
      </c>
      <c r="R105" s="70">
        <f t="shared" si="40"/>
        <v>-0.40546510810816444</v>
      </c>
      <c r="S105" s="70">
        <f t="shared" si="41"/>
        <v>-0.40546510810816444</v>
      </c>
      <c r="T105" s="70">
        <f t="shared" si="42"/>
        <v>-0.35511030476723077</v>
      </c>
      <c r="U105" s="70">
        <f t="shared" si="43"/>
        <v>-0.35511030476723077</v>
      </c>
      <c r="V105" s="70">
        <f t="shared" si="44"/>
        <v>0.91287092917527679</v>
      </c>
      <c r="W105" s="70">
        <f t="shared" si="45"/>
        <v>0.91287092917527679</v>
      </c>
      <c r="X105" s="70">
        <f t="shared" si="46"/>
        <v>0</v>
      </c>
      <c r="Y105" s="70">
        <f t="shared" si="47"/>
        <v>1.2909944487358056</v>
      </c>
      <c r="Z105" s="70">
        <f t="shared" si="48"/>
        <v>0</v>
      </c>
      <c r="AA105" s="69" t="str">
        <f t="shared" si="49"/>
        <v>Negligible</v>
      </c>
      <c r="AB105" s="69" t="str">
        <f t="shared" si="50"/>
        <v>Tidak Ada Indikasi Bias</v>
      </c>
    </row>
    <row r="106" spans="1:28" ht="25" x14ac:dyDescent="0.35">
      <c r="A106" s="71" t="str">
        <f>LIM!A100</f>
        <v>96. Tindakan korektif yang efektif harus</v>
      </c>
      <c r="B106" s="69">
        <f>LIM!B100</f>
        <v>1</v>
      </c>
      <c r="C106" s="69">
        <f>LIM!C100</f>
        <v>1</v>
      </c>
      <c r="D106" s="69">
        <f>LIM!D100</f>
        <v>1</v>
      </c>
      <c r="E106" s="69">
        <f>LIM!E100</f>
        <v>1</v>
      </c>
      <c r="F106" s="69">
        <f>LIM!F100</f>
        <v>1</v>
      </c>
      <c r="G106" s="69">
        <f>LIM!G100</f>
        <v>1</v>
      </c>
      <c r="H106" s="69">
        <f>LIM!H100</f>
        <v>0</v>
      </c>
      <c r="I106" s="69">
        <f>LIM!I100</f>
        <v>0</v>
      </c>
      <c r="J106" s="69">
        <f>LIM!J100</f>
        <v>0</v>
      </c>
      <c r="K106" s="69">
        <f>LIM!K100</f>
        <v>0</v>
      </c>
      <c r="L106" s="69">
        <f t="shared" si="34"/>
        <v>5</v>
      </c>
      <c r="M106" s="69">
        <f t="shared" si="35"/>
        <v>5</v>
      </c>
      <c r="N106" s="69">
        <f t="shared" si="36"/>
        <v>3</v>
      </c>
      <c r="O106" s="69">
        <f t="shared" si="37"/>
        <v>3</v>
      </c>
      <c r="P106" s="69">
        <f t="shared" si="38"/>
        <v>3</v>
      </c>
      <c r="Q106" s="69">
        <f t="shared" si="39"/>
        <v>3</v>
      </c>
      <c r="R106" s="70">
        <f t="shared" si="40"/>
        <v>-0.40546510810816444</v>
      </c>
      <c r="S106" s="70">
        <f t="shared" si="41"/>
        <v>-0.40546510810816444</v>
      </c>
      <c r="T106" s="70">
        <f t="shared" si="42"/>
        <v>-0.35511030476723077</v>
      </c>
      <c r="U106" s="70">
        <f t="shared" si="43"/>
        <v>-0.35511030476723077</v>
      </c>
      <c r="V106" s="70">
        <f t="shared" si="44"/>
        <v>0.91287092917527679</v>
      </c>
      <c r="W106" s="70">
        <f t="shared" si="45"/>
        <v>0.91287092917527679</v>
      </c>
      <c r="X106" s="70">
        <f t="shared" si="46"/>
        <v>0</v>
      </c>
      <c r="Y106" s="70">
        <f t="shared" si="47"/>
        <v>1.2909944487358056</v>
      </c>
      <c r="Z106" s="70">
        <f t="shared" si="48"/>
        <v>0</v>
      </c>
      <c r="AA106" s="69" t="str">
        <f t="shared" si="49"/>
        <v>Negligible</v>
      </c>
      <c r="AB106" s="69" t="str">
        <f t="shared" si="50"/>
        <v>Tidak Ada Indikasi Bias</v>
      </c>
    </row>
    <row r="107" spans="1:28" ht="25" x14ac:dyDescent="0.35">
      <c r="A107" s="71" t="str">
        <f>LIM!A101</f>
        <v>97. Tujuan dari tindakan korektif adalah untuk</v>
      </c>
      <c r="B107" s="69">
        <f>LIM!B101</f>
        <v>1</v>
      </c>
      <c r="C107" s="69">
        <f>LIM!C101</f>
        <v>1</v>
      </c>
      <c r="D107" s="69">
        <f>LIM!D101</f>
        <v>1</v>
      </c>
      <c r="E107" s="69">
        <f>LIM!E101</f>
        <v>0</v>
      </c>
      <c r="F107" s="69">
        <f>LIM!F101</f>
        <v>1</v>
      </c>
      <c r="G107" s="69">
        <f>LIM!G101</f>
        <v>0</v>
      </c>
      <c r="H107" s="69">
        <f>LIM!H101</f>
        <v>0</v>
      </c>
      <c r="I107" s="69">
        <f>LIM!I101</f>
        <v>0</v>
      </c>
      <c r="J107" s="69">
        <f>LIM!J101</f>
        <v>1</v>
      </c>
      <c r="K107" s="69">
        <f>LIM!K101</f>
        <v>1</v>
      </c>
      <c r="L107" s="69">
        <f t="shared" si="34"/>
        <v>5</v>
      </c>
      <c r="M107" s="69">
        <f t="shared" si="35"/>
        <v>5</v>
      </c>
      <c r="N107" s="69">
        <f t="shared" si="36"/>
        <v>3</v>
      </c>
      <c r="O107" s="69">
        <f t="shared" si="37"/>
        <v>3</v>
      </c>
      <c r="P107" s="69">
        <f t="shared" si="38"/>
        <v>3</v>
      </c>
      <c r="Q107" s="69">
        <f t="shared" si="39"/>
        <v>3</v>
      </c>
      <c r="R107" s="70">
        <f t="shared" si="40"/>
        <v>-0.40546510810816444</v>
      </c>
      <c r="S107" s="70">
        <f t="shared" si="41"/>
        <v>-0.40546510810816444</v>
      </c>
      <c r="T107" s="70">
        <f t="shared" si="42"/>
        <v>-0.35511030476723077</v>
      </c>
      <c r="U107" s="70">
        <f t="shared" si="43"/>
        <v>-0.35511030476723077</v>
      </c>
      <c r="V107" s="70">
        <f t="shared" si="44"/>
        <v>0.91287092917527679</v>
      </c>
      <c r="W107" s="70">
        <f t="shared" si="45"/>
        <v>0.91287092917527679</v>
      </c>
      <c r="X107" s="70">
        <f t="shared" si="46"/>
        <v>0</v>
      </c>
      <c r="Y107" s="70">
        <f t="shared" si="47"/>
        <v>1.2909944487358056</v>
      </c>
      <c r="Z107" s="70">
        <f t="shared" ref="Z107:Z110" si="51">X107/Y107</f>
        <v>0</v>
      </c>
      <c r="AA107" s="69" t="str">
        <f t="shared" ref="AA107:AA110" si="52">IF(AND(ABS(X107)&gt;=$B$4,ABS(Z107)&gt;=$B$5),"DIF Besar - review",IF(AND(ABS(X107)&gt;=$B$3,ABS(Z107)&gt;=$B$5),"DIF Moderat - cek","Negligible"))</f>
        <v>Negligible</v>
      </c>
      <c r="AB107" s="69" t="str">
        <f t="shared" si="50"/>
        <v>Tidak Ada Indikasi Bias</v>
      </c>
    </row>
    <row r="108" spans="1:28" ht="62.5" customHeight="1" x14ac:dyDescent="0.35">
      <c r="A108" s="71" t="str">
        <f>LIM!A102</f>
        <v>98. Yang BUKAN agenda pemabahsan dalam rapat kaji ulang manajemen</v>
      </c>
      <c r="B108" s="69">
        <f>LIM!B102</f>
        <v>0</v>
      </c>
      <c r="C108" s="69">
        <f>LIM!C102</f>
        <v>0</v>
      </c>
      <c r="D108" s="69">
        <f>LIM!D102</f>
        <v>0</v>
      </c>
      <c r="E108" s="69">
        <f>LIM!E102</f>
        <v>1</v>
      </c>
      <c r="F108" s="69">
        <f>LIM!F102</f>
        <v>0</v>
      </c>
      <c r="G108" s="69">
        <f>LIM!G102</f>
        <v>1</v>
      </c>
      <c r="H108" s="69">
        <f>LIM!H102</f>
        <v>1</v>
      </c>
      <c r="I108" s="69">
        <f>LIM!I102</f>
        <v>1</v>
      </c>
      <c r="J108" s="69">
        <f>LIM!J102</f>
        <v>0</v>
      </c>
      <c r="K108" s="69">
        <f>LIM!K102</f>
        <v>0</v>
      </c>
      <c r="L108" s="69">
        <f t="shared" si="34"/>
        <v>5</v>
      </c>
      <c r="M108" s="69">
        <f t="shared" si="35"/>
        <v>5</v>
      </c>
      <c r="N108" s="69">
        <f t="shared" si="36"/>
        <v>2</v>
      </c>
      <c r="O108" s="69">
        <f t="shared" si="37"/>
        <v>2</v>
      </c>
      <c r="P108" s="69">
        <f t="shared" si="38"/>
        <v>2</v>
      </c>
      <c r="Q108" s="69">
        <f t="shared" si="39"/>
        <v>2</v>
      </c>
      <c r="R108" s="70">
        <f t="shared" si="40"/>
        <v>0.40546510810816438</v>
      </c>
      <c r="S108" s="70">
        <f t="shared" si="41"/>
        <v>0.40546510810816438</v>
      </c>
      <c r="T108" s="70">
        <f t="shared" si="42"/>
        <v>0.45581991144909806</v>
      </c>
      <c r="U108" s="70">
        <f t="shared" si="43"/>
        <v>0.45581991144909806</v>
      </c>
      <c r="V108" s="70">
        <f t="shared" si="44"/>
        <v>0.91287092917527679</v>
      </c>
      <c r="W108" s="70">
        <f t="shared" si="45"/>
        <v>0.91287092917527679</v>
      </c>
      <c r="X108" s="70">
        <f t="shared" si="46"/>
        <v>0</v>
      </c>
      <c r="Y108" s="70">
        <f t="shared" si="47"/>
        <v>1.2909944487358056</v>
      </c>
      <c r="Z108" s="70">
        <f t="shared" si="51"/>
        <v>0</v>
      </c>
      <c r="AA108" s="69" t="str">
        <f t="shared" si="52"/>
        <v>Negligible</v>
      </c>
      <c r="AB108" s="69" t="str">
        <f t="shared" si="50"/>
        <v>Tidak Ada Indikasi Bias</v>
      </c>
    </row>
    <row r="109" spans="1:28" ht="25" x14ac:dyDescent="0.35">
      <c r="A109" s="71" t="str">
        <f>LIM!A103</f>
        <v>99. Apa yang dimaksud dengan kaji ulang manajemen</v>
      </c>
      <c r="B109" s="69">
        <f>LIM!B103</f>
        <v>1</v>
      </c>
      <c r="C109" s="69">
        <f>LIM!C103</f>
        <v>1</v>
      </c>
      <c r="D109" s="69">
        <f>LIM!D103</f>
        <v>1</v>
      </c>
      <c r="E109" s="69">
        <f>LIM!E103</f>
        <v>1</v>
      </c>
      <c r="F109" s="69">
        <f>LIM!F103</f>
        <v>1</v>
      </c>
      <c r="G109" s="69">
        <f>LIM!G103</f>
        <v>1</v>
      </c>
      <c r="H109" s="69">
        <f>LIM!H103</f>
        <v>0</v>
      </c>
      <c r="I109" s="69">
        <f>LIM!I103</f>
        <v>0</v>
      </c>
      <c r="J109" s="69">
        <f>LIM!J103</f>
        <v>0</v>
      </c>
      <c r="K109" s="69">
        <f>LIM!K103</f>
        <v>0</v>
      </c>
      <c r="L109" s="69">
        <f t="shared" si="34"/>
        <v>5</v>
      </c>
      <c r="M109" s="69">
        <f t="shared" si="35"/>
        <v>5</v>
      </c>
      <c r="N109" s="69">
        <f t="shared" si="36"/>
        <v>3</v>
      </c>
      <c r="O109" s="69">
        <f t="shared" si="37"/>
        <v>3</v>
      </c>
      <c r="P109" s="69">
        <f t="shared" si="38"/>
        <v>3</v>
      </c>
      <c r="Q109" s="69">
        <f t="shared" si="39"/>
        <v>3</v>
      </c>
      <c r="R109" s="70">
        <f t="shared" si="40"/>
        <v>-0.40546510810816444</v>
      </c>
      <c r="S109" s="70">
        <f t="shared" si="41"/>
        <v>-0.40546510810816444</v>
      </c>
      <c r="T109" s="70">
        <f t="shared" si="42"/>
        <v>-0.35511030476723077</v>
      </c>
      <c r="U109" s="70">
        <f t="shared" si="43"/>
        <v>-0.35511030476723077</v>
      </c>
      <c r="V109" s="70">
        <f t="shared" si="44"/>
        <v>0.91287092917527679</v>
      </c>
      <c r="W109" s="70">
        <f t="shared" si="45"/>
        <v>0.91287092917527679</v>
      </c>
      <c r="X109" s="70">
        <f t="shared" si="46"/>
        <v>0</v>
      </c>
      <c r="Y109" s="70">
        <f t="shared" si="47"/>
        <v>1.2909944487358056</v>
      </c>
      <c r="Z109" s="70">
        <f t="shared" si="51"/>
        <v>0</v>
      </c>
      <c r="AA109" s="69" t="str">
        <f t="shared" si="52"/>
        <v>Negligible</v>
      </c>
      <c r="AB109" s="69" t="str">
        <f t="shared" si="50"/>
        <v>Tidak Ada Indikasi Bias</v>
      </c>
    </row>
    <row r="110" spans="1:28" ht="62.5" customHeight="1" x14ac:dyDescent="0.35">
      <c r="A110" s="71" t="str">
        <f>LIM!A104</f>
        <v>100. Siapa yang bertanggung jawab untuk mengadakan rapat Proses mengatur rapat-rapat manajemen kaji ulang manajemen</v>
      </c>
      <c r="B110" s="69">
        <f>LIM!B104</f>
        <v>1</v>
      </c>
      <c r="C110" s="69">
        <f>LIM!C104</f>
        <v>1</v>
      </c>
      <c r="D110" s="69">
        <f>LIM!D104</f>
        <v>0</v>
      </c>
      <c r="E110" s="69">
        <f>LIM!E104</f>
        <v>0</v>
      </c>
      <c r="F110" s="69">
        <f>LIM!F104</f>
        <v>0</v>
      </c>
      <c r="G110" s="69">
        <f>LIM!G104</f>
        <v>0</v>
      </c>
      <c r="H110" s="69">
        <f>LIM!H104</f>
        <v>0</v>
      </c>
      <c r="I110" s="69">
        <f>LIM!I104</f>
        <v>0</v>
      </c>
      <c r="J110" s="69">
        <f>LIM!J104</f>
        <v>0</v>
      </c>
      <c r="K110" s="69">
        <f>LIM!K104</f>
        <v>0</v>
      </c>
      <c r="L110" s="69">
        <f t="shared" si="34"/>
        <v>5</v>
      </c>
      <c r="M110" s="69">
        <f t="shared" si="35"/>
        <v>5</v>
      </c>
      <c r="N110" s="69">
        <f t="shared" si="36"/>
        <v>1</v>
      </c>
      <c r="O110" s="69">
        <f t="shared" si="37"/>
        <v>1</v>
      </c>
      <c r="P110" s="69">
        <f t="shared" si="38"/>
        <v>1</v>
      </c>
      <c r="Q110" s="69">
        <f t="shared" si="39"/>
        <v>1</v>
      </c>
      <c r="R110" s="70">
        <f t="shared" si="40"/>
        <v>1.3862943611198906</v>
      </c>
      <c r="S110" s="70">
        <f t="shared" si="41"/>
        <v>1.3862943611198906</v>
      </c>
      <c r="T110" s="70">
        <f t="shared" si="42"/>
        <v>1.4366491644608244</v>
      </c>
      <c r="U110" s="70">
        <f t="shared" si="43"/>
        <v>1.4366491644608244</v>
      </c>
      <c r="V110" s="70">
        <f t="shared" si="44"/>
        <v>1.1180339887498949</v>
      </c>
      <c r="W110" s="70">
        <f t="shared" si="45"/>
        <v>1.1180339887498949</v>
      </c>
      <c r="X110" s="70">
        <f t="shared" si="46"/>
        <v>0</v>
      </c>
      <c r="Y110" s="70">
        <f t="shared" si="47"/>
        <v>1.5811388300841898</v>
      </c>
      <c r="Z110" s="70">
        <f t="shared" si="51"/>
        <v>0</v>
      </c>
      <c r="AA110" s="69" t="str">
        <f t="shared" si="52"/>
        <v>Negligible</v>
      </c>
      <c r="AB110" s="69" t="str">
        <f t="shared" si="50"/>
        <v>Tidak Ada Indikasi Bias</v>
      </c>
    </row>
    <row r="111" spans="1:28" x14ac:dyDescent="0.35">
      <c r="A111" s="67"/>
      <c r="B111" s="68">
        <f t="shared" ref="B111:K111" si="53">SUM(B11:B110)</f>
        <v>86</v>
      </c>
      <c r="C111" s="68">
        <f t="shared" si="53"/>
        <v>86</v>
      </c>
      <c r="D111" s="68">
        <f t="shared" si="53"/>
        <v>80</v>
      </c>
      <c r="E111" s="68">
        <f t="shared" si="53"/>
        <v>53</v>
      </c>
      <c r="F111" s="68">
        <f t="shared" si="53"/>
        <v>80</v>
      </c>
      <c r="G111" s="68">
        <f t="shared" si="53"/>
        <v>53</v>
      </c>
      <c r="H111" s="68">
        <f t="shared" si="53"/>
        <v>18</v>
      </c>
      <c r="I111" s="68">
        <f t="shared" si="53"/>
        <v>18</v>
      </c>
      <c r="J111" s="68">
        <f t="shared" si="53"/>
        <v>19</v>
      </c>
      <c r="K111" s="68">
        <f t="shared" si="53"/>
        <v>19</v>
      </c>
      <c r="L111" s="67"/>
      <c r="M111" s="67"/>
      <c r="N111" s="67"/>
      <c r="O111" s="67"/>
      <c r="P111" s="67"/>
      <c r="Q111" s="67"/>
      <c r="R111" s="67"/>
      <c r="S111" s="67"/>
      <c r="T111" s="67"/>
      <c r="U111" s="67"/>
      <c r="V111" s="67"/>
      <c r="W111" s="67"/>
      <c r="X111" s="67"/>
      <c r="Y111" s="67"/>
      <c r="Z111" s="67"/>
      <c r="AA111" s="67"/>
      <c r="AB111" s="67"/>
    </row>
    <row r="112" spans="1:28" x14ac:dyDescent="0.35">
      <c r="A112" s="1"/>
      <c r="L112"/>
    </row>
  </sheetData>
  <mergeCells count="28">
    <mergeCell ref="O9:O10"/>
    <mergeCell ref="AB9:AB10"/>
    <mergeCell ref="Q3:T3"/>
    <mergeCell ref="Q4:S4"/>
    <mergeCell ref="A9:A10"/>
    <mergeCell ref="B9:K9"/>
    <mergeCell ref="L9:L10"/>
    <mergeCell ref="M9:M10"/>
    <mergeCell ref="N9:N10"/>
    <mergeCell ref="L6:N6"/>
    <mergeCell ref="Q6:T6"/>
    <mergeCell ref="K7:AB7"/>
    <mergeCell ref="A1:AC1"/>
    <mergeCell ref="L4:N4"/>
    <mergeCell ref="L5:N5"/>
    <mergeCell ref="Q5:T5"/>
    <mergeCell ref="R9:R10"/>
    <mergeCell ref="S9:S10"/>
    <mergeCell ref="T9:T10"/>
    <mergeCell ref="X9:X10"/>
    <mergeCell ref="W9:W10"/>
    <mergeCell ref="Y9:Y10"/>
    <mergeCell ref="Z9:Z10"/>
    <mergeCell ref="AA9:AA10"/>
    <mergeCell ref="P9:P10"/>
    <mergeCell ref="Q9:Q10"/>
    <mergeCell ref="U9:U10"/>
    <mergeCell ref="V9:V10"/>
  </mergeCells>
  <pageMargins left="0.26" right="0.16" top="0.6" bottom="0.36" header="0.3" footer="0.3"/>
  <pageSetup scale="59" orientation="landscape"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B111D-8E82-4A70-B04D-E7F46959B210}">
  <dimension ref="A1:H61"/>
  <sheetViews>
    <sheetView tabSelected="1" workbookViewId="0">
      <selection activeCell="A2" sqref="A2:A61"/>
    </sheetView>
  </sheetViews>
  <sheetFormatPr defaultRowHeight="14.5" x14ac:dyDescent="0.35"/>
  <cols>
    <col min="1" max="1" width="50.54296875" bestFit="1" customWidth="1"/>
    <col min="2" max="2" width="19.36328125" bestFit="1" customWidth="1"/>
    <col min="3" max="3" width="60.453125" bestFit="1" customWidth="1"/>
    <col min="4" max="4" width="14.08984375" customWidth="1"/>
    <col min="5" max="5" width="12.1796875" bestFit="1" customWidth="1"/>
    <col min="7" max="7" width="53.81640625" bestFit="1" customWidth="1"/>
    <col min="8" max="8" width="14.08984375" customWidth="1"/>
  </cols>
  <sheetData>
    <row r="1" spans="1:8" ht="15" thickBot="1" x14ac:dyDescent="0.4">
      <c r="A1" s="15" t="s">
        <v>726</v>
      </c>
      <c r="B1" s="15" t="s">
        <v>756</v>
      </c>
      <c r="C1" s="15" t="s">
        <v>727</v>
      </c>
      <c r="D1" s="17" t="s">
        <v>754</v>
      </c>
      <c r="E1" s="17" t="s">
        <v>755</v>
      </c>
      <c r="G1" s="17" t="s">
        <v>743</v>
      </c>
    </row>
    <row r="2" spans="1:8" ht="15" thickBot="1" x14ac:dyDescent="0.4">
      <c r="A2" s="104" t="s">
        <v>805</v>
      </c>
      <c r="B2" s="105" t="s">
        <v>757</v>
      </c>
      <c r="C2" s="105" t="s">
        <v>728</v>
      </c>
      <c r="D2" s="108" t="str">
        <f t="shared" ref="D2:D32" si="0">IFERROR(VLOOKUP(TRIM(CLEAN(C2)),$G$3:$H$13,2,0),"")</f>
        <v>AIL</v>
      </c>
      <c r="E2" s="108">
        <f>IF($D2="","",IF(COUNTIF($D$2:$D2,$D2)&gt;10,"",IF($D2="AIL",CHOOSE(COUNTIF($D$2:$D2,$D2),AIL!B$105,AIL!C$105,AIL!D$105,AIL!E$105,AIL!F$105,AIL!G$105,AIL!H$105,AIL!I$105,AIL!J$105,AIL!K$105),IF($D2="LAD",CHOOSE(COUNTIF($D$2:$D2,$D2),LAD!B$105,LAD!C$105,LAD!D$105,LAD!E$105,LAD!F$105,LAD!G$105,LAD!H$105,LAD!I$105,LAD!J$105,LAD!K$105),IF($D2="ToT",CHOOSE(COUNTIF($D$2:$D2,$D2),ToT!B$105,ToT!C$105,ToT!D$105,ToT!E$105,ToT!F$105,ToT!G$105,ToT!H$105,ToT!I$105,ToT!J$105,ToT!K$105),IF($D2="IMR (Soal Baru)",CHOOSE(COUNTIF($D$2:$D2,$D2),'IMR (Soal Baru)'!B$105,'IMR (Soal Baru)'!C$105,'IMR (Soal Baru)'!D$105,'IMR (Soal Baru)'!E$105,'IMR (Soal Baru)'!F$105,'IMR (Soal Baru)'!G$105,'IMR (Soal Baru)'!H$105,'IMR (Soal Baru)'!I$105,'IMR (Soal Baru)'!J$105,'IMR (Soal Baru)'!K$105),IF($D2="TKO",CHOOSE(COUNTIF($D$2:$D2,$D2),TKO!B$105,TKO!C$105,TKO!D$105,TKO!E$105,TKO!F$105,TKO!G$105,TKO!H$105,TKO!I$105,TKO!J$105,TKO!K$105),IF($D2="AUI",CHOOSE(COUNTIF($D$2:$D2,$D2),AUI!B$105,AUI!C$105,AUI!D$105,AUI!E$105,AUI!F$105,AUI!G$105,AUI!H$105,AUI!I$105,AUI!J$105,AUI!K$105),IF($D2="LIM",CHOOSE(COUNTIF($D$2:$D2,$D2),LIM!B$105,LIM!C$105,LIM!D$105,LIM!E$105,LIM!F$105,LIM!G$105,LIM!H$105,LIM!I$105,LIM!J$105,LIM!K$105),"")))))))))</f>
        <v>84</v>
      </c>
      <c r="G2" s="17" t="s">
        <v>744</v>
      </c>
      <c r="H2" s="17" t="s">
        <v>745</v>
      </c>
    </row>
    <row r="3" spans="1:8" ht="15" thickBot="1" x14ac:dyDescent="0.4">
      <c r="A3" s="106" t="s">
        <v>806</v>
      </c>
      <c r="B3" s="105" t="s">
        <v>758</v>
      </c>
      <c r="C3" s="105" t="s">
        <v>728</v>
      </c>
      <c r="D3" s="108" t="str">
        <f t="shared" si="0"/>
        <v>AIL</v>
      </c>
      <c r="E3" s="108">
        <f>IF($D3="","",IF(COUNTIF($D$2:$D3,$D3)&gt;10,"",IF($D3="AIL",CHOOSE(COUNTIF($D$2:$D3,$D3),AIL!B$105,AIL!C$105,AIL!D$105,AIL!E$105,AIL!F$105,AIL!G$105,AIL!H$105,AIL!I$105,AIL!J$105,AIL!K$105),IF($D3="LAD",CHOOSE(COUNTIF($D$2:$D3,$D3),LAD!B$105,LAD!C$105,LAD!D$105,LAD!E$105,LAD!F$105,LAD!G$105,LAD!H$105,LAD!I$105,LAD!J$105,LAD!K$105),IF($D3="ToT",CHOOSE(COUNTIF($D$2:$D3,$D3),ToT!B$105,ToT!C$105,ToT!D$105,ToT!E$105,ToT!F$105,ToT!G$105,ToT!H$105,ToT!I$105,ToT!J$105,ToT!K$105),IF($D3="IMR (Soal Baru)",CHOOSE(COUNTIF($D$2:$D3,$D3),'IMR (Soal Baru)'!B$105,'IMR (Soal Baru)'!C$105,'IMR (Soal Baru)'!D$105,'IMR (Soal Baru)'!E$105,'IMR (Soal Baru)'!F$105,'IMR (Soal Baru)'!G$105,'IMR (Soal Baru)'!H$105,'IMR (Soal Baru)'!I$105,'IMR (Soal Baru)'!J$105,'IMR (Soal Baru)'!K$105),IF($D3="TKO",CHOOSE(COUNTIF($D$2:$D3,$D3),TKO!B$105,TKO!C$105,TKO!D$105,TKO!E$105,TKO!F$105,TKO!G$105,TKO!H$105,TKO!I$105,TKO!J$105,TKO!K$105),IF($D3="AUI",CHOOSE(COUNTIF($D$2:$D3,$D3),AUI!B$105,AUI!C$105,AUI!D$105,AUI!E$105,AUI!F$105,AUI!G$105,AUI!H$105,AUI!I$105,AUI!J$105,AUI!K$105),IF($D3="LIM",CHOOSE(COUNTIF($D$2:$D3,$D3),LIM!B$105,LIM!C$105,LIM!D$105,LIM!E$105,LIM!F$105,LIM!G$105,LIM!H$105,LIM!I$105,LIM!J$105,LIM!K$105),"")))))))))</f>
        <v>84</v>
      </c>
      <c r="G3" t="s">
        <v>728</v>
      </c>
      <c r="H3" t="s">
        <v>746</v>
      </c>
    </row>
    <row r="4" spans="1:8" ht="15" thickBot="1" x14ac:dyDescent="0.4">
      <c r="A4" s="106" t="s">
        <v>811</v>
      </c>
      <c r="B4" s="105" t="s">
        <v>757</v>
      </c>
      <c r="C4" s="105" t="s">
        <v>728</v>
      </c>
      <c r="D4" s="108" t="str">
        <f t="shared" si="0"/>
        <v>AIL</v>
      </c>
      <c r="E4" s="108">
        <f>IF($D4="","",IF(COUNTIF($D$2:$D4,$D4)&gt;10,"",IF($D4="AIL",CHOOSE(COUNTIF($D$2:$D4,$D4),AIL!B$105,AIL!C$105,AIL!D$105,AIL!E$105,AIL!F$105,AIL!G$105,AIL!H$105,AIL!I$105,AIL!J$105,AIL!K$105),IF($D4="LAD",CHOOSE(COUNTIF($D$2:$D4,$D4),LAD!B$105,LAD!C$105,LAD!D$105,LAD!E$105,LAD!F$105,LAD!G$105,LAD!H$105,LAD!I$105,LAD!J$105,LAD!K$105),IF($D4="ToT",CHOOSE(COUNTIF($D$2:$D4,$D4),ToT!B$105,ToT!C$105,ToT!D$105,ToT!E$105,ToT!F$105,ToT!G$105,ToT!H$105,ToT!I$105,ToT!J$105,ToT!K$105),IF($D4="IMR (Soal Baru)",CHOOSE(COUNTIF($D$2:$D4,$D4),'IMR (Soal Baru)'!B$105,'IMR (Soal Baru)'!C$105,'IMR (Soal Baru)'!D$105,'IMR (Soal Baru)'!E$105,'IMR (Soal Baru)'!F$105,'IMR (Soal Baru)'!G$105,'IMR (Soal Baru)'!H$105,'IMR (Soal Baru)'!I$105,'IMR (Soal Baru)'!J$105,'IMR (Soal Baru)'!K$105),IF($D4="TKO",CHOOSE(COUNTIF($D$2:$D4,$D4),TKO!B$105,TKO!C$105,TKO!D$105,TKO!E$105,TKO!F$105,TKO!G$105,TKO!H$105,TKO!I$105,TKO!J$105,TKO!K$105),IF($D4="AUI",CHOOSE(COUNTIF($D$2:$D4,$D4),AUI!B$105,AUI!C$105,AUI!D$105,AUI!E$105,AUI!F$105,AUI!G$105,AUI!H$105,AUI!I$105,AUI!J$105,AUI!K$105),IF($D4="LIM",CHOOSE(COUNTIF($D$2:$D4,$D4),LIM!B$105,LIM!C$105,LIM!D$105,LIM!E$105,LIM!F$105,LIM!G$105,LIM!H$105,LIM!I$105,LIM!J$105,LIM!K$105),"")))))))))</f>
        <v>80</v>
      </c>
      <c r="G4" t="s">
        <v>735</v>
      </c>
      <c r="H4" t="s">
        <v>746</v>
      </c>
    </row>
    <row r="5" spans="1:8" ht="15" thickBot="1" x14ac:dyDescent="0.4">
      <c r="A5" s="106" t="s">
        <v>808</v>
      </c>
      <c r="B5" s="105" t="s">
        <v>757</v>
      </c>
      <c r="C5" s="105" t="s">
        <v>728</v>
      </c>
      <c r="D5" s="108" t="str">
        <f t="shared" si="0"/>
        <v>AIL</v>
      </c>
      <c r="E5" s="108">
        <f>IF($D5="","",IF(COUNTIF($D$2:$D5,$D5)&gt;10,"",IF($D5="AIL",CHOOSE(COUNTIF($D$2:$D5,$D5),AIL!B$105,AIL!C$105,AIL!D$105,AIL!E$105,AIL!F$105,AIL!G$105,AIL!H$105,AIL!I$105,AIL!J$105,AIL!K$105),IF($D5="LAD",CHOOSE(COUNTIF($D$2:$D5,$D5),LAD!B$105,LAD!C$105,LAD!D$105,LAD!E$105,LAD!F$105,LAD!G$105,LAD!H$105,LAD!I$105,LAD!J$105,LAD!K$105),IF($D5="ToT",CHOOSE(COUNTIF($D$2:$D5,$D5),ToT!B$105,ToT!C$105,ToT!D$105,ToT!E$105,ToT!F$105,ToT!G$105,ToT!H$105,ToT!I$105,ToT!J$105,ToT!K$105),IF($D5="IMR (Soal Baru)",CHOOSE(COUNTIF($D$2:$D5,$D5),'IMR (Soal Baru)'!B$105,'IMR (Soal Baru)'!C$105,'IMR (Soal Baru)'!D$105,'IMR (Soal Baru)'!E$105,'IMR (Soal Baru)'!F$105,'IMR (Soal Baru)'!G$105,'IMR (Soal Baru)'!H$105,'IMR (Soal Baru)'!I$105,'IMR (Soal Baru)'!J$105,'IMR (Soal Baru)'!K$105),IF($D5="TKO",CHOOSE(COUNTIF($D$2:$D5,$D5),TKO!B$105,TKO!C$105,TKO!D$105,TKO!E$105,TKO!F$105,TKO!G$105,TKO!H$105,TKO!I$105,TKO!J$105,TKO!K$105),IF($D5="AUI",CHOOSE(COUNTIF($D$2:$D5,$D5),AUI!B$105,AUI!C$105,AUI!D$105,AUI!E$105,AUI!F$105,AUI!G$105,AUI!H$105,AUI!I$105,AUI!J$105,AUI!K$105),IF($D5="LIM",CHOOSE(COUNTIF($D$2:$D5,$D5),LIM!B$105,LIM!C$105,LIM!D$105,LIM!E$105,LIM!F$105,LIM!G$105,LIM!H$105,LIM!I$105,LIM!J$105,LIM!K$105),"")))))))))</f>
        <v>80</v>
      </c>
      <c r="G5" t="s">
        <v>729</v>
      </c>
      <c r="H5" t="s">
        <v>747</v>
      </c>
    </row>
    <row r="6" spans="1:8" ht="15" thickBot="1" x14ac:dyDescent="0.4">
      <c r="A6" s="106" t="s">
        <v>809</v>
      </c>
      <c r="B6" s="105" t="s">
        <v>757</v>
      </c>
      <c r="C6" s="107" t="s">
        <v>728</v>
      </c>
      <c r="D6" s="108" t="str">
        <f t="shared" si="0"/>
        <v>AIL</v>
      </c>
      <c r="E6" s="108">
        <f>IF($D6="","",IF(COUNTIF($D$2:$D6,$D6)&gt;10,"",IF($D6="AIL",CHOOSE(COUNTIF($D$2:$D6,$D6),AIL!B$105,AIL!C$105,AIL!D$105,AIL!E$105,AIL!F$105,AIL!G$105,AIL!H$105,AIL!I$105,AIL!J$105,AIL!K$105),IF($D6="LAD",CHOOSE(COUNTIF($D$2:$D6,$D6),LAD!B$105,LAD!C$105,LAD!D$105,LAD!E$105,LAD!F$105,LAD!G$105,LAD!H$105,LAD!I$105,LAD!J$105,LAD!K$105),IF($D6="ToT",CHOOSE(COUNTIF($D$2:$D6,$D6),ToT!B$105,ToT!C$105,ToT!D$105,ToT!E$105,ToT!F$105,ToT!G$105,ToT!H$105,ToT!I$105,ToT!J$105,ToT!K$105),IF($D6="IMR (Soal Baru)",CHOOSE(COUNTIF($D$2:$D6,$D6),'IMR (Soal Baru)'!B$105,'IMR (Soal Baru)'!C$105,'IMR (Soal Baru)'!D$105,'IMR (Soal Baru)'!E$105,'IMR (Soal Baru)'!F$105,'IMR (Soal Baru)'!G$105,'IMR (Soal Baru)'!H$105,'IMR (Soal Baru)'!I$105,'IMR (Soal Baru)'!J$105,'IMR (Soal Baru)'!K$105),IF($D6="TKO",CHOOSE(COUNTIF($D$2:$D6,$D6),TKO!B$105,TKO!C$105,TKO!D$105,TKO!E$105,TKO!F$105,TKO!G$105,TKO!H$105,TKO!I$105,TKO!J$105,TKO!K$105),IF($D6="AUI",CHOOSE(COUNTIF($D$2:$D6,$D6),AUI!B$105,AUI!C$105,AUI!D$105,AUI!E$105,AUI!F$105,AUI!G$105,AUI!H$105,AUI!I$105,AUI!J$105,AUI!K$105),IF($D6="LIM",CHOOSE(COUNTIF($D$2:$D6,$D6),LIM!B$105,LIM!C$105,LIM!D$105,LIM!E$105,LIM!F$105,LIM!G$105,LIM!H$105,LIM!I$105,LIM!J$105,LIM!K$105),"")))))))))</f>
        <v>21</v>
      </c>
      <c r="G6" t="s">
        <v>731</v>
      </c>
      <c r="H6" t="s">
        <v>748</v>
      </c>
    </row>
    <row r="7" spans="1:8" ht="15" thickBot="1" x14ac:dyDescent="0.4">
      <c r="A7" s="106" t="s">
        <v>810</v>
      </c>
      <c r="B7" s="105" t="s">
        <v>758</v>
      </c>
      <c r="C7" s="105" t="s">
        <v>735</v>
      </c>
      <c r="D7" s="108" t="str">
        <f t="shared" si="0"/>
        <v>AIL</v>
      </c>
      <c r="E7" s="108">
        <f>IF($D7="","",IF(COUNTIF($D$2:$D7,$D7)&gt;10,"",IF($D7="AIL",CHOOSE(COUNTIF($D$2:$D7,$D7),AIL!B$105,AIL!C$105,AIL!D$105,AIL!E$105,AIL!F$105,AIL!G$105,AIL!H$105,AIL!I$105,AIL!J$105,AIL!K$105),IF($D7="LAD",CHOOSE(COUNTIF($D$2:$D7,$D7),LAD!B$105,LAD!C$105,LAD!D$105,LAD!E$105,LAD!F$105,LAD!G$105,LAD!H$105,LAD!I$105,LAD!J$105,LAD!K$105),IF($D7="ToT",CHOOSE(COUNTIF($D$2:$D7,$D7),ToT!B$105,ToT!C$105,ToT!D$105,ToT!E$105,ToT!F$105,ToT!G$105,ToT!H$105,ToT!I$105,ToT!J$105,ToT!K$105),IF($D7="IMR (Soal Baru)",CHOOSE(COUNTIF($D$2:$D7,$D7),'IMR (Soal Baru)'!B$105,'IMR (Soal Baru)'!C$105,'IMR (Soal Baru)'!D$105,'IMR (Soal Baru)'!E$105,'IMR (Soal Baru)'!F$105,'IMR (Soal Baru)'!G$105,'IMR (Soal Baru)'!H$105,'IMR (Soal Baru)'!I$105,'IMR (Soal Baru)'!J$105,'IMR (Soal Baru)'!K$105),IF($D7="TKO",CHOOSE(COUNTIF($D$2:$D7,$D7),TKO!B$105,TKO!C$105,TKO!D$105,TKO!E$105,TKO!F$105,TKO!G$105,TKO!H$105,TKO!I$105,TKO!J$105,TKO!K$105),IF($D7="AUI",CHOOSE(COUNTIF($D$2:$D7,$D7),AUI!B$105,AUI!C$105,AUI!D$105,AUI!E$105,AUI!F$105,AUI!G$105,AUI!H$105,AUI!I$105,AUI!J$105,AUI!K$105),IF($D7="LIM",CHOOSE(COUNTIF($D$2:$D7,$D7),LIM!B$105,LIM!C$105,LIM!D$105,LIM!E$105,LIM!F$105,LIM!G$105,LIM!H$105,LIM!I$105,LIM!J$105,LIM!K$105),"")))))))))</f>
        <v>21</v>
      </c>
      <c r="G7" t="s">
        <v>732</v>
      </c>
      <c r="H7" t="s">
        <v>749</v>
      </c>
    </row>
    <row r="8" spans="1:8" ht="15" thickBot="1" x14ac:dyDescent="0.4">
      <c r="A8" s="106" t="s">
        <v>807</v>
      </c>
      <c r="B8" s="105" t="s">
        <v>758</v>
      </c>
      <c r="C8" s="105" t="s">
        <v>735</v>
      </c>
      <c r="D8" s="108" t="str">
        <f t="shared" si="0"/>
        <v>AIL</v>
      </c>
      <c r="E8" s="108">
        <f>IF($D8="","",IF(COUNTIF($D$2:$D8,$D8)&gt;10,"",IF($D8="AIL",CHOOSE(COUNTIF($D$2:$D8,$D8),AIL!B$105,AIL!C$105,AIL!D$105,AIL!E$105,AIL!F$105,AIL!G$105,AIL!H$105,AIL!I$105,AIL!J$105,AIL!K$105),IF($D8="LAD",CHOOSE(COUNTIF($D$2:$D8,$D8),LAD!B$105,LAD!C$105,LAD!D$105,LAD!E$105,LAD!F$105,LAD!G$105,LAD!H$105,LAD!I$105,LAD!J$105,LAD!K$105),IF($D8="ToT",CHOOSE(COUNTIF($D$2:$D8,$D8),ToT!B$105,ToT!C$105,ToT!D$105,ToT!E$105,ToT!F$105,ToT!G$105,ToT!H$105,ToT!I$105,ToT!J$105,ToT!K$105),IF($D8="IMR (Soal Baru)",CHOOSE(COUNTIF($D$2:$D8,$D8),'IMR (Soal Baru)'!B$105,'IMR (Soal Baru)'!C$105,'IMR (Soal Baru)'!D$105,'IMR (Soal Baru)'!E$105,'IMR (Soal Baru)'!F$105,'IMR (Soal Baru)'!G$105,'IMR (Soal Baru)'!H$105,'IMR (Soal Baru)'!I$105,'IMR (Soal Baru)'!J$105,'IMR (Soal Baru)'!K$105),IF($D8="TKO",CHOOSE(COUNTIF($D$2:$D8,$D8),TKO!B$105,TKO!C$105,TKO!D$105,TKO!E$105,TKO!F$105,TKO!G$105,TKO!H$105,TKO!I$105,TKO!J$105,TKO!K$105),IF($D8="AUI",CHOOSE(COUNTIF($D$2:$D8,$D8),AUI!B$105,AUI!C$105,AUI!D$105,AUI!E$105,AUI!F$105,AUI!G$105,AUI!H$105,AUI!I$105,AUI!J$105,AUI!K$105),IF($D8="LIM",CHOOSE(COUNTIF($D$2:$D8,$D8),LIM!B$105,LIM!C$105,LIM!D$105,LIM!E$105,LIM!F$105,LIM!G$105,LIM!H$105,LIM!I$105,LIM!J$105,LIM!K$105),"")))))))))</f>
        <v>22</v>
      </c>
      <c r="G8" t="s">
        <v>733</v>
      </c>
      <c r="H8" t="s">
        <v>750</v>
      </c>
    </row>
    <row r="9" spans="1:8" ht="15" thickBot="1" x14ac:dyDescent="0.4">
      <c r="A9" s="106" t="s">
        <v>824</v>
      </c>
      <c r="B9" s="105" t="s">
        <v>758</v>
      </c>
      <c r="C9" s="105" t="s">
        <v>735</v>
      </c>
      <c r="D9" s="108" t="str">
        <f t="shared" si="0"/>
        <v>AIL</v>
      </c>
      <c r="E9" s="108">
        <f>IF($D9="","",IF(COUNTIF($D$2:$D9,$D9)&gt;10,"",IF($D9="AIL",CHOOSE(COUNTIF($D$2:$D9,$D9),AIL!B$105,AIL!C$105,AIL!D$105,AIL!E$105,AIL!F$105,AIL!G$105,AIL!H$105,AIL!I$105,AIL!J$105,AIL!K$105),IF($D9="LAD",CHOOSE(COUNTIF($D$2:$D9,$D9),LAD!B$105,LAD!C$105,LAD!D$105,LAD!E$105,LAD!F$105,LAD!G$105,LAD!H$105,LAD!I$105,LAD!J$105,LAD!K$105),IF($D9="ToT",CHOOSE(COUNTIF($D$2:$D9,$D9),ToT!B$105,ToT!C$105,ToT!D$105,ToT!E$105,ToT!F$105,ToT!G$105,ToT!H$105,ToT!I$105,ToT!J$105,ToT!K$105),IF($D9="IMR (Soal Baru)",CHOOSE(COUNTIF($D$2:$D9,$D9),'IMR (Soal Baru)'!B$105,'IMR (Soal Baru)'!C$105,'IMR (Soal Baru)'!D$105,'IMR (Soal Baru)'!E$105,'IMR (Soal Baru)'!F$105,'IMR (Soal Baru)'!G$105,'IMR (Soal Baru)'!H$105,'IMR (Soal Baru)'!I$105,'IMR (Soal Baru)'!J$105,'IMR (Soal Baru)'!K$105),IF($D9="TKO",CHOOSE(COUNTIF($D$2:$D9,$D9),TKO!B$105,TKO!C$105,TKO!D$105,TKO!E$105,TKO!F$105,TKO!G$105,TKO!H$105,TKO!I$105,TKO!J$105,TKO!K$105),IF($D9="AUI",CHOOSE(COUNTIF($D$2:$D9,$D9),AUI!B$105,AUI!C$105,AUI!D$105,AUI!E$105,AUI!F$105,AUI!G$105,AUI!H$105,AUI!I$105,AUI!J$105,AUI!K$105),IF($D9="LIM",CHOOSE(COUNTIF($D$2:$D9,$D9),LIM!B$105,LIM!C$105,LIM!D$105,LIM!E$105,LIM!F$105,LIM!G$105,LIM!H$105,LIM!I$105,LIM!J$105,LIM!K$105),"")))))))))</f>
        <v>22</v>
      </c>
      <c r="G9" t="s">
        <v>734</v>
      </c>
      <c r="H9" t="s">
        <v>751</v>
      </c>
    </row>
    <row r="10" spans="1:8" ht="15" thickBot="1" x14ac:dyDescent="0.4">
      <c r="A10" s="106" t="s">
        <v>813</v>
      </c>
      <c r="B10" s="105" t="s">
        <v>758</v>
      </c>
      <c r="C10" s="105" t="s">
        <v>735</v>
      </c>
      <c r="D10" s="108" t="str">
        <f t="shared" si="0"/>
        <v>AIL</v>
      </c>
      <c r="E10" s="108">
        <f>IF($D10="","",IF(COUNTIF($D$2:$D10,$D10)&gt;10,"",IF($D10="AIL",CHOOSE(COUNTIF($D$2:$D10,$D10),AIL!B$105,AIL!C$105,AIL!D$105,AIL!E$105,AIL!F$105,AIL!G$105,AIL!H$105,AIL!I$105,AIL!J$105,AIL!K$105),IF($D10="LAD",CHOOSE(COUNTIF($D$2:$D10,$D10),LAD!B$105,LAD!C$105,LAD!D$105,LAD!E$105,LAD!F$105,LAD!G$105,LAD!H$105,LAD!I$105,LAD!J$105,LAD!K$105),IF($D10="ToT",CHOOSE(COUNTIF($D$2:$D10,$D10),ToT!B$105,ToT!C$105,ToT!D$105,ToT!E$105,ToT!F$105,ToT!G$105,ToT!H$105,ToT!I$105,ToT!J$105,ToT!K$105),IF($D10="IMR (Soal Baru)",CHOOSE(COUNTIF($D$2:$D10,$D10),'IMR (Soal Baru)'!B$105,'IMR (Soal Baru)'!C$105,'IMR (Soal Baru)'!D$105,'IMR (Soal Baru)'!E$105,'IMR (Soal Baru)'!F$105,'IMR (Soal Baru)'!G$105,'IMR (Soal Baru)'!H$105,'IMR (Soal Baru)'!I$105,'IMR (Soal Baru)'!J$105,'IMR (Soal Baru)'!K$105),IF($D10="TKO",CHOOSE(COUNTIF($D$2:$D10,$D10),TKO!B$105,TKO!C$105,TKO!D$105,TKO!E$105,TKO!F$105,TKO!G$105,TKO!H$105,TKO!I$105,TKO!J$105,TKO!K$105),IF($D10="AUI",CHOOSE(COUNTIF($D$2:$D10,$D10),AUI!B$105,AUI!C$105,AUI!D$105,AUI!E$105,AUI!F$105,AUI!G$105,AUI!H$105,AUI!I$105,AUI!J$105,AUI!K$105),IF($D10="LIM",CHOOSE(COUNTIF($D$2:$D10,$D10),LIM!B$105,LIM!C$105,LIM!D$105,LIM!E$105,LIM!F$105,LIM!G$105,LIM!H$105,LIM!I$105,LIM!J$105,LIM!K$105),"")))))))))</f>
        <v>46</v>
      </c>
      <c r="G10" t="s">
        <v>752</v>
      </c>
      <c r="H10" t="s">
        <v>751</v>
      </c>
    </row>
    <row r="11" spans="1:8" ht="15" thickBot="1" x14ac:dyDescent="0.4">
      <c r="A11" s="106" t="s">
        <v>814</v>
      </c>
      <c r="B11" s="105" t="s">
        <v>757</v>
      </c>
      <c r="C11" s="105" t="s">
        <v>735</v>
      </c>
      <c r="D11" s="108" t="str">
        <f t="shared" si="0"/>
        <v>AIL</v>
      </c>
      <c r="E11" s="108">
        <f>IF($D11="","",IF(COUNTIF($D$2:$D11,$D11)&gt;10,"",IF($D11="AIL",CHOOSE(COUNTIF($D$2:$D11,$D11),AIL!B$105,AIL!C$105,AIL!D$105,AIL!E$105,AIL!F$105,AIL!G$105,AIL!H$105,AIL!I$105,AIL!J$105,AIL!K$105),IF($D11="LAD",CHOOSE(COUNTIF($D$2:$D11,$D11),LAD!B$105,LAD!C$105,LAD!D$105,LAD!E$105,LAD!F$105,LAD!G$105,LAD!H$105,LAD!I$105,LAD!J$105,LAD!K$105),IF($D11="ToT",CHOOSE(COUNTIF($D$2:$D11,$D11),ToT!B$105,ToT!C$105,ToT!D$105,ToT!E$105,ToT!F$105,ToT!G$105,ToT!H$105,ToT!I$105,ToT!J$105,ToT!K$105),IF($D11="IMR (Soal Baru)",CHOOSE(COUNTIF($D$2:$D11,$D11),'IMR (Soal Baru)'!B$105,'IMR (Soal Baru)'!C$105,'IMR (Soal Baru)'!D$105,'IMR (Soal Baru)'!E$105,'IMR (Soal Baru)'!F$105,'IMR (Soal Baru)'!G$105,'IMR (Soal Baru)'!H$105,'IMR (Soal Baru)'!I$105,'IMR (Soal Baru)'!J$105,'IMR (Soal Baru)'!K$105),IF($D11="TKO",CHOOSE(COUNTIF($D$2:$D11,$D11),TKO!B$105,TKO!C$105,TKO!D$105,TKO!E$105,TKO!F$105,TKO!G$105,TKO!H$105,TKO!I$105,TKO!J$105,TKO!K$105),IF($D11="AUI",CHOOSE(COUNTIF($D$2:$D11,$D11),AUI!B$105,AUI!C$105,AUI!D$105,AUI!E$105,AUI!F$105,AUI!G$105,AUI!H$105,AUI!I$105,AUI!J$105,AUI!K$105),IF($D11="LIM",CHOOSE(COUNTIF($D$2:$D11,$D11),LIM!B$105,LIM!C$105,LIM!D$105,LIM!E$105,LIM!F$105,LIM!G$105,LIM!H$105,LIM!I$105,LIM!J$105,LIM!K$105),"")))))))))</f>
        <v>46</v>
      </c>
      <c r="G11" t="s">
        <v>730</v>
      </c>
      <c r="H11" t="s">
        <v>753</v>
      </c>
    </row>
    <row r="12" spans="1:8" ht="15" thickBot="1" x14ac:dyDescent="0.4">
      <c r="A12" s="106" t="s">
        <v>815</v>
      </c>
      <c r="B12" s="105" t="s">
        <v>758</v>
      </c>
      <c r="C12" s="105" t="s">
        <v>733</v>
      </c>
      <c r="D12" s="108" t="str">
        <f t="shared" si="0"/>
        <v>AUI</v>
      </c>
      <c r="E12" s="108">
        <f>IF($D12="","",IF(COUNTIF($D$2:$D12,$D12)&gt;10,"",IF($D12="AIL",CHOOSE(COUNTIF($D$2:$D12,$D12),AIL!B$105,AIL!C$105,AIL!D$105,AIL!E$105,AIL!F$105,AIL!G$105,AIL!H$105,AIL!I$105,AIL!J$105,AIL!K$105),IF($D12="LAD",CHOOSE(COUNTIF($D$2:$D12,$D12),LAD!B$105,LAD!C$105,LAD!D$105,LAD!E$105,LAD!F$105,LAD!G$105,LAD!H$105,LAD!I$105,LAD!J$105,LAD!K$105),IF($D12="ToT",CHOOSE(COUNTIF($D$2:$D12,$D12),ToT!B$105,ToT!C$105,ToT!D$105,ToT!E$105,ToT!F$105,ToT!G$105,ToT!H$105,ToT!I$105,ToT!J$105,ToT!K$105),IF($D12="IMR (Soal Baru)",CHOOSE(COUNTIF($D$2:$D12,$D12),'IMR (Soal Baru)'!B$105,'IMR (Soal Baru)'!C$105,'IMR (Soal Baru)'!D$105,'IMR (Soal Baru)'!E$105,'IMR (Soal Baru)'!F$105,'IMR (Soal Baru)'!G$105,'IMR (Soal Baru)'!H$105,'IMR (Soal Baru)'!I$105,'IMR (Soal Baru)'!J$105,'IMR (Soal Baru)'!K$105),IF($D12="TKO",CHOOSE(COUNTIF($D$2:$D12,$D12),TKO!B$105,TKO!C$105,TKO!D$105,TKO!E$105,TKO!F$105,TKO!G$105,TKO!H$105,TKO!I$105,TKO!J$105,TKO!K$105),IF($D12="AUI",CHOOSE(COUNTIF($D$2:$D12,$D12),AUI!B$105,AUI!C$105,AUI!D$105,AUI!E$105,AUI!F$105,AUI!G$105,AUI!H$105,AUI!I$105,AUI!J$105,AUI!K$105),IF($D12="LIM",CHOOSE(COUNTIF($D$2:$D12,$D12),LIM!B$105,LIM!C$105,LIM!D$105,LIM!E$105,LIM!F$105,LIM!G$105,LIM!H$105,LIM!I$105,LIM!J$105,LIM!K$105),"")))))))))</f>
        <v>46</v>
      </c>
      <c r="G12" t="s">
        <v>737</v>
      </c>
      <c r="H12" t="s">
        <v>753</v>
      </c>
    </row>
    <row r="13" spans="1:8" ht="15" thickBot="1" x14ac:dyDescent="0.4">
      <c r="A13" s="106" t="s">
        <v>816</v>
      </c>
      <c r="B13" s="105" t="s">
        <v>758</v>
      </c>
      <c r="C13" s="105" t="s">
        <v>733</v>
      </c>
      <c r="D13" s="108" t="str">
        <f t="shared" si="0"/>
        <v>AUI</v>
      </c>
      <c r="E13" s="108">
        <f>IF($D13="","",IF(COUNTIF($D$2:$D13,$D13)&gt;10,"",IF($D13="AIL",CHOOSE(COUNTIF($D$2:$D13,$D13),AIL!B$105,AIL!C$105,AIL!D$105,AIL!E$105,AIL!F$105,AIL!G$105,AIL!H$105,AIL!I$105,AIL!J$105,AIL!K$105),IF($D13="LAD",CHOOSE(COUNTIF($D$2:$D13,$D13),LAD!B$105,LAD!C$105,LAD!D$105,LAD!E$105,LAD!F$105,LAD!G$105,LAD!H$105,LAD!I$105,LAD!J$105,LAD!K$105),IF($D13="ToT",CHOOSE(COUNTIF($D$2:$D13,$D13),ToT!B$105,ToT!C$105,ToT!D$105,ToT!E$105,ToT!F$105,ToT!G$105,ToT!H$105,ToT!I$105,ToT!J$105,ToT!K$105),IF($D13="IMR (Soal Baru)",CHOOSE(COUNTIF($D$2:$D13,$D13),'IMR (Soal Baru)'!B$105,'IMR (Soal Baru)'!C$105,'IMR (Soal Baru)'!D$105,'IMR (Soal Baru)'!E$105,'IMR (Soal Baru)'!F$105,'IMR (Soal Baru)'!G$105,'IMR (Soal Baru)'!H$105,'IMR (Soal Baru)'!I$105,'IMR (Soal Baru)'!J$105,'IMR (Soal Baru)'!K$105),IF($D13="TKO",CHOOSE(COUNTIF($D$2:$D13,$D13),TKO!B$105,TKO!C$105,TKO!D$105,TKO!E$105,TKO!F$105,TKO!G$105,TKO!H$105,TKO!I$105,TKO!J$105,TKO!K$105),IF($D13="AUI",CHOOSE(COUNTIF($D$2:$D13,$D13),AUI!B$105,AUI!C$105,AUI!D$105,AUI!E$105,AUI!F$105,AUI!G$105,AUI!H$105,AUI!I$105,AUI!J$105,AUI!K$105),IF($D13="LIM",CHOOSE(COUNTIF($D$2:$D13,$D13),LIM!B$105,LIM!C$105,LIM!D$105,LIM!E$105,LIM!F$105,LIM!G$105,LIM!H$105,LIM!I$105,LIM!J$105,LIM!K$105),"")))))))))</f>
        <v>60</v>
      </c>
      <c r="G13" t="s">
        <v>742</v>
      </c>
      <c r="H13" t="s">
        <v>753</v>
      </c>
    </row>
    <row r="14" spans="1:8" ht="15" thickBot="1" x14ac:dyDescent="0.4">
      <c r="A14" s="106" t="s">
        <v>826</v>
      </c>
      <c r="B14" s="105" t="s">
        <v>757</v>
      </c>
      <c r="C14" s="105" t="s">
        <v>733</v>
      </c>
      <c r="D14" s="108" t="str">
        <f t="shared" si="0"/>
        <v>AUI</v>
      </c>
      <c r="E14" s="108">
        <f>IF($D14="","",IF(COUNTIF($D$2:$D14,$D14)&gt;10,"",IF($D14="AIL",CHOOSE(COUNTIF($D$2:$D14,$D14),AIL!B$105,AIL!C$105,AIL!D$105,AIL!E$105,AIL!F$105,AIL!G$105,AIL!H$105,AIL!I$105,AIL!J$105,AIL!K$105),IF($D14="LAD",CHOOSE(COUNTIF($D$2:$D14,$D14),LAD!B$105,LAD!C$105,LAD!D$105,LAD!E$105,LAD!F$105,LAD!G$105,LAD!H$105,LAD!I$105,LAD!J$105,LAD!K$105),IF($D14="ToT",CHOOSE(COUNTIF($D$2:$D14,$D14),ToT!B$105,ToT!C$105,ToT!D$105,ToT!E$105,ToT!F$105,ToT!G$105,ToT!H$105,ToT!I$105,ToT!J$105,ToT!K$105),IF($D14="IMR (Soal Baru)",CHOOSE(COUNTIF($D$2:$D14,$D14),'IMR (Soal Baru)'!B$105,'IMR (Soal Baru)'!C$105,'IMR (Soal Baru)'!D$105,'IMR (Soal Baru)'!E$105,'IMR (Soal Baru)'!F$105,'IMR (Soal Baru)'!G$105,'IMR (Soal Baru)'!H$105,'IMR (Soal Baru)'!I$105,'IMR (Soal Baru)'!J$105,'IMR (Soal Baru)'!K$105),IF($D14="TKO",CHOOSE(COUNTIF($D$2:$D14,$D14),TKO!B$105,TKO!C$105,TKO!D$105,TKO!E$105,TKO!F$105,TKO!G$105,TKO!H$105,TKO!I$105,TKO!J$105,TKO!K$105),IF($D14="AUI",CHOOSE(COUNTIF($D$2:$D14,$D14),AUI!B$105,AUI!C$105,AUI!D$105,AUI!E$105,AUI!F$105,AUI!G$105,AUI!H$105,AUI!I$105,AUI!J$105,AUI!K$105),IF($D14="LIM",CHOOSE(COUNTIF($D$2:$D14,$D14),LIM!B$105,LIM!C$105,LIM!D$105,LIM!E$105,LIM!F$105,LIM!G$105,LIM!H$105,LIM!I$105,LIM!J$105,LIM!K$105),"")))))))))</f>
        <v>59</v>
      </c>
    </row>
    <row r="15" spans="1:8" ht="15" thickBot="1" x14ac:dyDescent="0.4">
      <c r="A15" s="106" t="s">
        <v>818</v>
      </c>
      <c r="B15" s="105" t="s">
        <v>757</v>
      </c>
      <c r="C15" s="105" t="s">
        <v>733</v>
      </c>
      <c r="D15" s="108" t="str">
        <f t="shared" si="0"/>
        <v>AUI</v>
      </c>
      <c r="E15" s="108">
        <f>IF($D15="","",IF(COUNTIF($D$2:$D15,$D15)&gt;10,"",IF($D15="AIL",CHOOSE(COUNTIF($D$2:$D15,$D15),AIL!B$105,AIL!C$105,AIL!D$105,AIL!E$105,AIL!F$105,AIL!G$105,AIL!H$105,AIL!I$105,AIL!J$105,AIL!K$105),IF($D15="LAD",CHOOSE(COUNTIF($D$2:$D15,$D15),LAD!B$105,LAD!C$105,LAD!D$105,LAD!E$105,LAD!F$105,LAD!G$105,LAD!H$105,LAD!I$105,LAD!J$105,LAD!K$105),IF($D15="ToT",CHOOSE(COUNTIF($D$2:$D15,$D15),ToT!B$105,ToT!C$105,ToT!D$105,ToT!E$105,ToT!F$105,ToT!G$105,ToT!H$105,ToT!I$105,ToT!J$105,ToT!K$105),IF($D15="IMR (Soal Baru)",CHOOSE(COUNTIF($D$2:$D15,$D15),'IMR (Soal Baru)'!B$105,'IMR (Soal Baru)'!C$105,'IMR (Soal Baru)'!D$105,'IMR (Soal Baru)'!E$105,'IMR (Soal Baru)'!F$105,'IMR (Soal Baru)'!G$105,'IMR (Soal Baru)'!H$105,'IMR (Soal Baru)'!I$105,'IMR (Soal Baru)'!J$105,'IMR (Soal Baru)'!K$105),IF($D15="TKO",CHOOSE(COUNTIF($D$2:$D15,$D15),TKO!B$105,TKO!C$105,TKO!D$105,TKO!E$105,TKO!F$105,TKO!G$105,TKO!H$105,TKO!I$105,TKO!J$105,TKO!K$105),IF($D15="AUI",CHOOSE(COUNTIF($D$2:$D15,$D15),AUI!B$105,AUI!C$105,AUI!D$105,AUI!E$105,AUI!F$105,AUI!G$105,AUI!H$105,AUI!I$105,AUI!J$105,AUI!K$105),IF($D15="LIM",CHOOSE(COUNTIF($D$2:$D15,$D15),LIM!B$105,LIM!C$105,LIM!D$105,LIM!E$105,LIM!F$105,LIM!G$105,LIM!H$105,LIM!I$105,LIM!J$105,LIM!K$105),"")))))))))</f>
        <v>55</v>
      </c>
    </row>
    <row r="16" spans="1:8" ht="15" thickBot="1" x14ac:dyDescent="0.4">
      <c r="A16" s="106" t="s">
        <v>819</v>
      </c>
      <c r="B16" s="105" t="s">
        <v>758</v>
      </c>
      <c r="C16" s="105" t="s">
        <v>733</v>
      </c>
      <c r="D16" s="108" t="str">
        <f t="shared" si="0"/>
        <v>AUI</v>
      </c>
      <c r="E16" s="108">
        <f>IF($D16="","",IF(COUNTIF($D$2:$D16,$D16)&gt;10,"",IF($D16="AIL",CHOOSE(COUNTIF($D$2:$D16,$D16),AIL!B$105,AIL!C$105,AIL!D$105,AIL!E$105,AIL!F$105,AIL!G$105,AIL!H$105,AIL!I$105,AIL!J$105,AIL!K$105),IF($D16="LAD",CHOOSE(COUNTIF($D$2:$D16,$D16),LAD!B$105,LAD!C$105,LAD!D$105,LAD!E$105,LAD!F$105,LAD!G$105,LAD!H$105,LAD!I$105,LAD!J$105,LAD!K$105),IF($D16="ToT",CHOOSE(COUNTIF($D$2:$D16,$D16),ToT!B$105,ToT!C$105,ToT!D$105,ToT!E$105,ToT!F$105,ToT!G$105,ToT!H$105,ToT!I$105,ToT!J$105,ToT!K$105),IF($D16="IMR (Soal Baru)",CHOOSE(COUNTIF($D$2:$D16,$D16),'IMR (Soal Baru)'!B$105,'IMR (Soal Baru)'!C$105,'IMR (Soal Baru)'!D$105,'IMR (Soal Baru)'!E$105,'IMR (Soal Baru)'!F$105,'IMR (Soal Baru)'!G$105,'IMR (Soal Baru)'!H$105,'IMR (Soal Baru)'!I$105,'IMR (Soal Baru)'!J$105,'IMR (Soal Baru)'!K$105),IF($D16="TKO",CHOOSE(COUNTIF($D$2:$D16,$D16),TKO!B$105,TKO!C$105,TKO!D$105,TKO!E$105,TKO!F$105,TKO!G$105,TKO!H$105,TKO!I$105,TKO!J$105,TKO!K$105),IF($D16="AUI",CHOOSE(COUNTIF($D$2:$D16,$D16),AUI!B$105,AUI!C$105,AUI!D$105,AUI!E$105,AUI!F$105,AUI!G$105,AUI!H$105,AUI!I$105,AUI!J$105,AUI!K$105),IF($D16="LIM",CHOOSE(COUNTIF($D$2:$D16,$D16),LIM!B$105,LIM!C$105,LIM!D$105,LIM!E$105,LIM!F$105,LIM!G$105,LIM!H$105,LIM!I$105,LIM!J$105,LIM!K$105),"")))))))))</f>
        <v>58</v>
      </c>
    </row>
    <row r="17" spans="1:5" ht="28.5" thickBot="1" x14ac:dyDescent="0.4">
      <c r="A17" s="106" t="s">
        <v>820</v>
      </c>
      <c r="B17" s="105" t="s">
        <v>757</v>
      </c>
      <c r="C17" s="105" t="s">
        <v>733</v>
      </c>
      <c r="D17" s="108" t="str">
        <f t="shared" si="0"/>
        <v>AUI</v>
      </c>
      <c r="E17" s="108">
        <f>IF($D17="","",IF(COUNTIF($D$2:$D17,$D17)&gt;10,"",IF($D17="AIL",CHOOSE(COUNTIF($D$2:$D17,$D17),AIL!B$105,AIL!C$105,AIL!D$105,AIL!E$105,AIL!F$105,AIL!G$105,AIL!H$105,AIL!I$105,AIL!J$105,AIL!K$105),IF($D17="LAD",CHOOSE(COUNTIF($D$2:$D17,$D17),LAD!B$105,LAD!C$105,LAD!D$105,LAD!E$105,LAD!F$105,LAD!G$105,LAD!H$105,LAD!I$105,LAD!J$105,LAD!K$105),IF($D17="ToT",CHOOSE(COUNTIF($D$2:$D17,$D17),ToT!B$105,ToT!C$105,ToT!D$105,ToT!E$105,ToT!F$105,ToT!G$105,ToT!H$105,ToT!I$105,ToT!J$105,ToT!K$105),IF($D17="IMR (Soal Baru)",CHOOSE(COUNTIF($D$2:$D17,$D17),'IMR (Soal Baru)'!B$105,'IMR (Soal Baru)'!C$105,'IMR (Soal Baru)'!D$105,'IMR (Soal Baru)'!E$105,'IMR (Soal Baru)'!F$105,'IMR (Soal Baru)'!G$105,'IMR (Soal Baru)'!H$105,'IMR (Soal Baru)'!I$105,'IMR (Soal Baru)'!J$105,'IMR (Soal Baru)'!K$105),IF($D17="TKO",CHOOSE(COUNTIF($D$2:$D17,$D17),TKO!B$105,TKO!C$105,TKO!D$105,TKO!E$105,TKO!F$105,TKO!G$105,TKO!H$105,TKO!I$105,TKO!J$105,TKO!K$105),IF($D17="AUI",CHOOSE(COUNTIF($D$2:$D17,$D17),AUI!B$105,AUI!C$105,AUI!D$105,AUI!E$105,AUI!F$105,AUI!G$105,AUI!H$105,AUI!I$105,AUI!J$105,AUI!K$105),IF($D17="LIM",CHOOSE(COUNTIF($D$2:$D17,$D17),LIM!B$105,LIM!C$105,LIM!D$105,LIM!E$105,LIM!F$105,LIM!G$105,LIM!H$105,LIM!I$105,LIM!J$105,LIM!K$105),"")))))))))</f>
        <v>54</v>
      </c>
    </row>
    <row r="18" spans="1:5" ht="15" thickBot="1" x14ac:dyDescent="0.4">
      <c r="A18" s="106" t="s">
        <v>821</v>
      </c>
      <c r="B18" s="105" t="s">
        <v>757</v>
      </c>
      <c r="C18" s="105" t="s">
        <v>733</v>
      </c>
      <c r="D18" s="108" t="str">
        <f t="shared" si="0"/>
        <v>AUI</v>
      </c>
      <c r="E18" s="108">
        <f>IF($D18="","",IF(COUNTIF($D$2:$D18,$D18)&gt;10,"",IF($D18="AIL",CHOOSE(COUNTIF($D$2:$D18,$D18),AIL!B$105,AIL!C$105,AIL!D$105,AIL!E$105,AIL!F$105,AIL!G$105,AIL!H$105,AIL!I$105,AIL!J$105,AIL!K$105),IF($D18="LAD",CHOOSE(COUNTIF($D$2:$D18,$D18),LAD!B$105,LAD!C$105,LAD!D$105,LAD!E$105,LAD!F$105,LAD!G$105,LAD!H$105,LAD!I$105,LAD!J$105,LAD!K$105),IF($D18="ToT",CHOOSE(COUNTIF($D$2:$D18,$D18),ToT!B$105,ToT!C$105,ToT!D$105,ToT!E$105,ToT!F$105,ToT!G$105,ToT!H$105,ToT!I$105,ToT!J$105,ToT!K$105),IF($D18="IMR (Soal Baru)",CHOOSE(COUNTIF($D$2:$D18,$D18),'IMR (Soal Baru)'!B$105,'IMR (Soal Baru)'!C$105,'IMR (Soal Baru)'!D$105,'IMR (Soal Baru)'!E$105,'IMR (Soal Baru)'!F$105,'IMR (Soal Baru)'!G$105,'IMR (Soal Baru)'!H$105,'IMR (Soal Baru)'!I$105,'IMR (Soal Baru)'!J$105,'IMR (Soal Baru)'!K$105),IF($D18="TKO",CHOOSE(COUNTIF($D$2:$D18,$D18),TKO!B$105,TKO!C$105,TKO!D$105,TKO!E$105,TKO!F$105,TKO!G$105,TKO!H$105,TKO!I$105,TKO!J$105,TKO!K$105),IF($D18="AUI",CHOOSE(COUNTIF($D$2:$D18,$D18),AUI!B$105,AUI!C$105,AUI!D$105,AUI!E$105,AUI!F$105,AUI!G$105,AUI!H$105,AUI!I$105,AUI!J$105,AUI!K$105),IF($D18="LIM",CHOOSE(COUNTIF($D$2:$D18,$D18),LIM!B$105,LIM!C$105,LIM!D$105,LIM!E$105,LIM!F$105,LIM!G$105,LIM!H$105,LIM!I$105,LIM!J$105,LIM!K$105),"")))))))))</f>
        <v>50</v>
      </c>
    </row>
    <row r="19" spans="1:5" ht="15" thickBot="1" x14ac:dyDescent="0.4">
      <c r="A19" s="106" t="s">
        <v>822</v>
      </c>
      <c r="B19" s="105" t="s">
        <v>758</v>
      </c>
      <c r="C19" s="105" t="s">
        <v>733</v>
      </c>
      <c r="D19" s="108" t="str">
        <f t="shared" si="0"/>
        <v>AUI</v>
      </c>
      <c r="E19" s="108">
        <f>IF($D19="","",IF(COUNTIF($D$2:$D19,$D19)&gt;10,"",IF($D19="AIL",CHOOSE(COUNTIF($D$2:$D19,$D19),AIL!B$105,AIL!C$105,AIL!D$105,AIL!E$105,AIL!F$105,AIL!G$105,AIL!H$105,AIL!I$105,AIL!J$105,AIL!K$105),IF($D19="LAD",CHOOSE(COUNTIF($D$2:$D19,$D19),LAD!B$105,LAD!C$105,LAD!D$105,LAD!E$105,LAD!F$105,LAD!G$105,LAD!H$105,LAD!I$105,LAD!J$105,LAD!K$105),IF($D19="ToT",CHOOSE(COUNTIF($D$2:$D19,$D19),ToT!B$105,ToT!C$105,ToT!D$105,ToT!E$105,ToT!F$105,ToT!G$105,ToT!H$105,ToT!I$105,ToT!J$105,ToT!K$105),IF($D19="IMR (Soal Baru)",CHOOSE(COUNTIF($D$2:$D19,$D19),'IMR (Soal Baru)'!B$105,'IMR (Soal Baru)'!C$105,'IMR (Soal Baru)'!D$105,'IMR (Soal Baru)'!E$105,'IMR (Soal Baru)'!F$105,'IMR (Soal Baru)'!G$105,'IMR (Soal Baru)'!H$105,'IMR (Soal Baru)'!I$105,'IMR (Soal Baru)'!J$105,'IMR (Soal Baru)'!K$105),IF($D19="TKO",CHOOSE(COUNTIF($D$2:$D19,$D19),TKO!B$105,TKO!C$105,TKO!D$105,TKO!E$105,TKO!F$105,TKO!G$105,TKO!H$105,TKO!I$105,TKO!J$105,TKO!K$105),IF($D19="AUI",CHOOSE(COUNTIF($D$2:$D19,$D19),AUI!B$105,AUI!C$105,AUI!D$105,AUI!E$105,AUI!F$105,AUI!G$105,AUI!H$105,AUI!I$105,AUI!J$105,AUI!K$105),IF($D19="LIM",CHOOSE(COUNTIF($D$2:$D19,$D19),LIM!B$105,LIM!C$105,LIM!D$105,LIM!E$105,LIM!F$105,LIM!G$105,LIM!H$105,LIM!I$105,LIM!J$105,LIM!K$105),"")))))))))</f>
        <v>51</v>
      </c>
    </row>
    <row r="20" spans="1:5" ht="15" thickBot="1" x14ac:dyDescent="0.4">
      <c r="A20" s="106" t="s">
        <v>823</v>
      </c>
      <c r="B20" s="105" t="s">
        <v>757</v>
      </c>
      <c r="C20" s="105" t="s">
        <v>733</v>
      </c>
      <c r="D20" s="108" t="str">
        <f t="shared" si="0"/>
        <v>AUI</v>
      </c>
      <c r="E20" s="108">
        <f>IF($D20="","",IF(COUNTIF($D$2:$D20,$D20)&gt;10,"",IF($D20="AIL",CHOOSE(COUNTIF($D$2:$D20,$D20),AIL!B$105,AIL!C$105,AIL!D$105,AIL!E$105,AIL!F$105,AIL!G$105,AIL!H$105,AIL!I$105,AIL!J$105,AIL!K$105),IF($D20="LAD",CHOOSE(COUNTIF($D$2:$D20,$D20),LAD!B$105,LAD!C$105,LAD!D$105,LAD!E$105,LAD!F$105,LAD!G$105,LAD!H$105,LAD!I$105,LAD!J$105,LAD!K$105),IF($D20="ToT",CHOOSE(COUNTIF($D$2:$D20,$D20),ToT!B$105,ToT!C$105,ToT!D$105,ToT!E$105,ToT!F$105,ToT!G$105,ToT!H$105,ToT!I$105,ToT!J$105,ToT!K$105),IF($D20="IMR (Soal Baru)",CHOOSE(COUNTIF($D$2:$D20,$D20),'IMR (Soal Baru)'!B$105,'IMR (Soal Baru)'!C$105,'IMR (Soal Baru)'!D$105,'IMR (Soal Baru)'!E$105,'IMR (Soal Baru)'!F$105,'IMR (Soal Baru)'!G$105,'IMR (Soal Baru)'!H$105,'IMR (Soal Baru)'!I$105,'IMR (Soal Baru)'!J$105,'IMR (Soal Baru)'!K$105),IF($D20="TKO",CHOOSE(COUNTIF($D$2:$D20,$D20),TKO!B$105,TKO!C$105,TKO!D$105,TKO!E$105,TKO!F$105,TKO!G$105,TKO!H$105,TKO!I$105,TKO!J$105,TKO!K$105),IF($D20="AUI",CHOOSE(COUNTIF($D$2:$D20,$D20),AUI!B$105,AUI!C$105,AUI!D$105,AUI!E$105,AUI!F$105,AUI!G$105,AUI!H$105,AUI!I$105,AUI!J$105,AUI!K$105),IF($D20="LIM",CHOOSE(COUNTIF($D$2:$D20,$D20),LIM!B$105,LIM!C$105,LIM!D$105,LIM!E$105,LIM!F$105,LIM!G$105,LIM!H$105,LIM!I$105,LIM!J$105,LIM!K$105),"")))))))))</f>
        <v>48</v>
      </c>
    </row>
    <row r="21" spans="1:5" ht="15" thickBot="1" x14ac:dyDescent="0.4">
      <c r="A21" s="106" t="s">
        <v>812</v>
      </c>
      <c r="B21" s="105" t="s">
        <v>757</v>
      </c>
      <c r="C21" s="105" t="s">
        <v>733</v>
      </c>
      <c r="D21" s="108" t="str">
        <f t="shared" si="0"/>
        <v>AUI</v>
      </c>
      <c r="E21" s="108">
        <f>IF($D21="","",IF(COUNTIF($D$2:$D21,$D21)&gt;10,"",IF($D21="AIL",CHOOSE(COUNTIF($D$2:$D21,$D21),AIL!B$105,AIL!C$105,AIL!D$105,AIL!E$105,AIL!F$105,AIL!G$105,AIL!H$105,AIL!I$105,AIL!J$105,AIL!K$105),IF($D21="LAD",CHOOSE(COUNTIF($D$2:$D21,$D21),LAD!B$105,LAD!C$105,LAD!D$105,LAD!E$105,LAD!F$105,LAD!G$105,LAD!H$105,LAD!I$105,LAD!J$105,LAD!K$105),IF($D21="ToT",CHOOSE(COUNTIF($D$2:$D21,$D21),ToT!B$105,ToT!C$105,ToT!D$105,ToT!E$105,ToT!F$105,ToT!G$105,ToT!H$105,ToT!I$105,ToT!J$105,ToT!K$105),IF($D21="IMR (Soal Baru)",CHOOSE(COUNTIF($D$2:$D21,$D21),'IMR (Soal Baru)'!B$105,'IMR (Soal Baru)'!C$105,'IMR (Soal Baru)'!D$105,'IMR (Soal Baru)'!E$105,'IMR (Soal Baru)'!F$105,'IMR (Soal Baru)'!G$105,'IMR (Soal Baru)'!H$105,'IMR (Soal Baru)'!I$105,'IMR (Soal Baru)'!J$105,'IMR (Soal Baru)'!K$105),IF($D21="TKO",CHOOSE(COUNTIF($D$2:$D21,$D21),TKO!B$105,TKO!C$105,TKO!D$105,TKO!E$105,TKO!F$105,TKO!G$105,TKO!H$105,TKO!I$105,TKO!J$105,TKO!K$105),IF($D21="AUI",CHOOSE(COUNTIF($D$2:$D21,$D21),AUI!B$105,AUI!C$105,AUI!D$105,AUI!E$105,AUI!F$105,AUI!G$105,AUI!H$105,AUI!I$105,AUI!J$105,AUI!K$105),IF($D21="LIM",CHOOSE(COUNTIF($D$2:$D21,$D21),LIM!B$105,LIM!C$105,LIM!D$105,LIM!E$105,LIM!F$105,LIM!G$105,LIM!H$105,LIM!I$105,LIM!J$105,LIM!K$105),"")))))))))</f>
        <v>41</v>
      </c>
    </row>
    <row r="22" spans="1:5" ht="15" thickBot="1" x14ac:dyDescent="0.4">
      <c r="A22" s="106" t="s">
        <v>840</v>
      </c>
      <c r="B22" s="105" t="s">
        <v>758</v>
      </c>
      <c r="C22" s="105" t="s">
        <v>731</v>
      </c>
      <c r="D22" s="108" t="str">
        <f t="shared" si="0"/>
        <v>IMR (Soal Baru)</v>
      </c>
      <c r="E22" s="108">
        <f>IF($D22="","",IF(COUNTIF($D$2:$D22,$D22)&gt;10,"",IF($D22="AIL",CHOOSE(COUNTIF($D$2:$D22,$D22),AIL!B$105,AIL!C$105,AIL!D$105,AIL!E$105,AIL!F$105,AIL!G$105,AIL!H$105,AIL!I$105,AIL!J$105,AIL!K$105),IF($D22="LAD",CHOOSE(COUNTIF($D$2:$D22,$D22),LAD!B$105,LAD!C$105,LAD!D$105,LAD!E$105,LAD!F$105,LAD!G$105,LAD!H$105,LAD!I$105,LAD!J$105,LAD!K$105),IF($D22="ToT",CHOOSE(COUNTIF($D$2:$D22,$D22),ToT!B$105,ToT!C$105,ToT!D$105,ToT!E$105,ToT!F$105,ToT!G$105,ToT!H$105,ToT!I$105,ToT!J$105,ToT!K$105),IF($D22="IMR (Soal Baru)",CHOOSE(COUNTIF($D$2:$D22,$D22),'IMR (Soal Baru)'!B$105,'IMR (Soal Baru)'!C$105,'IMR (Soal Baru)'!D$105,'IMR (Soal Baru)'!E$105,'IMR (Soal Baru)'!F$105,'IMR (Soal Baru)'!G$105,'IMR (Soal Baru)'!H$105,'IMR (Soal Baru)'!I$105,'IMR (Soal Baru)'!J$105,'IMR (Soal Baru)'!K$105),IF($D22="TKO",CHOOSE(COUNTIF($D$2:$D22,$D22),TKO!B$105,TKO!C$105,TKO!D$105,TKO!E$105,TKO!F$105,TKO!G$105,TKO!H$105,TKO!I$105,TKO!J$105,TKO!K$105),IF($D22="AUI",CHOOSE(COUNTIF($D$2:$D22,$D22),AUI!B$105,AUI!C$105,AUI!D$105,AUI!E$105,AUI!F$105,AUI!G$105,AUI!H$105,AUI!I$105,AUI!J$105,AUI!K$105),IF($D22="LIM",CHOOSE(COUNTIF($D$2:$D22,$D22),LIM!B$105,LIM!C$105,LIM!D$105,LIM!E$105,LIM!F$105,LIM!G$105,LIM!H$105,LIM!I$105,LIM!J$105,LIM!K$105),"")))))))))</f>
        <v>45</v>
      </c>
    </row>
    <row r="23" spans="1:5" ht="15" thickBot="1" x14ac:dyDescent="0.4">
      <c r="A23" s="106" t="s">
        <v>817</v>
      </c>
      <c r="B23" s="105" t="s">
        <v>758</v>
      </c>
      <c r="C23" s="105" t="s">
        <v>731</v>
      </c>
      <c r="D23" s="108" t="str">
        <f t="shared" si="0"/>
        <v>IMR (Soal Baru)</v>
      </c>
      <c r="E23" s="108">
        <f>IF($D23="","",IF(COUNTIF($D$2:$D23,$D23)&gt;10,"",IF($D23="AIL",CHOOSE(COUNTIF($D$2:$D23,$D23),AIL!B$105,AIL!C$105,AIL!D$105,AIL!E$105,AIL!F$105,AIL!G$105,AIL!H$105,AIL!I$105,AIL!J$105,AIL!K$105),IF($D23="LAD",CHOOSE(COUNTIF($D$2:$D23,$D23),LAD!B$105,LAD!C$105,LAD!D$105,LAD!E$105,LAD!F$105,LAD!G$105,LAD!H$105,LAD!I$105,LAD!J$105,LAD!K$105),IF($D23="ToT",CHOOSE(COUNTIF($D$2:$D23,$D23),ToT!B$105,ToT!C$105,ToT!D$105,ToT!E$105,ToT!F$105,ToT!G$105,ToT!H$105,ToT!I$105,ToT!J$105,ToT!K$105),IF($D23="IMR (Soal Baru)",CHOOSE(COUNTIF($D$2:$D23,$D23),'IMR (Soal Baru)'!B$105,'IMR (Soal Baru)'!C$105,'IMR (Soal Baru)'!D$105,'IMR (Soal Baru)'!E$105,'IMR (Soal Baru)'!F$105,'IMR (Soal Baru)'!G$105,'IMR (Soal Baru)'!H$105,'IMR (Soal Baru)'!I$105,'IMR (Soal Baru)'!J$105,'IMR (Soal Baru)'!K$105),IF($D23="TKO",CHOOSE(COUNTIF($D$2:$D23,$D23),TKO!B$105,TKO!C$105,TKO!D$105,TKO!E$105,TKO!F$105,TKO!G$105,TKO!H$105,TKO!I$105,TKO!J$105,TKO!K$105),IF($D23="AUI",CHOOSE(COUNTIF($D$2:$D23,$D23),AUI!B$105,AUI!C$105,AUI!D$105,AUI!E$105,AUI!F$105,AUI!G$105,AUI!H$105,AUI!I$105,AUI!J$105,AUI!K$105),IF($D23="LIM",CHOOSE(COUNTIF($D$2:$D23,$D23),LIM!B$105,LIM!C$105,LIM!D$105,LIM!E$105,LIM!F$105,LIM!G$105,LIM!H$105,LIM!I$105,LIM!J$105,LIM!K$105),"")))))))))</f>
        <v>47</v>
      </c>
    </row>
    <row r="24" spans="1:5" ht="15" thickBot="1" x14ac:dyDescent="0.4">
      <c r="A24" s="106" t="s">
        <v>837</v>
      </c>
      <c r="B24" s="105" t="s">
        <v>758</v>
      </c>
      <c r="C24" s="105" t="s">
        <v>731</v>
      </c>
      <c r="D24" s="108" t="str">
        <f t="shared" si="0"/>
        <v>IMR (Soal Baru)</v>
      </c>
      <c r="E24" s="108">
        <f>IF($D24="","",IF(COUNTIF($D$2:$D24,$D24)&gt;10,"",IF($D24="AIL",CHOOSE(COUNTIF($D$2:$D24,$D24),AIL!B$105,AIL!C$105,AIL!D$105,AIL!E$105,AIL!F$105,AIL!G$105,AIL!H$105,AIL!I$105,AIL!J$105,AIL!K$105),IF($D24="LAD",CHOOSE(COUNTIF($D$2:$D24,$D24),LAD!B$105,LAD!C$105,LAD!D$105,LAD!E$105,LAD!F$105,LAD!G$105,LAD!H$105,LAD!I$105,LAD!J$105,LAD!K$105),IF($D24="ToT",CHOOSE(COUNTIF($D$2:$D24,$D24),ToT!B$105,ToT!C$105,ToT!D$105,ToT!E$105,ToT!F$105,ToT!G$105,ToT!H$105,ToT!I$105,ToT!J$105,ToT!K$105),IF($D24="IMR (Soal Baru)",CHOOSE(COUNTIF($D$2:$D24,$D24),'IMR (Soal Baru)'!B$105,'IMR (Soal Baru)'!C$105,'IMR (Soal Baru)'!D$105,'IMR (Soal Baru)'!E$105,'IMR (Soal Baru)'!F$105,'IMR (Soal Baru)'!G$105,'IMR (Soal Baru)'!H$105,'IMR (Soal Baru)'!I$105,'IMR (Soal Baru)'!J$105,'IMR (Soal Baru)'!K$105),IF($D24="TKO",CHOOSE(COUNTIF($D$2:$D24,$D24),TKO!B$105,TKO!C$105,TKO!D$105,TKO!E$105,TKO!F$105,TKO!G$105,TKO!H$105,TKO!I$105,TKO!J$105,TKO!K$105),IF($D24="AUI",CHOOSE(COUNTIF($D$2:$D24,$D24),AUI!B$105,AUI!C$105,AUI!D$105,AUI!E$105,AUI!F$105,AUI!G$105,AUI!H$105,AUI!I$105,AUI!J$105,AUI!K$105),IF($D24="LIM",CHOOSE(COUNTIF($D$2:$D24,$D24),LIM!B$105,LIM!C$105,LIM!D$105,LIM!E$105,LIM!F$105,LIM!G$105,LIM!H$105,LIM!I$105,LIM!J$105,LIM!K$105),"")))))))))</f>
        <v>48</v>
      </c>
    </row>
    <row r="25" spans="1:5" ht="15" thickBot="1" x14ac:dyDescent="0.4">
      <c r="A25" s="106" t="s">
        <v>836</v>
      </c>
      <c r="B25" s="105" t="s">
        <v>758</v>
      </c>
      <c r="C25" s="105" t="s">
        <v>731</v>
      </c>
      <c r="D25" s="108" t="str">
        <f t="shared" si="0"/>
        <v>IMR (Soal Baru)</v>
      </c>
      <c r="E25" s="108">
        <f>IF($D25="","",IF(COUNTIF($D$2:$D25,$D25)&gt;10,"",IF($D25="AIL",CHOOSE(COUNTIF($D$2:$D25,$D25),AIL!B$105,AIL!C$105,AIL!D$105,AIL!E$105,AIL!F$105,AIL!G$105,AIL!H$105,AIL!I$105,AIL!J$105,AIL!K$105),IF($D25="LAD",CHOOSE(COUNTIF($D$2:$D25,$D25),LAD!B$105,LAD!C$105,LAD!D$105,LAD!E$105,LAD!F$105,LAD!G$105,LAD!H$105,LAD!I$105,LAD!J$105,LAD!K$105),IF($D25="ToT",CHOOSE(COUNTIF($D$2:$D25,$D25),ToT!B$105,ToT!C$105,ToT!D$105,ToT!E$105,ToT!F$105,ToT!G$105,ToT!H$105,ToT!I$105,ToT!J$105,ToT!K$105),IF($D25="IMR (Soal Baru)",CHOOSE(COUNTIF($D$2:$D25,$D25),'IMR (Soal Baru)'!B$105,'IMR (Soal Baru)'!C$105,'IMR (Soal Baru)'!D$105,'IMR (Soal Baru)'!E$105,'IMR (Soal Baru)'!F$105,'IMR (Soal Baru)'!G$105,'IMR (Soal Baru)'!H$105,'IMR (Soal Baru)'!I$105,'IMR (Soal Baru)'!J$105,'IMR (Soal Baru)'!K$105),IF($D25="TKO",CHOOSE(COUNTIF($D$2:$D25,$D25),TKO!B$105,TKO!C$105,TKO!D$105,TKO!E$105,TKO!F$105,TKO!G$105,TKO!H$105,TKO!I$105,TKO!J$105,TKO!K$105),IF($D25="AUI",CHOOSE(COUNTIF($D$2:$D25,$D25),AUI!B$105,AUI!C$105,AUI!D$105,AUI!E$105,AUI!F$105,AUI!G$105,AUI!H$105,AUI!I$105,AUI!J$105,AUI!K$105),IF($D25="LIM",CHOOSE(COUNTIF($D$2:$D25,$D25),LIM!B$105,LIM!C$105,LIM!D$105,LIM!E$105,LIM!F$105,LIM!G$105,LIM!H$105,LIM!I$105,LIM!J$105,LIM!K$105),"")))))))))</f>
        <v>50</v>
      </c>
    </row>
    <row r="26" spans="1:5" ht="15" thickBot="1" x14ac:dyDescent="0.4">
      <c r="A26" s="106" t="s">
        <v>829</v>
      </c>
      <c r="B26" s="105" t="s">
        <v>758</v>
      </c>
      <c r="C26" s="105" t="s">
        <v>731</v>
      </c>
      <c r="D26" s="108" t="str">
        <f t="shared" si="0"/>
        <v>IMR (Soal Baru)</v>
      </c>
      <c r="E26" s="108">
        <f>IF($D26="","",IF(COUNTIF($D$2:$D26,$D26)&gt;10,"",IF($D26="AIL",CHOOSE(COUNTIF($D$2:$D26,$D26),AIL!B$105,AIL!C$105,AIL!D$105,AIL!E$105,AIL!F$105,AIL!G$105,AIL!H$105,AIL!I$105,AIL!J$105,AIL!K$105),IF($D26="LAD",CHOOSE(COUNTIF($D$2:$D26,$D26),LAD!B$105,LAD!C$105,LAD!D$105,LAD!E$105,LAD!F$105,LAD!G$105,LAD!H$105,LAD!I$105,LAD!J$105,LAD!K$105),IF($D26="ToT",CHOOSE(COUNTIF($D$2:$D26,$D26),ToT!B$105,ToT!C$105,ToT!D$105,ToT!E$105,ToT!F$105,ToT!G$105,ToT!H$105,ToT!I$105,ToT!J$105,ToT!K$105),IF($D26="IMR (Soal Baru)",CHOOSE(COUNTIF($D$2:$D26,$D26),'IMR (Soal Baru)'!B$105,'IMR (Soal Baru)'!C$105,'IMR (Soal Baru)'!D$105,'IMR (Soal Baru)'!E$105,'IMR (Soal Baru)'!F$105,'IMR (Soal Baru)'!G$105,'IMR (Soal Baru)'!H$105,'IMR (Soal Baru)'!I$105,'IMR (Soal Baru)'!J$105,'IMR (Soal Baru)'!K$105),IF($D26="TKO",CHOOSE(COUNTIF($D$2:$D26,$D26),TKO!B$105,TKO!C$105,TKO!D$105,TKO!E$105,TKO!F$105,TKO!G$105,TKO!H$105,TKO!I$105,TKO!J$105,TKO!K$105),IF($D26="AUI",CHOOSE(COUNTIF($D$2:$D26,$D26),AUI!B$105,AUI!C$105,AUI!D$105,AUI!E$105,AUI!F$105,AUI!G$105,AUI!H$105,AUI!I$105,AUI!J$105,AUI!K$105),IF($D26="LIM",CHOOSE(COUNTIF($D$2:$D26,$D26),LIM!B$105,LIM!C$105,LIM!D$105,LIM!E$105,LIM!F$105,LIM!G$105,LIM!H$105,LIM!I$105,LIM!J$105,LIM!K$105),"")))))))))</f>
        <v>38</v>
      </c>
    </row>
    <row r="27" spans="1:5" ht="15" thickBot="1" x14ac:dyDescent="0.4">
      <c r="A27" s="106" t="s">
        <v>830</v>
      </c>
      <c r="B27" s="105" t="s">
        <v>758</v>
      </c>
      <c r="C27" s="105" t="s">
        <v>731</v>
      </c>
      <c r="D27" s="108" t="str">
        <f t="shared" si="0"/>
        <v>IMR (Soal Baru)</v>
      </c>
      <c r="E27" s="108">
        <f>IF($D27="","",IF(COUNTIF($D$2:$D27,$D27)&gt;10,"",IF($D27="AIL",CHOOSE(COUNTIF($D$2:$D27,$D27),AIL!B$105,AIL!C$105,AIL!D$105,AIL!E$105,AIL!F$105,AIL!G$105,AIL!H$105,AIL!I$105,AIL!J$105,AIL!K$105),IF($D27="LAD",CHOOSE(COUNTIF($D$2:$D27,$D27),LAD!B$105,LAD!C$105,LAD!D$105,LAD!E$105,LAD!F$105,LAD!G$105,LAD!H$105,LAD!I$105,LAD!J$105,LAD!K$105),IF($D27="ToT",CHOOSE(COUNTIF($D$2:$D27,$D27),ToT!B$105,ToT!C$105,ToT!D$105,ToT!E$105,ToT!F$105,ToT!G$105,ToT!H$105,ToT!I$105,ToT!J$105,ToT!K$105),IF($D27="IMR (Soal Baru)",CHOOSE(COUNTIF($D$2:$D27,$D27),'IMR (Soal Baru)'!B$105,'IMR (Soal Baru)'!C$105,'IMR (Soal Baru)'!D$105,'IMR (Soal Baru)'!E$105,'IMR (Soal Baru)'!F$105,'IMR (Soal Baru)'!G$105,'IMR (Soal Baru)'!H$105,'IMR (Soal Baru)'!I$105,'IMR (Soal Baru)'!J$105,'IMR (Soal Baru)'!K$105),IF($D27="TKO",CHOOSE(COUNTIF($D$2:$D27,$D27),TKO!B$105,TKO!C$105,TKO!D$105,TKO!E$105,TKO!F$105,TKO!G$105,TKO!H$105,TKO!I$105,TKO!J$105,TKO!K$105),IF($D27="AUI",CHOOSE(COUNTIF($D$2:$D27,$D27),AUI!B$105,AUI!C$105,AUI!D$105,AUI!E$105,AUI!F$105,AUI!G$105,AUI!H$105,AUI!I$105,AUI!J$105,AUI!K$105),IF($D27="LIM",CHOOSE(COUNTIF($D$2:$D27,$D27),LIM!B$105,LIM!C$105,LIM!D$105,LIM!E$105,LIM!F$105,LIM!G$105,LIM!H$105,LIM!I$105,LIM!J$105,LIM!K$105),"")))))))))</f>
        <v>58</v>
      </c>
    </row>
    <row r="28" spans="1:5" ht="15" thickBot="1" x14ac:dyDescent="0.4">
      <c r="A28" s="106" t="s">
        <v>831</v>
      </c>
      <c r="B28" s="105" t="s">
        <v>758</v>
      </c>
      <c r="C28" s="105" t="s">
        <v>731</v>
      </c>
      <c r="D28" s="108" t="str">
        <f t="shared" si="0"/>
        <v>IMR (Soal Baru)</v>
      </c>
      <c r="E28" s="108">
        <f>IF($D28="","",IF(COUNTIF($D$2:$D28,$D28)&gt;10,"",IF($D28="AIL",CHOOSE(COUNTIF($D$2:$D28,$D28),AIL!B$105,AIL!C$105,AIL!D$105,AIL!E$105,AIL!F$105,AIL!G$105,AIL!H$105,AIL!I$105,AIL!J$105,AIL!K$105),IF($D28="LAD",CHOOSE(COUNTIF($D$2:$D28,$D28),LAD!B$105,LAD!C$105,LAD!D$105,LAD!E$105,LAD!F$105,LAD!G$105,LAD!H$105,LAD!I$105,LAD!J$105,LAD!K$105),IF($D28="ToT",CHOOSE(COUNTIF($D$2:$D28,$D28),ToT!B$105,ToT!C$105,ToT!D$105,ToT!E$105,ToT!F$105,ToT!G$105,ToT!H$105,ToT!I$105,ToT!J$105,ToT!K$105),IF($D28="IMR (Soal Baru)",CHOOSE(COUNTIF($D$2:$D28,$D28),'IMR (Soal Baru)'!B$105,'IMR (Soal Baru)'!C$105,'IMR (Soal Baru)'!D$105,'IMR (Soal Baru)'!E$105,'IMR (Soal Baru)'!F$105,'IMR (Soal Baru)'!G$105,'IMR (Soal Baru)'!H$105,'IMR (Soal Baru)'!I$105,'IMR (Soal Baru)'!J$105,'IMR (Soal Baru)'!K$105),IF($D28="TKO",CHOOSE(COUNTIF($D$2:$D28,$D28),TKO!B$105,TKO!C$105,TKO!D$105,TKO!E$105,TKO!F$105,TKO!G$105,TKO!H$105,TKO!I$105,TKO!J$105,TKO!K$105),IF($D28="AUI",CHOOSE(COUNTIF($D$2:$D28,$D28),AUI!B$105,AUI!C$105,AUI!D$105,AUI!E$105,AUI!F$105,AUI!G$105,AUI!H$105,AUI!I$105,AUI!J$105,AUI!K$105),IF($D28="LIM",CHOOSE(COUNTIF($D$2:$D28,$D28),LIM!B$105,LIM!C$105,LIM!D$105,LIM!E$105,LIM!F$105,LIM!G$105,LIM!H$105,LIM!I$105,LIM!J$105,LIM!K$105),"")))))))))</f>
        <v>48</v>
      </c>
    </row>
    <row r="29" spans="1:5" ht="15" thickBot="1" x14ac:dyDescent="0.4">
      <c r="A29" s="106" t="s">
        <v>832</v>
      </c>
      <c r="B29" s="105" t="s">
        <v>758</v>
      </c>
      <c r="C29" s="105" t="s">
        <v>731</v>
      </c>
      <c r="D29" s="108" t="str">
        <f t="shared" si="0"/>
        <v>IMR (Soal Baru)</v>
      </c>
      <c r="E29" s="108">
        <f>IF($D29="","",IF(COUNTIF($D$2:$D29,$D29)&gt;10,"",IF($D29="AIL",CHOOSE(COUNTIF($D$2:$D29,$D29),AIL!B$105,AIL!C$105,AIL!D$105,AIL!E$105,AIL!F$105,AIL!G$105,AIL!H$105,AIL!I$105,AIL!J$105,AIL!K$105),IF($D29="LAD",CHOOSE(COUNTIF($D$2:$D29,$D29),LAD!B$105,LAD!C$105,LAD!D$105,LAD!E$105,LAD!F$105,LAD!G$105,LAD!H$105,LAD!I$105,LAD!J$105,LAD!K$105),IF($D29="ToT",CHOOSE(COUNTIF($D$2:$D29,$D29),ToT!B$105,ToT!C$105,ToT!D$105,ToT!E$105,ToT!F$105,ToT!G$105,ToT!H$105,ToT!I$105,ToT!J$105,ToT!K$105),IF($D29="IMR (Soal Baru)",CHOOSE(COUNTIF($D$2:$D29,$D29),'IMR (Soal Baru)'!B$105,'IMR (Soal Baru)'!C$105,'IMR (Soal Baru)'!D$105,'IMR (Soal Baru)'!E$105,'IMR (Soal Baru)'!F$105,'IMR (Soal Baru)'!G$105,'IMR (Soal Baru)'!H$105,'IMR (Soal Baru)'!I$105,'IMR (Soal Baru)'!J$105,'IMR (Soal Baru)'!K$105),IF($D29="TKO",CHOOSE(COUNTIF($D$2:$D29,$D29),TKO!B$105,TKO!C$105,TKO!D$105,TKO!E$105,TKO!F$105,TKO!G$105,TKO!H$105,TKO!I$105,TKO!J$105,TKO!K$105),IF($D29="AUI",CHOOSE(COUNTIF($D$2:$D29,$D29),AUI!B$105,AUI!C$105,AUI!D$105,AUI!E$105,AUI!F$105,AUI!G$105,AUI!H$105,AUI!I$105,AUI!J$105,AUI!K$105),IF($D29="LIM",CHOOSE(COUNTIF($D$2:$D29,$D29),LIM!B$105,LIM!C$105,LIM!D$105,LIM!E$105,LIM!F$105,LIM!G$105,LIM!H$105,LIM!I$105,LIM!J$105,LIM!K$105),"")))))))))</f>
        <v>48</v>
      </c>
    </row>
    <row r="30" spans="1:5" ht="15" thickBot="1" x14ac:dyDescent="0.4">
      <c r="A30" s="106" t="s">
        <v>833</v>
      </c>
      <c r="B30" s="105" t="s">
        <v>757</v>
      </c>
      <c r="C30" s="105" t="s">
        <v>731</v>
      </c>
      <c r="D30" s="108" t="str">
        <f t="shared" si="0"/>
        <v>IMR (Soal Baru)</v>
      </c>
      <c r="E30" s="108">
        <f>IF($D30="","",IF(COUNTIF($D$2:$D30,$D30)&gt;10,"",IF($D30="AIL",CHOOSE(COUNTIF($D$2:$D30,$D30),AIL!B$105,AIL!C$105,AIL!D$105,AIL!E$105,AIL!F$105,AIL!G$105,AIL!H$105,AIL!I$105,AIL!J$105,AIL!K$105),IF($D30="LAD",CHOOSE(COUNTIF($D$2:$D30,$D30),LAD!B$105,LAD!C$105,LAD!D$105,LAD!E$105,LAD!F$105,LAD!G$105,LAD!H$105,LAD!I$105,LAD!J$105,LAD!K$105),IF($D30="ToT",CHOOSE(COUNTIF($D$2:$D30,$D30),ToT!B$105,ToT!C$105,ToT!D$105,ToT!E$105,ToT!F$105,ToT!G$105,ToT!H$105,ToT!I$105,ToT!J$105,ToT!K$105),IF($D30="IMR (Soal Baru)",CHOOSE(COUNTIF($D$2:$D30,$D30),'IMR (Soal Baru)'!B$105,'IMR (Soal Baru)'!C$105,'IMR (Soal Baru)'!D$105,'IMR (Soal Baru)'!E$105,'IMR (Soal Baru)'!F$105,'IMR (Soal Baru)'!G$105,'IMR (Soal Baru)'!H$105,'IMR (Soal Baru)'!I$105,'IMR (Soal Baru)'!J$105,'IMR (Soal Baru)'!K$105),IF($D30="TKO",CHOOSE(COUNTIF($D$2:$D30,$D30),TKO!B$105,TKO!C$105,TKO!D$105,TKO!E$105,TKO!F$105,TKO!G$105,TKO!H$105,TKO!I$105,TKO!J$105,TKO!K$105),IF($D30="AUI",CHOOSE(COUNTIF($D$2:$D30,$D30),AUI!B$105,AUI!C$105,AUI!D$105,AUI!E$105,AUI!F$105,AUI!G$105,AUI!H$105,AUI!I$105,AUI!J$105,AUI!K$105),IF($D30="LIM",CHOOSE(COUNTIF($D$2:$D30,$D30),LIM!B$105,LIM!C$105,LIM!D$105,LIM!E$105,LIM!F$105,LIM!G$105,LIM!H$105,LIM!I$105,LIM!J$105,LIM!K$105),"")))))))))</f>
        <v>55</v>
      </c>
    </row>
    <row r="31" spans="1:5" ht="15" thickBot="1" x14ac:dyDescent="0.4">
      <c r="A31" s="106" t="s">
        <v>834</v>
      </c>
      <c r="B31" s="105" t="s">
        <v>758</v>
      </c>
      <c r="C31" s="105" t="s">
        <v>731</v>
      </c>
      <c r="D31" s="108" t="str">
        <f t="shared" si="0"/>
        <v>IMR (Soal Baru)</v>
      </c>
      <c r="E31" s="108">
        <f>IF($D31="","",IF(COUNTIF($D$2:$D31,$D31)&gt;10,"",IF($D31="AIL",CHOOSE(COUNTIF($D$2:$D31,$D31),AIL!B$105,AIL!C$105,AIL!D$105,AIL!E$105,AIL!F$105,AIL!G$105,AIL!H$105,AIL!I$105,AIL!J$105,AIL!K$105),IF($D31="LAD",CHOOSE(COUNTIF($D$2:$D31,$D31),LAD!B$105,LAD!C$105,LAD!D$105,LAD!E$105,LAD!F$105,LAD!G$105,LAD!H$105,LAD!I$105,LAD!J$105,LAD!K$105),IF($D31="ToT",CHOOSE(COUNTIF($D$2:$D31,$D31),ToT!B$105,ToT!C$105,ToT!D$105,ToT!E$105,ToT!F$105,ToT!G$105,ToT!H$105,ToT!I$105,ToT!J$105,ToT!K$105),IF($D31="IMR (Soal Baru)",CHOOSE(COUNTIF($D$2:$D31,$D31),'IMR (Soal Baru)'!B$105,'IMR (Soal Baru)'!C$105,'IMR (Soal Baru)'!D$105,'IMR (Soal Baru)'!E$105,'IMR (Soal Baru)'!F$105,'IMR (Soal Baru)'!G$105,'IMR (Soal Baru)'!H$105,'IMR (Soal Baru)'!I$105,'IMR (Soal Baru)'!J$105,'IMR (Soal Baru)'!K$105),IF($D31="TKO",CHOOSE(COUNTIF($D$2:$D31,$D31),TKO!B$105,TKO!C$105,TKO!D$105,TKO!E$105,TKO!F$105,TKO!G$105,TKO!H$105,TKO!I$105,TKO!J$105,TKO!K$105),IF($D31="AUI",CHOOSE(COUNTIF($D$2:$D31,$D31),AUI!B$105,AUI!C$105,AUI!D$105,AUI!E$105,AUI!F$105,AUI!G$105,AUI!H$105,AUI!I$105,AUI!J$105,AUI!K$105),IF($D31="LIM",CHOOSE(COUNTIF($D$2:$D31,$D31),LIM!B$105,LIM!C$105,LIM!D$105,LIM!E$105,LIM!F$105,LIM!G$105,LIM!H$105,LIM!I$105,LIM!J$105,LIM!K$105),"")))))))))</f>
        <v>55</v>
      </c>
    </row>
    <row r="32" spans="1:5" ht="15" thickBot="1" x14ac:dyDescent="0.4">
      <c r="A32" s="106" t="s">
        <v>855</v>
      </c>
      <c r="B32" s="105" t="s">
        <v>757</v>
      </c>
      <c r="C32" s="105" t="s">
        <v>734</v>
      </c>
      <c r="D32" s="108" t="str">
        <f t="shared" si="0"/>
        <v>LIM</v>
      </c>
      <c r="E32" s="108">
        <f>IF($D32="","",IF(COUNTIF($D$2:$D32,$D32)&gt;10,"",IF($D32="AIL",CHOOSE(COUNTIF($D$2:$D32,$D32),AIL!B$105,AIL!C$105,AIL!D$105,AIL!E$105,AIL!F$105,AIL!G$105,AIL!H$105,AIL!I$105,AIL!J$105,AIL!K$105),IF($D32="LAD",CHOOSE(COUNTIF($D$2:$D32,$D32),LAD!B$105,LAD!C$105,LAD!D$105,LAD!E$105,LAD!F$105,LAD!G$105,LAD!H$105,LAD!I$105,LAD!J$105,LAD!K$105),IF($D32="ToT",CHOOSE(COUNTIF($D$2:$D32,$D32),ToT!B$105,ToT!C$105,ToT!D$105,ToT!E$105,ToT!F$105,ToT!G$105,ToT!H$105,ToT!I$105,ToT!J$105,ToT!K$105),IF($D32="IMR (Soal Baru)",CHOOSE(COUNTIF($D$2:$D32,$D32),'IMR (Soal Baru)'!B$105,'IMR (Soal Baru)'!C$105,'IMR (Soal Baru)'!D$105,'IMR (Soal Baru)'!E$105,'IMR (Soal Baru)'!F$105,'IMR (Soal Baru)'!G$105,'IMR (Soal Baru)'!H$105,'IMR (Soal Baru)'!I$105,'IMR (Soal Baru)'!J$105,'IMR (Soal Baru)'!K$105),IF($D32="TKO",CHOOSE(COUNTIF($D$2:$D32,$D32),TKO!B$105,TKO!C$105,TKO!D$105,TKO!E$105,TKO!F$105,TKO!G$105,TKO!H$105,TKO!I$105,TKO!J$105,TKO!K$105),IF($D32="AUI",CHOOSE(COUNTIF($D$2:$D32,$D32),AUI!B$105,AUI!C$105,AUI!D$105,AUI!E$105,AUI!F$105,AUI!G$105,AUI!H$105,AUI!I$105,AUI!J$105,AUI!K$105),IF($D32="LIM",CHOOSE(COUNTIF($D$2:$D32,$D32),LIM!B$105,LIM!C$105,LIM!D$105,LIM!E$105,LIM!F$105,LIM!G$105,LIM!H$105,LIM!I$105,LIM!J$105,LIM!K$105),"")))))))))</f>
        <v>86</v>
      </c>
    </row>
    <row r="33" spans="1:5" ht="15" thickBot="1" x14ac:dyDescent="0.4">
      <c r="A33" s="106" t="s">
        <v>835</v>
      </c>
      <c r="B33" s="105" t="s">
        <v>758</v>
      </c>
      <c r="C33" s="105" t="s">
        <v>734</v>
      </c>
      <c r="D33" s="108" t="str">
        <f t="shared" ref="D33:D61" si="1">IFERROR(VLOOKUP(TRIM(CLEAN(C33)),$G$3:$H$13,2,0),"")</f>
        <v>LIM</v>
      </c>
      <c r="E33" s="108">
        <f>IF($D33="","",IF(COUNTIF($D$2:$D33,$D33)&gt;10,"",IF($D33="AIL",CHOOSE(COUNTIF($D$2:$D33,$D33),AIL!B$105,AIL!C$105,AIL!D$105,AIL!E$105,AIL!F$105,AIL!G$105,AIL!H$105,AIL!I$105,AIL!J$105,AIL!K$105),IF($D33="LAD",CHOOSE(COUNTIF($D$2:$D33,$D33),LAD!B$105,LAD!C$105,LAD!D$105,LAD!E$105,LAD!F$105,LAD!G$105,LAD!H$105,LAD!I$105,LAD!J$105,LAD!K$105),IF($D33="ToT",CHOOSE(COUNTIF($D$2:$D33,$D33),ToT!B$105,ToT!C$105,ToT!D$105,ToT!E$105,ToT!F$105,ToT!G$105,ToT!H$105,ToT!I$105,ToT!J$105,ToT!K$105),IF($D33="IMR (Soal Baru)",CHOOSE(COUNTIF($D$2:$D33,$D33),'IMR (Soal Baru)'!B$105,'IMR (Soal Baru)'!C$105,'IMR (Soal Baru)'!D$105,'IMR (Soal Baru)'!E$105,'IMR (Soal Baru)'!F$105,'IMR (Soal Baru)'!G$105,'IMR (Soal Baru)'!H$105,'IMR (Soal Baru)'!I$105,'IMR (Soal Baru)'!J$105,'IMR (Soal Baru)'!K$105),IF($D33="TKO",CHOOSE(COUNTIF($D$2:$D33,$D33),TKO!B$105,TKO!C$105,TKO!D$105,TKO!E$105,TKO!F$105,TKO!G$105,TKO!H$105,TKO!I$105,TKO!J$105,TKO!K$105),IF($D33="AUI",CHOOSE(COUNTIF($D$2:$D33,$D33),AUI!B$105,AUI!C$105,AUI!D$105,AUI!E$105,AUI!F$105,AUI!G$105,AUI!H$105,AUI!I$105,AUI!J$105,AUI!K$105),IF($D33="LIM",CHOOSE(COUNTIF($D$2:$D33,$D33),LIM!B$105,LIM!C$105,LIM!D$105,LIM!E$105,LIM!F$105,LIM!G$105,LIM!H$105,LIM!I$105,LIM!J$105,LIM!K$105),"")))))))))</f>
        <v>86</v>
      </c>
    </row>
    <row r="34" spans="1:5" ht="15" thickBot="1" x14ac:dyDescent="0.4">
      <c r="A34" s="106" t="s">
        <v>828</v>
      </c>
      <c r="B34" s="105" t="s">
        <v>757</v>
      </c>
      <c r="C34" s="105" t="s">
        <v>734</v>
      </c>
      <c r="D34" s="108" t="str">
        <f t="shared" si="1"/>
        <v>LIM</v>
      </c>
      <c r="E34" s="108">
        <f>IF($D34="","",IF(COUNTIF($D$2:$D34,$D34)&gt;10,"",IF($D34="AIL",CHOOSE(COUNTIF($D$2:$D34,$D34),AIL!B$105,AIL!C$105,AIL!D$105,AIL!E$105,AIL!F$105,AIL!G$105,AIL!H$105,AIL!I$105,AIL!J$105,AIL!K$105),IF($D34="LAD",CHOOSE(COUNTIF($D$2:$D34,$D34),LAD!B$105,LAD!C$105,LAD!D$105,LAD!E$105,LAD!F$105,LAD!G$105,LAD!H$105,LAD!I$105,LAD!J$105,LAD!K$105),IF($D34="ToT",CHOOSE(COUNTIF($D$2:$D34,$D34),ToT!B$105,ToT!C$105,ToT!D$105,ToT!E$105,ToT!F$105,ToT!G$105,ToT!H$105,ToT!I$105,ToT!J$105,ToT!K$105),IF($D34="IMR (Soal Baru)",CHOOSE(COUNTIF($D$2:$D34,$D34),'IMR (Soal Baru)'!B$105,'IMR (Soal Baru)'!C$105,'IMR (Soal Baru)'!D$105,'IMR (Soal Baru)'!E$105,'IMR (Soal Baru)'!F$105,'IMR (Soal Baru)'!G$105,'IMR (Soal Baru)'!H$105,'IMR (Soal Baru)'!I$105,'IMR (Soal Baru)'!J$105,'IMR (Soal Baru)'!K$105),IF($D34="TKO",CHOOSE(COUNTIF($D$2:$D34,$D34),TKO!B$105,TKO!C$105,TKO!D$105,TKO!E$105,TKO!F$105,TKO!G$105,TKO!H$105,TKO!I$105,TKO!J$105,TKO!K$105),IF($D34="AUI",CHOOSE(COUNTIF($D$2:$D34,$D34),AUI!B$105,AUI!C$105,AUI!D$105,AUI!E$105,AUI!F$105,AUI!G$105,AUI!H$105,AUI!I$105,AUI!J$105,AUI!K$105),IF($D34="LIM",CHOOSE(COUNTIF($D$2:$D34,$D34),LIM!B$105,LIM!C$105,LIM!D$105,LIM!E$105,LIM!F$105,LIM!G$105,LIM!H$105,LIM!I$105,LIM!J$105,LIM!K$105),"")))))))))</f>
        <v>80</v>
      </c>
    </row>
    <row r="35" spans="1:5" ht="15" thickBot="1" x14ac:dyDescent="0.4">
      <c r="A35" s="106" t="s">
        <v>827</v>
      </c>
      <c r="B35" s="105" t="s">
        <v>757</v>
      </c>
      <c r="C35" s="105" t="s">
        <v>734</v>
      </c>
      <c r="D35" s="108" t="str">
        <f t="shared" si="1"/>
        <v>LIM</v>
      </c>
      <c r="E35" s="108">
        <f>IF($D35="","",IF(COUNTIF($D$2:$D35,$D35)&gt;10,"",IF($D35="AIL",CHOOSE(COUNTIF($D$2:$D35,$D35),AIL!B$105,AIL!C$105,AIL!D$105,AIL!E$105,AIL!F$105,AIL!G$105,AIL!H$105,AIL!I$105,AIL!J$105,AIL!K$105),IF($D35="LAD",CHOOSE(COUNTIF($D$2:$D35,$D35),LAD!B$105,LAD!C$105,LAD!D$105,LAD!E$105,LAD!F$105,LAD!G$105,LAD!H$105,LAD!I$105,LAD!J$105,LAD!K$105),IF($D35="ToT",CHOOSE(COUNTIF($D$2:$D35,$D35),ToT!B$105,ToT!C$105,ToT!D$105,ToT!E$105,ToT!F$105,ToT!G$105,ToT!H$105,ToT!I$105,ToT!J$105,ToT!K$105),IF($D35="IMR (Soal Baru)",CHOOSE(COUNTIF($D$2:$D35,$D35),'IMR (Soal Baru)'!B$105,'IMR (Soal Baru)'!C$105,'IMR (Soal Baru)'!D$105,'IMR (Soal Baru)'!E$105,'IMR (Soal Baru)'!F$105,'IMR (Soal Baru)'!G$105,'IMR (Soal Baru)'!H$105,'IMR (Soal Baru)'!I$105,'IMR (Soal Baru)'!J$105,'IMR (Soal Baru)'!K$105),IF($D35="TKO",CHOOSE(COUNTIF($D$2:$D35,$D35),TKO!B$105,TKO!C$105,TKO!D$105,TKO!E$105,TKO!F$105,TKO!G$105,TKO!H$105,TKO!I$105,TKO!J$105,TKO!K$105),IF($D35="AUI",CHOOSE(COUNTIF($D$2:$D35,$D35),AUI!B$105,AUI!C$105,AUI!D$105,AUI!E$105,AUI!F$105,AUI!G$105,AUI!H$105,AUI!I$105,AUI!J$105,AUI!K$105),IF($D35="LIM",CHOOSE(COUNTIF($D$2:$D35,$D35),LIM!B$105,LIM!C$105,LIM!D$105,LIM!E$105,LIM!F$105,LIM!G$105,LIM!H$105,LIM!I$105,LIM!J$105,LIM!K$105),"")))))))))</f>
        <v>53</v>
      </c>
    </row>
    <row r="36" spans="1:5" ht="15" thickBot="1" x14ac:dyDescent="0.4">
      <c r="A36" s="106" t="s">
        <v>839</v>
      </c>
      <c r="B36" s="105" t="s">
        <v>758</v>
      </c>
      <c r="C36" s="105" t="s">
        <v>734</v>
      </c>
      <c r="D36" s="108" t="str">
        <f t="shared" si="1"/>
        <v>LIM</v>
      </c>
      <c r="E36" s="108">
        <f>IF($D36="","",IF(COUNTIF($D$2:$D36,$D36)&gt;10,"",IF($D36="AIL",CHOOSE(COUNTIF($D$2:$D36,$D36),AIL!B$105,AIL!C$105,AIL!D$105,AIL!E$105,AIL!F$105,AIL!G$105,AIL!H$105,AIL!I$105,AIL!J$105,AIL!K$105),IF($D36="LAD",CHOOSE(COUNTIF($D$2:$D36,$D36),LAD!B$105,LAD!C$105,LAD!D$105,LAD!E$105,LAD!F$105,LAD!G$105,LAD!H$105,LAD!I$105,LAD!J$105,LAD!K$105),IF($D36="ToT",CHOOSE(COUNTIF($D$2:$D36,$D36),ToT!B$105,ToT!C$105,ToT!D$105,ToT!E$105,ToT!F$105,ToT!G$105,ToT!H$105,ToT!I$105,ToT!J$105,ToT!K$105),IF($D36="IMR (Soal Baru)",CHOOSE(COUNTIF($D$2:$D36,$D36),'IMR (Soal Baru)'!B$105,'IMR (Soal Baru)'!C$105,'IMR (Soal Baru)'!D$105,'IMR (Soal Baru)'!E$105,'IMR (Soal Baru)'!F$105,'IMR (Soal Baru)'!G$105,'IMR (Soal Baru)'!H$105,'IMR (Soal Baru)'!I$105,'IMR (Soal Baru)'!J$105,'IMR (Soal Baru)'!K$105),IF($D36="TKO",CHOOSE(COUNTIF($D$2:$D36,$D36),TKO!B$105,TKO!C$105,TKO!D$105,TKO!E$105,TKO!F$105,TKO!G$105,TKO!H$105,TKO!I$105,TKO!J$105,TKO!K$105),IF($D36="AUI",CHOOSE(COUNTIF($D$2:$D36,$D36),AUI!B$105,AUI!C$105,AUI!D$105,AUI!E$105,AUI!F$105,AUI!G$105,AUI!H$105,AUI!I$105,AUI!J$105,AUI!K$105),IF($D36="LIM",CHOOSE(COUNTIF($D$2:$D36,$D36),LIM!B$105,LIM!C$105,LIM!D$105,LIM!E$105,LIM!F$105,LIM!G$105,LIM!H$105,LIM!I$105,LIM!J$105,LIM!K$105),"")))))))))</f>
        <v>80</v>
      </c>
    </row>
    <row r="37" spans="1:5" ht="15" thickBot="1" x14ac:dyDescent="0.4">
      <c r="A37" s="106" t="s">
        <v>838</v>
      </c>
      <c r="B37" s="105" t="s">
        <v>757</v>
      </c>
      <c r="C37" s="105" t="s">
        <v>734</v>
      </c>
      <c r="D37" s="108" t="str">
        <f t="shared" si="1"/>
        <v>LIM</v>
      </c>
      <c r="E37" s="108">
        <f>IF($D37="","",IF(COUNTIF($D$2:$D37,$D37)&gt;10,"",IF($D37="AIL",CHOOSE(COUNTIF($D$2:$D37,$D37),AIL!B$105,AIL!C$105,AIL!D$105,AIL!E$105,AIL!F$105,AIL!G$105,AIL!H$105,AIL!I$105,AIL!J$105,AIL!K$105),IF($D37="LAD",CHOOSE(COUNTIF($D$2:$D37,$D37),LAD!B$105,LAD!C$105,LAD!D$105,LAD!E$105,LAD!F$105,LAD!G$105,LAD!H$105,LAD!I$105,LAD!J$105,LAD!K$105),IF($D37="ToT",CHOOSE(COUNTIF($D$2:$D37,$D37),ToT!B$105,ToT!C$105,ToT!D$105,ToT!E$105,ToT!F$105,ToT!G$105,ToT!H$105,ToT!I$105,ToT!J$105,ToT!K$105),IF($D37="IMR (Soal Baru)",CHOOSE(COUNTIF($D$2:$D37,$D37),'IMR (Soal Baru)'!B$105,'IMR (Soal Baru)'!C$105,'IMR (Soal Baru)'!D$105,'IMR (Soal Baru)'!E$105,'IMR (Soal Baru)'!F$105,'IMR (Soal Baru)'!G$105,'IMR (Soal Baru)'!H$105,'IMR (Soal Baru)'!I$105,'IMR (Soal Baru)'!J$105,'IMR (Soal Baru)'!K$105),IF($D37="TKO",CHOOSE(COUNTIF($D$2:$D37,$D37),TKO!B$105,TKO!C$105,TKO!D$105,TKO!E$105,TKO!F$105,TKO!G$105,TKO!H$105,TKO!I$105,TKO!J$105,TKO!K$105),IF($D37="AUI",CHOOSE(COUNTIF($D$2:$D37,$D37),AUI!B$105,AUI!C$105,AUI!D$105,AUI!E$105,AUI!F$105,AUI!G$105,AUI!H$105,AUI!I$105,AUI!J$105,AUI!K$105),IF($D37="LIM",CHOOSE(COUNTIF($D$2:$D37,$D37),LIM!B$105,LIM!C$105,LIM!D$105,LIM!E$105,LIM!F$105,LIM!G$105,LIM!H$105,LIM!I$105,LIM!J$105,LIM!K$105),"")))))))))</f>
        <v>53</v>
      </c>
    </row>
    <row r="38" spans="1:5" ht="15" thickBot="1" x14ac:dyDescent="0.4">
      <c r="A38" s="106" t="s">
        <v>825</v>
      </c>
      <c r="B38" s="105" t="s">
        <v>757</v>
      </c>
      <c r="C38" s="105" t="s">
        <v>734</v>
      </c>
      <c r="D38" s="108" t="str">
        <f t="shared" si="1"/>
        <v>LIM</v>
      </c>
      <c r="E38" s="108">
        <f>IF($D38="","",IF(COUNTIF($D$2:$D38,$D38)&gt;10,"",IF($D38="AIL",CHOOSE(COUNTIF($D$2:$D38,$D38),AIL!B$105,AIL!C$105,AIL!D$105,AIL!E$105,AIL!F$105,AIL!G$105,AIL!H$105,AIL!I$105,AIL!J$105,AIL!K$105),IF($D38="LAD",CHOOSE(COUNTIF($D$2:$D38,$D38),LAD!B$105,LAD!C$105,LAD!D$105,LAD!E$105,LAD!F$105,LAD!G$105,LAD!H$105,LAD!I$105,LAD!J$105,LAD!K$105),IF($D38="ToT",CHOOSE(COUNTIF($D$2:$D38,$D38),ToT!B$105,ToT!C$105,ToT!D$105,ToT!E$105,ToT!F$105,ToT!G$105,ToT!H$105,ToT!I$105,ToT!J$105,ToT!K$105),IF($D38="IMR (Soal Baru)",CHOOSE(COUNTIF($D$2:$D38,$D38),'IMR (Soal Baru)'!B$105,'IMR (Soal Baru)'!C$105,'IMR (Soal Baru)'!D$105,'IMR (Soal Baru)'!E$105,'IMR (Soal Baru)'!F$105,'IMR (Soal Baru)'!G$105,'IMR (Soal Baru)'!H$105,'IMR (Soal Baru)'!I$105,'IMR (Soal Baru)'!J$105,'IMR (Soal Baru)'!K$105),IF($D38="TKO",CHOOSE(COUNTIF($D$2:$D38,$D38),TKO!B$105,TKO!C$105,TKO!D$105,TKO!E$105,TKO!F$105,TKO!G$105,TKO!H$105,TKO!I$105,TKO!J$105,TKO!K$105),IF($D38="AUI",CHOOSE(COUNTIF($D$2:$D38,$D38),AUI!B$105,AUI!C$105,AUI!D$105,AUI!E$105,AUI!F$105,AUI!G$105,AUI!H$105,AUI!I$105,AUI!J$105,AUI!K$105),IF($D38="LIM",CHOOSE(COUNTIF($D$2:$D38,$D38),LIM!B$105,LIM!C$105,LIM!D$105,LIM!E$105,LIM!F$105,LIM!G$105,LIM!H$105,LIM!I$105,LIM!J$105,LIM!K$105),"")))))))))</f>
        <v>18</v>
      </c>
    </row>
    <row r="39" spans="1:5" ht="15" thickBot="1" x14ac:dyDescent="0.4">
      <c r="A39" s="106" t="s">
        <v>842</v>
      </c>
      <c r="B39" s="105" t="s">
        <v>757</v>
      </c>
      <c r="C39" s="105" t="s">
        <v>734</v>
      </c>
      <c r="D39" s="108" t="str">
        <f t="shared" si="1"/>
        <v>LIM</v>
      </c>
      <c r="E39" s="108">
        <f>IF($D39="","",IF(COUNTIF($D$2:$D39,$D39)&gt;10,"",IF($D39="AIL",CHOOSE(COUNTIF($D$2:$D39,$D39),AIL!B$105,AIL!C$105,AIL!D$105,AIL!E$105,AIL!F$105,AIL!G$105,AIL!H$105,AIL!I$105,AIL!J$105,AIL!K$105),IF($D39="LAD",CHOOSE(COUNTIF($D$2:$D39,$D39),LAD!B$105,LAD!C$105,LAD!D$105,LAD!E$105,LAD!F$105,LAD!G$105,LAD!H$105,LAD!I$105,LAD!J$105,LAD!K$105),IF($D39="ToT",CHOOSE(COUNTIF($D$2:$D39,$D39),ToT!B$105,ToT!C$105,ToT!D$105,ToT!E$105,ToT!F$105,ToT!G$105,ToT!H$105,ToT!I$105,ToT!J$105,ToT!K$105),IF($D39="IMR (Soal Baru)",CHOOSE(COUNTIF($D$2:$D39,$D39),'IMR (Soal Baru)'!B$105,'IMR (Soal Baru)'!C$105,'IMR (Soal Baru)'!D$105,'IMR (Soal Baru)'!E$105,'IMR (Soal Baru)'!F$105,'IMR (Soal Baru)'!G$105,'IMR (Soal Baru)'!H$105,'IMR (Soal Baru)'!I$105,'IMR (Soal Baru)'!J$105,'IMR (Soal Baru)'!K$105),IF($D39="TKO",CHOOSE(COUNTIF($D$2:$D39,$D39),TKO!B$105,TKO!C$105,TKO!D$105,TKO!E$105,TKO!F$105,TKO!G$105,TKO!H$105,TKO!I$105,TKO!J$105,TKO!K$105),IF($D39="AUI",CHOOSE(COUNTIF($D$2:$D39,$D39),AUI!B$105,AUI!C$105,AUI!D$105,AUI!E$105,AUI!F$105,AUI!G$105,AUI!H$105,AUI!I$105,AUI!J$105,AUI!K$105),IF($D39="LIM",CHOOSE(COUNTIF($D$2:$D39,$D39),LIM!B$105,LIM!C$105,LIM!D$105,LIM!E$105,LIM!F$105,LIM!G$105,LIM!H$105,LIM!I$105,LIM!J$105,LIM!K$105),"")))))))))</f>
        <v>18</v>
      </c>
    </row>
    <row r="40" spans="1:5" ht="15" thickBot="1" x14ac:dyDescent="0.4">
      <c r="A40" s="106" t="s">
        <v>844</v>
      </c>
      <c r="B40" s="105" t="s">
        <v>758</v>
      </c>
      <c r="C40" s="105" t="s">
        <v>734</v>
      </c>
      <c r="D40" s="108" t="str">
        <f t="shared" si="1"/>
        <v>LIM</v>
      </c>
      <c r="E40" s="108">
        <f>IF($D40="","",IF(COUNTIF($D$2:$D40,$D40)&gt;10,"",IF($D40="AIL",CHOOSE(COUNTIF($D$2:$D40,$D40),AIL!B$105,AIL!C$105,AIL!D$105,AIL!E$105,AIL!F$105,AIL!G$105,AIL!H$105,AIL!I$105,AIL!J$105,AIL!K$105),IF($D40="LAD",CHOOSE(COUNTIF($D$2:$D40,$D40),LAD!B$105,LAD!C$105,LAD!D$105,LAD!E$105,LAD!F$105,LAD!G$105,LAD!H$105,LAD!I$105,LAD!J$105,LAD!K$105),IF($D40="ToT",CHOOSE(COUNTIF($D$2:$D40,$D40),ToT!B$105,ToT!C$105,ToT!D$105,ToT!E$105,ToT!F$105,ToT!G$105,ToT!H$105,ToT!I$105,ToT!J$105,ToT!K$105),IF($D40="IMR (Soal Baru)",CHOOSE(COUNTIF($D$2:$D40,$D40),'IMR (Soal Baru)'!B$105,'IMR (Soal Baru)'!C$105,'IMR (Soal Baru)'!D$105,'IMR (Soal Baru)'!E$105,'IMR (Soal Baru)'!F$105,'IMR (Soal Baru)'!G$105,'IMR (Soal Baru)'!H$105,'IMR (Soal Baru)'!I$105,'IMR (Soal Baru)'!J$105,'IMR (Soal Baru)'!K$105),IF($D40="TKO",CHOOSE(COUNTIF($D$2:$D40,$D40),TKO!B$105,TKO!C$105,TKO!D$105,TKO!E$105,TKO!F$105,TKO!G$105,TKO!H$105,TKO!I$105,TKO!J$105,TKO!K$105),IF($D40="AUI",CHOOSE(COUNTIF($D$2:$D40,$D40),AUI!B$105,AUI!C$105,AUI!D$105,AUI!E$105,AUI!F$105,AUI!G$105,AUI!H$105,AUI!I$105,AUI!J$105,AUI!K$105),IF($D40="LIM",CHOOSE(COUNTIF($D$2:$D40,$D40),LIM!B$105,LIM!C$105,LIM!D$105,LIM!E$105,LIM!F$105,LIM!G$105,LIM!H$105,LIM!I$105,LIM!J$105,LIM!K$105),"")))))))))</f>
        <v>19</v>
      </c>
    </row>
    <row r="41" spans="1:5" ht="15" thickBot="1" x14ac:dyDescent="0.4">
      <c r="A41" s="106" t="s">
        <v>843</v>
      </c>
      <c r="B41" s="105" t="s">
        <v>758</v>
      </c>
      <c r="C41" s="105" t="s">
        <v>734</v>
      </c>
      <c r="D41" s="108" t="str">
        <f t="shared" si="1"/>
        <v>LIM</v>
      </c>
      <c r="E41" s="108">
        <f>IF($D41="","",IF(COUNTIF($D$2:$D41,$D41)&gt;10,"",IF($D41="AIL",CHOOSE(COUNTIF($D$2:$D41,$D41),AIL!B$105,AIL!C$105,AIL!D$105,AIL!E$105,AIL!F$105,AIL!G$105,AIL!H$105,AIL!I$105,AIL!J$105,AIL!K$105),IF($D41="LAD",CHOOSE(COUNTIF($D$2:$D41,$D41),LAD!B$105,LAD!C$105,LAD!D$105,LAD!E$105,LAD!F$105,LAD!G$105,LAD!H$105,LAD!I$105,LAD!J$105,LAD!K$105),IF($D41="ToT",CHOOSE(COUNTIF($D$2:$D41,$D41),ToT!B$105,ToT!C$105,ToT!D$105,ToT!E$105,ToT!F$105,ToT!G$105,ToT!H$105,ToT!I$105,ToT!J$105,ToT!K$105),IF($D41="IMR (Soal Baru)",CHOOSE(COUNTIF($D$2:$D41,$D41),'IMR (Soal Baru)'!B$105,'IMR (Soal Baru)'!C$105,'IMR (Soal Baru)'!D$105,'IMR (Soal Baru)'!E$105,'IMR (Soal Baru)'!F$105,'IMR (Soal Baru)'!G$105,'IMR (Soal Baru)'!H$105,'IMR (Soal Baru)'!I$105,'IMR (Soal Baru)'!J$105,'IMR (Soal Baru)'!K$105),IF($D41="TKO",CHOOSE(COUNTIF($D$2:$D41,$D41),TKO!B$105,TKO!C$105,TKO!D$105,TKO!E$105,TKO!F$105,TKO!G$105,TKO!H$105,TKO!I$105,TKO!J$105,TKO!K$105),IF($D41="AUI",CHOOSE(COUNTIF($D$2:$D41,$D41),AUI!B$105,AUI!C$105,AUI!D$105,AUI!E$105,AUI!F$105,AUI!G$105,AUI!H$105,AUI!I$105,AUI!J$105,AUI!K$105),IF($D41="LIM",CHOOSE(COUNTIF($D$2:$D41,$D41),LIM!B$105,LIM!C$105,LIM!D$105,LIM!E$105,LIM!F$105,LIM!G$105,LIM!H$105,LIM!I$105,LIM!J$105,LIM!K$105),"")))))))))</f>
        <v>19</v>
      </c>
    </row>
    <row r="42" spans="1:5" ht="15" thickBot="1" x14ac:dyDescent="0.4">
      <c r="A42" s="106" t="s">
        <v>841</v>
      </c>
      <c r="B42" s="105" t="s">
        <v>757</v>
      </c>
      <c r="C42" s="105" t="s">
        <v>732</v>
      </c>
      <c r="D42" s="108" t="str">
        <f t="shared" si="1"/>
        <v>TKO</v>
      </c>
      <c r="E42" s="108">
        <f>IF($D42="","",IF(COUNTIF($D$2:$D42,$D42)&gt;10,"",IF($D42="AIL",CHOOSE(COUNTIF($D$2:$D42,$D42),AIL!B$105,AIL!C$105,AIL!D$105,AIL!E$105,AIL!F$105,AIL!G$105,AIL!H$105,AIL!I$105,AIL!J$105,AIL!K$105),IF($D42="LAD",CHOOSE(COUNTIF($D$2:$D42,$D42),LAD!B$105,LAD!C$105,LAD!D$105,LAD!E$105,LAD!F$105,LAD!G$105,LAD!H$105,LAD!I$105,LAD!J$105,LAD!K$105),IF($D42="ToT",CHOOSE(COUNTIF($D$2:$D42,$D42),ToT!B$105,ToT!C$105,ToT!D$105,ToT!E$105,ToT!F$105,ToT!G$105,ToT!H$105,ToT!I$105,ToT!J$105,ToT!K$105),IF($D42="IMR (Soal Baru)",CHOOSE(COUNTIF($D$2:$D42,$D42),'IMR (Soal Baru)'!B$105,'IMR (Soal Baru)'!C$105,'IMR (Soal Baru)'!D$105,'IMR (Soal Baru)'!E$105,'IMR (Soal Baru)'!F$105,'IMR (Soal Baru)'!G$105,'IMR (Soal Baru)'!H$105,'IMR (Soal Baru)'!I$105,'IMR (Soal Baru)'!J$105,'IMR (Soal Baru)'!K$105),IF($D42="TKO",CHOOSE(COUNTIF($D$2:$D42,$D42),TKO!B$105,TKO!C$105,TKO!D$105,TKO!E$105,TKO!F$105,TKO!G$105,TKO!H$105,TKO!I$105,TKO!J$105,TKO!K$105),IF($D42="AUI",CHOOSE(COUNTIF($D$2:$D42,$D42),AUI!B$105,AUI!C$105,AUI!D$105,AUI!E$105,AUI!F$105,AUI!G$105,AUI!H$105,AUI!I$105,AUI!J$105,AUI!K$105),IF($D42="LIM",CHOOSE(COUNTIF($D$2:$D42,$D42),LIM!B$105,LIM!C$105,LIM!D$105,LIM!E$105,LIM!F$105,LIM!G$105,LIM!H$105,LIM!I$105,LIM!J$105,LIM!K$105),"")))))))))</f>
        <v>58</v>
      </c>
    </row>
    <row r="43" spans="1:5" ht="15" thickBot="1" x14ac:dyDescent="0.4">
      <c r="A43" s="106" t="s">
        <v>856</v>
      </c>
      <c r="B43" s="105" t="s">
        <v>758</v>
      </c>
      <c r="C43" s="105" t="s">
        <v>732</v>
      </c>
      <c r="D43" s="108" t="str">
        <f t="shared" si="1"/>
        <v>TKO</v>
      </c>
      <c r="E43" s="108">
        <f>IF($D43="","",IF(COUNTIF($D$2:$D43,$D43)&gt;10,"",IF($D43="AIL",CHOOSE(COUNTIF($D$2:$D43,$D43),AIL!B$105,AIL!C$105,AIL!D$105,AIL!E$105,AIL!F$105,AIL!G$105,AIL!H$105,AIL!I$105,AIL!J$105,AIL!K$105),IF($D43="LAD",CHOOSE(COUNTIF($D$2:$D43,$D43),LAD!B$105,LAD!C$105,LAD!D$105,LAD!E$105,LAD!F$105,LAD!G$105,LAD!H$105,LAD!I$105,LAD!J$105,LAD!K$105),IF($D43="ToT",CHOOSE(COUNTIF($D$2:$D43,$D43),ToT!B$105,ToT!C$105,ToT!D$105,ToT!E$105,ToT!F$105,ToT!G$105,ToT!H$105,ToT!I$105,ToT!J$105,ToT!K$105),IF($D43="IMR (Soal Baru)",CHOOSE(COUNTIF($D$2:$D43,$D43),'IMR (Soal Baru)'!B$105,'IMR (Soal Baru)'!C$105,'IMR (Soal Baru)'!D$105,'IMR (Soal Baru)'!E$105,'IMR (Soal Baru)'!F$105,'IMR (Soal Baru)'!G$105,'IMR (Soal Baru)'!H$105,'IMR (Soal Baru)'!I$105,'IMR (Soal Baru)'!J$105,'IMR (Soal Baru)'!K$105),IF($D43="TKO",CHOOSE(COUNTIF($D$2:$D43,$D43),TKO!B$105,TKO!C$105,TKO!D$105,TKO!E$105,TKO!F$105,TKO!G$105,TKO!H$105,TKO!I$105,TKO!J$105,TKO!K$105),IF($D43="AUI",CHOOSE(COUNTIF($D$2:$D43,$D43),AUI!B$105,AUI!C$105,AUI!D$105,AUI!E$105,AUI!F$105,AUI!G$105,AUI!H$105,AUI!I$105,AUI!J$105,AUI!K$105),IF($D43="LIM",CHOOSE(COUNTIF($D$2:$D43,$D43),LIM!B$105,LIM!C$105,LIM!D$105,LIM!E$105,LIM!F$105,LIM!G$105,LIM!H$105,LIM!I$105,LIM!J$105,LIM!K$105),"")))))))))</f>
        <v>55</v>
      </c>
    </row>
    <row r="44" spans="1:5" ht="15" thickBot="1" x14ac:dyDescent="0.4">
      <c r="A44" s="106" t="s">
        <v>848</v>
      </c>
      <c r="B44" s="105" t="s">
        <v>758</v>
      </c>
      <c r="C44" s="105" t="s">
        <v>732</v>
      </c>
      <c r="D44" s="108" t="str">
        <f t="shared" si="1"/>
        <v>TKO</v>
      </c>
      <c r="E44" s="108">
        <f>IF($D44="","",IF(COUNTIF($D$2:$D44,$D44)&gt;10,"",IF($D44="AIL",CHOOSE(COUNTIF($D$2:$D44,$D44),AIL!B$105,AIL!C$105,AIL!D$105,AIL!E$105,AIL!F$105,AIL!G$105,AIL!H$105,AIL!I$105,AIL!J$105,AIL!K$105),IF($D44="LAD",CHOOSE(COUNTIF($D$2:$D44,$D44),LAD!B$105,LAD!C$105,LAD!D$105,LAD!E$105,LAD!F$105,LAD!G$105,LAD!H$105,LAD!I$105,LAD!J$105,LAD!K$105),IF($D44="ToT",CHOOSE(COUNTIF($D$2:$D44,$D44),ToT!B$105,ToT!C$105,ToT!D$105,ToT!E$105,ToT!F$105,ToT!G$105,ToT!H$105,ToT!I$105,ToT!J$105,ToT!K$105),IF($D44="IMR (Soal Baru)",CHOOSE(COUNTIF($D$2:$D44,$D44),'IMR (Soal Baru)'!B$105,'IMR (Soal Baru)'!C$105,'IMR (Soal Baru)'!D$105,'IMR (Soal Baru)'!E$105,'IMR (Soal Baru)'!F$105,'IMR (Soal Baru)'!G$105,'IMR (Soal Baru)'!H$105,'IMR (Soal Baru)'!I$105,'IMR (Soal Baru)'!J$105,'IMR (Soal Baru)'!K$105),IF($D44="TKO",CHOOSE(COUNTIF($D$2:$D44,$D44),TKO!B$105,TKO!C$105,TKO!D$105,TKO!E$105,TKO!F$105,TKO!G$105,TKO!H$105,TKO!I$105,TKO!J$105,TKO!K$105),IF($D44="AUI",CHOOSE(COUNTIF($D$2:$D44,$D44),AUI!B$105,AUI!C$105,AUI!D$105,AUI!E$105,AUI!F$105,AUI!G$105,AUI!H$105,AUI!I$105,AUI!J$105,AUI!K$105),IF($D44="LIM",CHOOSE(COUNTIF($D$2:$D44,$D44),LIM!B$105,LIM!C$105,LIM!D$105,LIM!E$105,LIM!F$105,LIM!G$105,LIM!H$105,LIM!I$105,LIM!J$105,LIM!K$105),"")))))))))</f>
        <v>44</v>
      </c>
    </row>
    <row r="45" spans="1:5" ht="15" thickBot="1" x14ac:dyDescent="0.4">
      <c r="A45" s="106" t="s">
        <v>846</v>
      </c>
      <c r="B45" s="105" t="s">
        <v>757</v>
      </c>
      <c r="C45" s="105" t="s">
        <v>732</v>
      </c>
      <c r="D45" s="108" t="str">
        <f t="shared" si="1"/>
        <v>TKO</v>
      </c>
      <c r="E45" s="108">
        <f>IF($D45="","",IF(COUNTIF($D$2:$D45,$D45)&gt;10,"",IF($D45="AIL",CHOOSE(COUNTIF($D$2:$D45,$D45),AIL!B$105,AIL!C$105,AIL!D$105,AIL!E$105,AIL!F$105,AIL!G$105,AIL!H$105,AIL!I$105,AIL!J$105,AIL!K$105),IF($D45="LAD",CHOOSE(COUNTIF($D$2:$D45,$D45),LAD!B$105,LAD!C$105,LAD!D$105,LAD!E$105,LAD!F$105,LAD!G$105,LAD!H$105,LAD!I$105,LAD!J$105,LAD!K$105),IF($D45="ToT",CHOOSE(COUNTIF($D$2:$D45,$D45),ToT!B$105,ToT!C$105,ToT!D$105,ToT!E$105,ToT!F$105,ToT!G$105,ToT!H$105,ToT!I$105,ToT!J$105,ToT!K$105),IF($D45="IMR (Soal Baru)",CHOOSE(COUNTIF($D$2:$D45,$D45),'IMR (Soal Baru)'!B$105,'IMR (Soal Baru)'!C$105,'IMR (Soal Baru)'!D$105,'IMR (Soal Baru)'!E$105,'IMR (Soal Baru)'!F$105,'IMR (Soal Baru)'!G$105,'IMR (Soal Baru)'!H$105,'IMR (Soal Baru)'!I$105,'IMR (Soal Baru)'!J$105,'IMR (Soal Baru)'!K$105),IF($D45="TKO",CHOOSE(COUNTIF($D$2:$D45,$D45),TKO!B$105,TKO!C$105,TKO!D$105,TKO!E$105,TKO!F$105,TKO!G$105,TKO!H$105,TKO!I$105,TKO!J$105,TKO!K$105),IF($D45="AUI",CHOOSE(COUNTIF($D$2:$D45,$D45),AUI!B$105,AUI!C$105,AUI!D$105,AUI!E$105,AUI!F$105,AUI!G$105,AUI!H$105,AUI!I$105,AUI!J$105,AUI!K$105),IF($D45="LIM",CHOOSE(COUNTIF($D$2:$D45,$D45),LIM!B$105,LIM!C$105,LIM!D$105,LIM!E$105,LIM!F$105,LIM!G$105,LIM!H$105,LIM!I$105,LIM!J$105,LIM!K$105),"")))))))))</f>
        <v>48</v>
      </c>
    </row>
    <row r="46" spans="1:5" ht="15" thickBot="1" x14ac:dyDescent="0.4">
      <c r="A46" s="106" t="s">
        <v>847</v>
      </c>
      <c r="B46" s="105" t="s">
        <v>758</v>
      </c>
      <c r="C46" s="105" t="s">
        <v>732</v>
      </c>
      <c r="D46" s="108" t="str">
        <f t="shared" si="1"/>
        <v>TKO</v>
      </c>
      <c r="E46" s="108">
        <f>IF($D46="","",IF(COUNTIF($D$2:$D46,$D46)&gt;10,"",IF($D46="AIL",CHOOSE(COUNTIF($D$2:$D46,$D46),AIL!B$105,AIL!C$105,AIL!D$105,AIL!E$105,AIL!F$105,AIL!G$105,AIL!H$105,AIL!I$105,AIL!J$105,AIL!K$105),IF($D46="LAD",CHOOSE(COUNTIF($D$2:$D46,$D46),LAD!B$105,LAD!C$105,LAD!D$105,LAD!E$105,LAD!F$105,LAD!G$105,LAD!H$105,LAD!I$105,LAD!J$105,LAD!K$105),IF($D46="ToT",CHOOSE(COUNTIF($D$2:$D46,$D46),ToT!B$105,ToT!C$105,ToT!D$105,ToT!E$105,ToT!F$105,ToT!G$105,ToT!H$105,ToT!I$105,ToT!J$105,ToT!K$105),IF($D46="IMR (Soal Baru)",CHOOSE(COUNTIF($D$2:$D46,$D46),'IMR (Soal Baru)'!B$105,'IMR (Soal Baru)'!C$105,'IMR (Soal Baru)'!D$105,'IMR (Soal Baru)'!E$105,'IMR (Soal Baru)'!F$105,'IMR (Soal Baru)'!G$105,'IMR (Soal Baru)'!H$105,'IMR (Soal Baru)'!I$105,'IMR (Soal Baru)'!J$105,'IMR (Soal Baru)'!K$105),IF($D46="TKO",CHOOSE(COUNTIF($D$2:$D46,$D46),TKO!B$105,TKO!C$105,TKO!D$105,TKO!E$105,TKO!F$105,TKO!G$105,TKO!H$105,TKO!I$105,TKO!J$105,TKO!K$105),IF($D46="AUI",CHOOSE(COUNTIF($D$2:$D46,$D46),AUI!B$105,AUI!C$105,AUI!D$105,AUI!E$105,AUI!F$105,AUI!G$105,AUI!H$105,AUI!I$105,AUI!J$105,AUI!K$105),IF($D46="LIM",CHOOSE(COUNTIF($D$2:$D46,$D46),LIM!B$105,LIM!C$105,LIM!D$105,LIM!E$105,LIM!F$105,LIM!G$105,LIM!H$105,LIM!I$105,LIM!J$105,LIM!K$105),"")))))))))</f>
        <v>45</v>
      </c>
    </row>
    <row r="47" spans="1:5" ht="15" thickBot="1" x14ac:dyDescent="0.4">
      <c r="A47" s="106" t="s">
        <v>857</v>
      </c>
      <c r="B47" s="105" t="s">
        <v>758</v>
      </c>
      <c r="C47" s="105" t="s">
        <v>732</v>
      </c>
      <c r="D47" s="108" t="str">
        <f t="shared" si="1"/>
        <v>TKO</v>
      </c>
      <c r="E47" s="108">
        <f>IF($D47="","",IF(COUNTIF($D$2:$D47,$D47)&gt;10,"",IF($D47="AIL",CHOOSE(COUNTIF($D$2:$D47,$D47),AIL!B$105,AIL!C$105,AIL!D$105,AIL!E$105,AIL!F$105,AIL!G$105,AIL!H$105,AIL!I$105,AIL!J$105,AIL!K$105),IF($D47="LAD",CHOOSE(COUNTIF($D$2:$D47,$D47),LAD!B$105,LAD!C$105,LAD!D$105,LAD!E$105,LAD!F$105,LAD!G$105,LAD!H$105,LAD!I$105,LAD!J$105,LAD!K$105),IF($D47="ToT",CHOOSE(COUNTIF($D$2:$D47,$D47),ToT!B$105,ToT!C$105,ToT!D$105,ToT!E$105,ToT!F$105,ToT!G$105,ToT!H$105,ToT!I$105,ToT!J$105,ToT!K$105),IF($D47="IMR (Soal Baru)",CHOOSE(COUNTIF($D$2:$D47,$D47),'IMR (Soal Baru)'!B$105,'IMR (Soal Baru)'!C$105,'IMR (Soal Baru)'!D$105,'IMR (Soal Baru)'!E$105,'IMR (Soal Baru)'!F$105,'IMR (Soal Baru)'!G$105,'IMR (Soal Baru)'!H$105,'IMR (Soal Baru)'!I$105,'IMR (Soal Baru)'!J$105,'IMR (Soal Baru)'!K$105),IF($D47="TKO",CHOOSE(COUNTIF($D$2:$D47,$D47),TKO!B$105,TKO!C$105,TKO!D$105,TKO!E$105,TKO!F$105,TKO!G$105,TKO!H$105,TKO!I$105,TKO!J$105,TKO!K$105),IF($D47="AUI",CHOOSE(COUNTIF($D$2:$D47,$D47),AUI!B$105,AUI!C$105,AUI!D$105,AUI!E$105,AUI!F$105,AUI!G$105,AUI!H$105,AUI!I$105,AUI!J$105,AUI!K$105),IF($D47="LIM",CHOOSE(COUNTIF($D$2:$D47,$D47),LIM!B$105,LIM!C$105,LIM!D$105,LIM!E$105,LIM!F$105,LIM!G$105,LIM!H$105,LIM!I$105,LIM!J$105,LIM!K$105),"")))))))))</f>
        <v>39</v>
      </c>
    </row>
    <row r="48" spans="1:5" ht="15" thickBot="1" x14ac:dyDescent="0.4">
      <c r="A48" s="106" t="s">
        <v>845</v>
      </c>
      <c r="B48" s="105" t="s">
        <v>757</v>
      </c>
      <c r="C48" s="105" t="s">
        <v>732</v>
      </c>
      <c r="D48" s="108" t="str">
        <f t="shared" si="1"/>
        <v>TKO</v>
      </c>
      <c r="E48" s="108">
        <f>IF($D48="","",IF(COUNTIF($D$2:$D48,$D48)&gt;10,"",IF($D48="AIL",CHOOSE(COUNTIF($D$2:$D48,$D48),AIL!B$105,AIL!C$105,AIL!D$105,AIL!E$105,AIL!F$105,AIL!G$105,AIL!H$105,AIL!I$105,AIL!J$105,AIL!K$105),IF($D48="LAD",CHOOSE(COUNTIF($D$2:$D48,$D48),LAD!B$105,LAD!C$105,LAD!D$105,LAD!E$105,LAD!F$105,LAD!G$105,LAD!H$105,LAD!I$105,LAD!J$105,LAD!K$105),IF($D48="ToT",CHOOSE(COUNTIF($D$2:$D48,$D48),ToT!B$105,ToT!C$105,ToT!D$105,ToT!E$105,ToT!F$105,ToT!G$105,ToT!H$105,ToT!I$105,ToT!J$105,ToT!K$105),IF($D48="IMR (Soal Baru)",CHOOSE(COUNTIF($D$2:$D48,$D48),'IMR (Soal Baru)'!B$105,'IMR (Soal Baru)'!C$105,'IMR (Soal Baru)'!D$105,'IMR (Soal Baru)'!E$105,'IMR (Soal Baru)'!F$105,'IMR (Soal Baru)'!G$105,'IMR (Soal Baru)'!H$105,'IMR (Soal Baru)'!I$105,'IMR (Soal Baru)'!J$105,'IMR (Soal Baru)'!K$105),IF($D48="TKO",CHOOSE(COUNTIF($D$2:$D48,$D48),TKO!B$105,TKO!C$105,TKO!D$105,TKO!E$105,TKO!F$105,TKO!G$105,TKO!H$105,TKO!I$105,TKO!J$105,TKO!K$105),IF($D48="AUI",CHOOSE(COUNTIF($D$2:$D48,$D48),AUI!B$105,AUI!C$105,AUI!D$105,AUI!E$105,AUI!F$105,AUI!G$105,AUI!H$105,AUI!I$105,AUI!J$105,AUI!K$105),IF($D48="LIM",CHOOSE(COUNTIF($D$2:$D48,$D48),LIM!B$105,LIM!C$105,LIM!D$105,LIM!E$105,LIM!F$105,LIM!G$105,LIM!H$105,LIM!I$105,LIM!J$105,LIM!K$105),"")))))))))</f>
        <v>50</v>
      </c>
    </row>
    <row r="49" spans="1:5" ht="15" thickBot="1" x14ac:dyDescent="0.4">
      <c r="A49" s="106" t="s">
        <v>858</v>
      </c>
      <c r="B49" s="105" t="s">
        <v>758</v>
      </c>
      <c r="C49" s="105" t="s">
        <v>732</v>
      </c>
      <c r="D49" s="108" t="str">
        <f t="shared" si="1"/>
        <v>TKO</v>
      </c>
      <c r="E49" s="108">
        <f>IF($D49="","",IF(COUNTIF($D$2:$D49,$D49)&gt;10,"",IF($D49="AIL",CHOOSE(COUNTIF($D$2:$D49,$D49),AIL!B$105,AIL!C$105,AIL!D$105,AIL!E$105,AIL!F$105,AIL!G$105,AIL!H$105,AIL!I$105,AIL!J$105,AIL!K$105),IF($D49="LAD",CHOOSE(COUNTIF($D$2:$D49,$D49),LAD!B$105,LAD!C$105,LAD!D$105,LAD!E$105,LAD!F$105,LAD!G$105,LAD!H$105,LAD!I$105,LAD!J$105,LAD!K$105),IF($D49="ToT",CHOOSE(COUNTIF($D$2:$D49,$D49),ToT!B$105,ToT!C$105,ToT!D$105,ToT!E$105,ToT!F$105,ToT!G$105,ToT!H$105,ToT!I$105,ToT!J$105,ToT!K$105),IF($D49="IMR (Soal Baru)",CHOOSE(COUNTIF($D$2:$D49,$D49),'IMR (Soal Baru)'!B$105,'IMR (Soal Baru)'!C$105,'IMR (Soal Baru)'!D$105,'IMR (Soal Baru)'!E$105,'IMR (Soal Baru)'!F$105,'IMR (Soal Baru)'!G$105,'IMR (Soal Baru)'!H$105,'IMR (Soal Baru)'!I$105,'IMR (Soal Baru)'!J$105,'IMR (Soal Baru)'!K$105),IF($D49="TKO",CHOOSE(COUNTIF($D$2:$D49,$D49),TKO!B$105,TKO!C$105,TKO!D$105,TKO!E$105,TKO!F$105,TKO!G$105,TKO!H$105,TKO!I$105,TKO!J$105,TKO!K$105),IF($D49="AUI",CHOOSE(COUNTIF($D$2:$D49,$D49),AUI!B$105,AUI!C$105,AUI!D$105,AUI!E$105,AUI!F$105,AUI!G$105,AUI!H$105,AUI!I$105,AUI!J$105,AUI!K$105),IF($D49="LIM",CHOOSE(COUNTIF($D$2:$D49,$D49),LIM!B$105,LIM!C$105,LIM!D$105,LIM!E$105,LIM!F$105,LIM!G$105,LIM!H$105,LIM!I$105,LIM!J$105,LIM!K$105),"")))))))))</f>
        <v>34</v>
      </c>
    </row>
    <row r="50" spans="1:5" ht="15" thickBot="1" x14ac:dyDescent="0.4">
      <c r="A50" s="106" t="s">
        <v>859</v>
      </c>
      <c r="B50" s="105" t="s">
        <v>758</v>
      </c>
      <c r="C50" s="105" t="s">
        <v>732</v>
      </c>
      <c r="D50" s="108" t="str">
        <f t="shared" si="1"/>
        <v>TKO</v>
      </c>
      <c r="E50" s="108">
        <f>IF($D50="","",IF(COUNTIF($D$2:$D50,$D50)&gt;10,"",IF($D50="AIL",CHOOSE(COUNTIF($D$2:$D50,$D50),AIL!B$105,AIL!C$105,AIL!D$105,AIL!E$105,AIL!F$105,AIL!G$105,AIL!H$105,AIL!I$105,AIL!J$105,AIL!K$105),IF($D50="LAD",CHOOSE(COUNTIF($D$2:$D50,$D50),LAD!B$105,LAD!C$105,LAD!D$105,LAD!E$105,LAD!F$105,LAD!G$105,LAD!H$105,LAD!I$105,LAD!J$105,LAD!K$105),IF($D50="ToT",CHOOSE(COUNTIF($D$2:$D50,$D50),ToT!B$105,ToT!C$105,ToT!D$105,ToT!E$105,ToT!F$105,ToT!G$105,ToT!H$105,ToT!I$105,ToT!J$105,ToT!K$105),IF($D50="IMR (Soal Baru)",CHOOSE(COUNTIF($D$2:$D50,$D50),'IMR (Soal Baru)'!B$105,'IMR (Soal Baru)'!C$105,'IMR (Soal Baru)'!D$105,'IMR (Soal Baru)'!E$105,'IMR (Soal Baru)'!F$105,'IMR (Soal Baru)'!G$105,'IMR (Soal Baru)'!H$105,'IMR (Soal Baru)'!I$105,'IMR (Soal Baru)'!J$105,'IMR (Soal Baru)'!K$105),IF($D50="TKO",CHOOSE(COUNTIF($D$2:$D50,$D50),TKO!B$105,TKO!C$105,TKO!D$105,TKO!E$105,TKO!F$105,TKO!G$105,TKO!H$105,TKO!I$105,TKO!J$105,TKO!K$105),IF($D50="AUI",CHOOSE(COUNTIF($D$2:$D50,$D50),AUI!B$105,AUI!C$105,AUI!D$105,AUI!E$105,AUI!F$105,AUI!G$105,AUI!H$105,AUI!I$105,AUI!J$105,AUI!K$105),IF($D50="LIM",CHOOSE(COUNTIF($D$2:$D50,$D50),LIM!B$105,LIM!C$105,LIM!D$105,LIM!E$105,LIM!F$105,LIM!G$105,LIM!H$105,LIM!I$105,LIM!J$105,LIM!K$105),"")))))))))</f>
        <v>52</v>
      </c>
    </row>
    <row r="51" spans="1:5" ht="15" thickBot="1" x14ac:dyDescent="0.4">
      <c r="A51" s="106" t="s">
        <v>849</v>
      </c>
      <c r="B51" s="105" t="s">
        <v>758</v>
      </c>
      <c r="C51" s="105" t="s">
        <v>732</v>
      </c>
      <c r="D51" s="108" t="str">
        <f t="shared" si="1"/>
        <v>TKO</v>
      </c>
      <c r="E51" s="108">
        <f>IF($D51="","",IF(COUNTIF($D$2:$D51,$D51)&gt;10,"",IF($D51="AIL",CHOOSE(COUNTIF($D$2:$D51,$D51),AIL!B$105,AIL!C$105,AIL!D$105,AIL!E$105,AIL!F$105,AIL!G$105,AIL!H$105,AIL!I$105,AIL!J$105,AIL!K$105),IF($D51="LAD",CHOOSE(COUNTIF($D$2:$D51,$D51),LAD!B$105,LAD!C$105,LAD!D$105,LAD!E$105,LAD!F$105,LAD!G$105,LAD!H$105,LAD!I$105,LAD!J$105,LAD!K$105),IF($D51="ToT",CHOOSE(COUNTIF($D$2:$D51,$D51),ToT!B$105,ToT!C$105,ToT!D$105,ToT!E$105,ToT!F$105,ToT!G$105,ToT!H$105,ToT!I$105,ToT!J$105,ToT!K$105),IF($D51="IMR (Soal Baru)",CHOOSE(COUNTIF($D$2:$D51,$D51),'IMR (Soal Baru)'!B$105,'IMR (Soal Baru)'!C$105,'IMR (Soal Baru)'!D$105,'IMR (Soal Baru)'!E$105,'IMR (Soal Baru)'!F$105,'IMR (Soal Baru)'!G$105,'IMR (Soal Baru)'!H$105,'IMR (Soal Baru)'!I$105,'IMR (Soal Baru)'!J$105,'IMR (Soal Baru)'!K$105),IF($D51="TKO",CHOOSE(COUNTIF($D$2:$D51,$D51),TKO!B$105,TKO!C$105,TKO!D$105,TKO!E$105,TKO!F$105,TKO!G$105,TKO!H$105,TKO!I$105,TKO!J$105,TKO!K$105),IF($D51="AUI",CHOOSE(COUNTIF($D$2:$D51,$D51),AUI!B$105,AUI!C$105,AUI!D$105,AUI!E$105,AUI!F$105,AUI!G$105,AUI!H$105,AUI!I$105,AUI!J$105,AUI!K$105),IF($D51="LIM",CHOOSE(COUNTIF($D$2:$D51,$D51),LIM!B$105,LIM!C$105,LIM!D$105,LIM!E$105,LIM!F$105,LIM!G$105,LIM!H$105,LIM!I$105,LIM!J$105,LIM!K$105),"")))))))))</f>
        <v>47</v>
      </c>
    </row>
    <row r="52" spans="1:5" x14ac:dyDescent="0.35">
      <c r="A52" s="16" t="s">
        <v>852</v>
      </c>
      <c r="B52" s="16" t="s">
        <v>757</v>
      </c>
      <c r="C52" s="16" t="s">
        <v>742</v>
      </c>
      <c r="D52" s="108" t="str">
        <f t="shared" si="1"/>
        <v>ToT</v>
      </c>
      <c r="E52" s="108">
        <f>IF($D52="","",IF(COUNTIF($D$2:$D52,$D52)&gt;10,"",IF($D52="AIL",CHOOSE(COUNTIF($D$2:$D52,$D52),AIL!B$105,AIL!C$105,AIL!D$105,AIL!E$105,AIL!F$105,AIL!G$105,AIL!H$105,AIL!I$105,AIL!J$105,AIL!K$105),IF($D52="LAD",CHOOSE(COUNTIF($D$2:$D52,$D52),LAD!B$105,LAD!C$105,LAD!D$105,LAD!E$105,LAD!F$105,LAD!G$105,LAD!H$105,LAD!I$105,LAD!J$105,LAD!K$105),IF($D52="ToT",CHOOSE(COUNTIF($D$2:$D52,$D52),ToT!B$105,ToT!C$105,ToT!D$105,ToT!E$105,ToT!F$105,ToT!G$105,ToT!H$105,ToT!I$105,ToT!J$105,ToT!K$105),IF($D52="IMR (Soal Baru)",CHOOSE(COUNTIF($D$2:$D52,$D52),'IMR (Soal Baru)'!B$105,'IMR (Soal Baru)'!C$105,'IMR (Soal Baru)'!D$105,'IMR (Soal Baru)'!E$105,'IMR (Soal Baru)'!F$105,'IMR (Soal Baru)'!G$105,'IMR (Soal Baru)'!H$105,'IMR (Soal Baru)'!I$105,'IMR (Soal Baru)'!J$105,'IMR (Soal Baru)'!K$105),IF($D52="TKO",CHOOSE(COUNTIF($D$2:$D52,$D52),TKO!B$105,TKO!C$105,TKO!D$105,TKO!E$105,TKO!F$105,TKO!G$105,TKO!H$105,TKO!I$105,TKO!J$105,TKO!K$105),IF($D52="AUI",CHOOSE(COUNTIF($D$2:$D52,$D52),AUI!B$105,AUI!C$105,AUI!D$105,AUI!E$105,AUI!F$105,AUI!G$105,AUI!H$105,AUI!I$105,AUI!J$105,AUI!K$105),IF($D52="LIM",CHOOSE(COUNTIF($D$2:$D52,$D52),LIM!B$105,LIM!C$105,LIM!D$105,LIM!E$105,LIM!F$105,LIM!G$105,LIM!H$105,LIM!I$105,LIM!J$105,LIM!K$105),"")))))))))</f>
        <v>53</v>
      </c>
    </row>
    <row r="53" spans="1:5" x14ac:dyDescent="0.35">
      <c r="A53" s="16" t="s">
        <v>851</v>
      </c>
      <c r="B53" s="16" t="s">
        <v>758</v>
      </c>
      <c r="C53" s="16" t="s">
        <v>742</v>
      </c>
      <c r="D53" s="108" t="str">
        <f t="shared" si="1"/>
        <v>ToT</v>
      </c>
      <c r="E53" s="108">
        <f>IF($D53="","",IF(COUNTIF($D$2:$D53,$D53)&gt;10,"",IF($D53="AIL",CHOOSE(COUNTIF($D$2:$D53,$D53),AIL!B$105,AIL!C$105,AIL!D$105,AIL!E$105,AIL!F$105,AIL!G$105,AIL!H$105,AIL!I$105,AIL!J$105,AIL!K$105),IF($D53="LAD",CHOOSE(COUNTIF($D$2:$D53,$D53),LAD!B$105,LAD!C$105,LAD!D$105,LAD!E$105,LAD!F$105,LAD!G$105,LAD!H$105,LAD!I$105,LAD!J$105,LAD!K$105),IF($D53="ToT",CHOOSE(COUNTIF($D$2:$D53,$D53),ToT!B$105,ToT!C$105,ToT!D$105,ToT!E$105,ToT!F$105,ToT!G$105,ToT!H$105,ToT!I$105,ToT!J$105,ToT!K$105),IF($D53="IMR (Soal Baru)",CHOOSE(COUNTIF($D$2:$D53,$D53),'IMR (Soal Baru)'!B$105,'IMR (Soal Baru)'!C$105,'IMR (Soal Baru)'!D$105,'IMR (Soal Baru)'!E$105,'IMR (Soal Baru)'!F$105,'IMR (Soal Baru)'!G$105,'IMR (Soal Baru)'!H$105,'IMR (Soal Baru)'!I$105,'IMR (Soal Baru)'!J$105,'IMR (Soal Baru)'!K$105),IF($D53="TKO",CHOOSE(COUNTIF($D$2:$D53,$D53),TKO!B$105,TKO!C$105,TKO!D$105,TKO!E$105,TKO!F$105,TKO!G$105,TKO!H$105,TKO!I$105,TKO!J$105,TKO!K$105),IF($D53="AUI",CHOOSE(COUNTIF($D$2:$D53,$D53),AUI!B$105,AUI!C$105,AUI!D$105,AUI!E$105,AUI!F$105,AUI!G$105,AUI!H$105,AUI!I$105,AUI!J$105,AUI!K$105),IF($D53="LIM",CHOOSE(COUNTIF($D$2:$D53,$D53),LIM!B$105,LIM!C$105,LIM!D$105,LIM!E$105,LIM!F$105,LIM!G$105,LIM!H$105,LIM!I$105,LIM!J$105,LIM!K$105),"")))))))))</f>
        <v>53</v>
      </c>
    </row>
    <row r="54" spans="1:5" x14ac:dyDescent="0.35">
      <c r="A54" s="16" t="s">
        <v>850</v>
      </c>
      <c r="B54" s="16" t="s">
        <v>758</v>
      </c>
      <c r="C54" s="16" t="s">
        <v>742</v>
      </c>
      <c r="D54" s="108" t="str">
        <f t="shared" si="1"/>
        <v>ToT</v>
      </c>
      <c r="E54" s="108">
        <f>IF($D54="","",IF(COUNTIF($D$2:$D54,$D54)&gt;10,"",IF($D54="AIL",CHOOSE(COUNTIF($D$2:$D54,$D54),AIL!B$105,AIL!C$105,AIL!D$105,AIL!E$105,AIL!F$105,AIL!G$105,AIL!H$105,AIL!I$105,AIL!J$105,AIL!K$105),IF($D54="LAD",CHOOSE(COUNTIF($D$2:$D54,$D54),LAD!B$105,LAD!C$105,LAD!D$105,LAD!E$105,LAD!F$105,LAD!G$105,LAD!H$105,LAD!I$105,LAD!J$105,LAD!K$105),IF($D54="ToT",CHOOSE(COUNTIF($D$2:$D54,$D54),ToT!B$105,ToT!C$105,ToT!D$105,ToT!E$105,ToT!F$105,ToT!G$105,ToT!H$105,ToT!I$105,ToT!J$105,ToT!K$105),IF($D54="IMR (Soal Baru)",CHOOSE(COUNTIF($D$2:$D54,$D54),'IMR (Soal Baru)'!B$105,'IMR (Soal Baru)'!C$105,'IMR (Soal Baru)'!D$105,'IMR (Soal Baru)'!E$105,'IMR (Soal Baru)'!F$105,'IMR (Soal Baru)'!G$105,'IMR (Soal Baru)'!H$105,'IMR (Soal Baru)'!I$105,'IMR (Soal Baru)'!J$105,'IMR (Soal Baru)'!K$105),IF($D54="TKO",CHOOSE(COUNTIF($D$2:$D54,$D54),TKO!B$105,TKO!C$105,TKO!D$105,TKO!E$105,TKO!F$105,TKO!G$105,TKO!H$105,TKO!I$105,TKO!J$105,TKO!K$105),IF($D54="AUI",CHOOSE(COUNTIF($D$2:$D54,$D54),AUI!B$105,AUI!C$105,AUI!D$105,AUI!E$105,AUI!F$105,AUI!G$105,AUI!H$105,AUI!I$105,AUI!J$105,AUI!K$105),IF($D54="LIM",CHOOSE(COUNTIF($D$2:$D54,$D54),LIM!B$105,LIM!C$105,LIM!D$105,LIM!E$105,LIM!F$105,LIM!G$105,LIM!H$105,LIM!I$105,LIM!J$105,LIM!K$105),"")))))))))</f>
        <v>59</v>
      </c>
    </row>
    <row r="55" spans="1:5" x14ac:dyDescent="0.35">
      <c r="A55" s="16" t="s">
        <v>739</v>
      </c>
      <c r="B55" s="16" t="s">
        <v>757</v>
      </c>
      <c r="C55" s="16" t="s">
        <v>737</v>
      </c>
      <c r="D55" s="108" t="str">
        <f t="shared" si="1"/>
        <v>ToT</v>
      </c>
      <c r="E55" s="108">
        <f>IF($D55="","",IF(COUNTIF($D$2:$D55,$D55)&gt;10,"",IF($D55="AIL",CHOOSE(COUNTIF($D$2:$D55,$D55),AIL!B$105,AIL!C$105,AIL!D$105,AIL!E$105,AIL!F$105,AIL!G$105,AIL!H$105,AIL!I$105,AIL!J$105,AIL!K$105),IF($D55="LAD",CHOOSE(COUNTIF($D$2:$D55,$D55),LAD!B$105,LAD!C$105,LAD!D$105,LAD!E$105,LAD!F$105,LAD!G$105,LAD!H$105,LAD!I$105,LAD!J$105,LAD!K$105),IF($D55="ToT",CHOOSE(COUNTIF($D$2:$D55,$D55),ToT!B$105,ToT!C$105,ToT!D$105,ToT!E$105,ToT!F$105,ToT!G$105,ToT!H$105,ToT!I$105,ToT!J$105,ToT!K$105),IF($D55="IMR (Soal Baru)",CHOOSE(COUNTIF($D$2:$D55,$D55),'IMR (Soal Baru)'!B$105,'IMR (Soal Baru)'!C$105,'IMR (Soal Baru)'!D$105,'IMR (Soal Baru)'!E$105,'IMR (Soal Baru)'!F$105,'IMR (Soal Baru)'!G$105,'IMR (Soal Baru)'!H$105,'IMR (Soal Baru)'!I$105,'IMR (Soal Baru)'!J$105,'IMR (Soal Baru)'!K$105),IF($D55="TKO",CHOOSE(COUNTIF($D$2:$D55,$D55),TKO!B$105,TKO!C$105,TKO!D$105,TKO!E$105,TKO!F$105,TKO!G$105,TKO!H$105,TKO!I$105,TKO!J$105,TKO!K$105),IF($D55="AUI",CHOOSE(COUNTIF($D$2:$D55,$D55),AUI!B$105,AUI!C$105,AUI!D$105,AUI!E$105,AUI!F$105,AUI!G$105,AUI!H$105,AUI!I$105,AUI!J$105,AUI!K$105),IF($D55="LIM",CHOOSE(COUNTIF($D$2:$D55,$D55),LIM!B$105,LIM!C$105,LIM!D$105,LIM!E$105,LIM!F$105,LIM!G$105,LIM!H$105,LIM!I$105,LIM!J$105,LIM!K$105),"")))))))))</f>
        <v>57</v>
      </c>
    </row>
    <row r="56" spans="1:5" x14ac:dyDescent="0.35">
      <c r="A56" s="16" t="s">
        <v>740</v>
      </c>
      <c r="B56" s="16" t="s">
        <v>757</v>
      </c>
      <c r="C56" s="16" t="s">
        <v>737</v>
      </c>
      <c r="D56" s="108" t="str">
        <f t="shared" si="1"/>
        <v>ToT</v>
      </c>
      <c r="E56" s="108">
        <f>IF($D56="","",IF(COUNTIF($D$2:$D56,$D56)&gt;10,"",IF($D56="AIL",CHOOSE(COUNTIF($D$2:$D56,$D56),AIL!B$105,AIL!C$105,AIL!D$105,AIL!E$105,AIL!F$105,AIL!G$105,AIL!H$105,AIL!I$105,AIL!J$105,AIL!K$105),IF($D56="LAD",CHOOSE(COUNTIF($D$2:$D56,$D56),LAD!B$105,LAD!C$105,LAD!D$105,LAD!E$105,LAD!F$105,LAD!G$105,LAD!H$105,LAD!I$105,LAD!J$105,LAD!K$105),IF($D56="ToT",CHOOSE(COUNTIF($D$2:$D56,$D56),ToT!B$105,ToT!C$105,ToT!D$105,ToT!E$105,ToT!F$105,ToT!G$105,ToT!H$105,ToT!I$105,ToT!J$105,ToT!K$105),IF($D56="IMR (Soal Baru)",CHOOSE(COUNTIF($D$2:$D56,$D56),'IMR (Soal Baru)'!B$105,'IMR (Soal Baru)'!C$105,'IMR (Soal Baru)'!D$105,'IMR (Soal Baru)'!E$105,'IMR (Soal Baru)'!F$105,'IMR (Soal Baru)'!G$105,'IMR (Soal Baru)'!H$105,'IMR (Soal Baru)'!I$105,'IMR (Soal Baru)'!J$105,'IMR (Soal Baru)'!K$105),IF($D56="TKO",CHOOSE(COUNTIF($D$2:$D56,$D56),TKO!B$105,TKO!C$105,TKO!D$105,TKO!E$105,TKO!F$105,TKO!G$105,TKO!H$105,TKO!I$105,TKO!J$105,TKO!K$105),IF($D56="AUI",CHOOSE(COUNTIF($D$2:$D56,$D56),AUI!B$105,AUI!C$105,AUI!D$105,AUI!E$105,AUI!F$105,AUI!G$105,AUI!H$105,AUI!I$105,AUI!J$105,AUI!K$105),IF($D56="LIM",CHOOSE(COUNTIF($D$2:$D56,$D56),LIM!B$105,LIM!C$105,LIM!D$105,LIM!E$105,LIM!F$105,LIM!G$105,LIM!H$105,LIM!I$105,LIM!J$105,LIM!K$105),"")))))))))</f>
        <v>48</v>
      </c>
    </row>
    <row r="57" spans="1:5" x14ac:dyDescent="0.35">
      <c r="A57" s="16" t="s">
        <v>741</v>
      </c>
      <c r="B57" s="16" t="s">
        <v>757</v>
      </c>
      <c r="C57" s="16" t="s">
        <v>737</v>
      </c>
      <c r="D57" s="108" t="str">
        <f t="shared" si="1"/>
        <v>ToT</v>
      </c>
      <c r="E57" s="108">
        <f>IF($D57="","",IF(COUNTIF($D$2:$D57,$D57)&gt;10,"",IF($D57="AIL",CHOOSE(COUNTIF($D$2:$D57,$D57),AIL!B$105,AIL!C$105,AIL!D$105,AIL!E$105,AIL!F$105,AIL!G$105,AIL!H$105,AIL!I$105,AIL!J$105,AIL!K$105),IF($D57="LAD",CHOOSE(COUNTIF($D$2:$D57,$D57),LAD!B$105,LAD!C$105,LAD!D$105,LAD!E$105,LAD!F$105,LAD!G$105,LAD!H$105,LAD!I$105,LAD!J$105,LAD!K$105),IF($D57="ToT",CHOOSE(COUNTIF($D$2:$D57,$D57),ToT!B$105,ToT!C$105,ToT!D$105,ToT!E$105,ToT!F$105,ToT!G$105,ToT!H$105,ToT!I$105,ToT!J$105,ToT!K$105),IF($D57="IMR (Soal Baru)",CHOOSE(COUNTIF($D$2:$D57,$D57),'IMR (Soal Baru)'!B$105,'IMR (Soal Baru)'!C$105,'IMR (Soal Baru)'!D$105,'IMR (Soal Baru)'!E$105,'IMR (Soal Baru)'!F$105,'IMR (Soal Baru)'!G$105,'IMR (Soal Baru)'!H$105,'IMR (Soal Baru)'!I$105,'IMR (Soal Baru)'!J$105,'IMR (Soal Baru)'!K$105),IF($D57="TKO",CHOOSE(COUNTIF($D$2:$D57,$D57),TKO!B$105,TKO!C$105,TKO!D$105,TKO!E$105,TKO!F$105,TKO!G$105,TKO!H$105,TKO!I$105,TKO!J$105,TKO!K$105),IF($D57="AUI",CHOOSE(COUNTIF($D$2:$D57,$D57),AUI!B$105,AUI!C$105,AUI!D$105,AUI!E$105,AUI!F$105,AUI!G$105,AUI!H$105,AUI!I$105,AUI!J$105,AUI!K$105),IF($D57="LIM",CHOOSE(COUNTIF($D$2:$D57,$D57),LIM!B$105,LIM!C$105,LIM!D$105,LIM!E$105,LIM!F$105,LIM!G$105,LIM!H$105,LIM!I$105,LIM!J$105,LIM!K$105),"")))))))))</f>
        <v>49</v>
      </c>
    </row>
    <row r="58" spans="1:5" x14ac:dyDescent="0.35">
      <c r="A58" s="16" t="s">
        <v>738</v>
      </c>
      <c r="B58" s="16" t="s">
        <v>758</v>
      </c>
      <c r="C58" s="16" t="s">
        <v>737</v>
      </c>
      <c r="D58" s="108" t="str">
        <f t="shared" si="1"/>
        <v>ToT</v>
      </c>
      <c r="E58" s="108">
        <f>IF($D58="","",IF(COUNTIF($D$2:$D58,$D58)&gt;10,"",IF($D58="AIL",CHOOSE(COUNTIF($D$2:$D58,$D58),AIL!B$105,AIL!C$105,AIL!D$105,AIL!E$105,AIL!F$105,AIL!G$105,AIL!H$105,AIL!I$105,AIL!J$105,AIL!K$105),IF($D58="LAD",CHOOSE(COUNTIF($D$2:$D58,$D58),LAD!B$105,LAD!C$105,LAD!D$105,LAD!E$105,LAD!F$105,LAD!G$105,LAD!H$105,LAD!I$105,LAD!J$105,LAD!K$105),IF($D58="ToT",CHOOSE(COUNTIF($D$2:$D58,$D58),ToT!B$105,ToT!C$105,ToT!D$105,ToT!E$105,ToT!F$105,ToT!G$105,ToT!H$105,ToT!I$105,ToT!J$105,ToT!K$105),IF($D58="IMR (Soal Baru)",CHOOSE(COUNTIF($D$2:$D58,$D58),'IMR (Soal Baru)'!B$105,'IMR (Soal Baru)'!C$105,'IMR (Soal Baru)'!D$105,'IMR (Soal Baru)'!E$105,'IMR (Soal Baru)'!F$105,'IMR (Soal Baru)'!G$105,'IMR (Soal Baru)'!H$105,'IMR (Soal Baru)'!I$105,'IMR (Soal Baru)'!J$105,'IMR (Soal Baru)'!K$105),IF($D58="TKO",CHOOSE(COUNTIF($D$2:$D58,$D58),TKO!B$105,TKO!C$105,TKO!D$105,TKO!E$105,TKO!F$105,TKO!G$105,TKO!H$105,TKO!I$105,TKO!J$105,TKO!K$105),IF($D58="AUI",CHOOSE(COUNTIF($D$2:$D58,$D58),AUI!B$105,AUI!C$105,AUI!D$105,AUI!E$105,AUI!F$105,AUI!G$105,AUI!H$105,AUI!I$105,AUI!J$105,AUI!K$105),IF($D58="LIM",CHOOSE(COUNTIF($D$2:$D58,$D58),LIM!B$105,LIM!C$105,LIM!D$105,LIM!E$105,LIM!F$105,LIM!G$105,LIM!H$105,LIM!I$105,LIM!J$105,LIM!K$105),"")))))))))</f>
        <v>46</v>
      </c>
    </row>
    <row r="59" spans="1:5" x14ac:dyDescent="0.35">
      <c r="A59" s="16" t="s">
        <v>736</v>
      </c>
      <c r="B59" s="16" t="s">
        <v>758</v>
      </c>
      <c r="C59" s="16" t="s">
        <v>737</v>
      </c>
      <c r="D59" s="108" t="str">
        <f t="shared" si="1"/>
        <v>ToT</v>
      </c>
      <c r="E59" s="108">
        <f>IF($D59="","",IF(COUNTIF($D$2:$D59,$D59)&gt;10,"",IF($D59="AIL",CHOOSE(COUNTIF($D$2:$D59,$D59),AIL!B$105,AIL!C$105,AIL!D$105,AIL!E$105,AIL!F$105,AIL!G$105,AIL!H$105,AIL!I$105,AIL!J$105,AIL!K$105),IF($D59="LAD",CHOOSE(COUNTIF($D$2:$D59,$D59),LAD!B$105,LAD!C$105,LAD!D$105,LAD!E$105,LAD!F$105,LAD!G$105,LAD!H$105,LAD!I$105,LAD!J$105,LAD!K$105),IF($D59="ToT",CHOOSE(COUNTIF($D$2:$D59,$D59),ToT!B$105,ToT!C$105,ToT!D$105,ToT!E$105,ToT!F$105,ToT!G$105,ToT!H$105,ToT!I$105,ToT!J$105,ToT!K$105),IF($D59="IMR (Soal Baru)",CHOOSE(COUNTIF($D$2:$D59,$D59),'IMR (Soal Baru)'!B$105,'IMR (Soal Baru)'!C$105,'IMR (Soal Baru)'!D$105,'IMR (Soal Baru)'!E$105,'IMR (Soal Baru)'!F$105,'IMR (Soal Baru)'!G$105,'IMR (Soal Baru)'!H$105,'IMR (Soal Baru)'!I$105,'IMR (Soal Baru)'!J$105,'IMR (Soal Baru)'!K$105),IF($D59="TKO",CHOOSE(COUNTIF($D$2:$D59,$D59),TKO!B$105,TKO!C$105,TKO!D$105,TKO!E$105,TKO!F$105,TKO!G$105,TKO!H$105,TKO!I$105,TKO!J$105,TKO!K$105),IF($D59="AUI",CHOOSE(COUNTIF($D$2:$D59,$D59),AUI!B$105,AUI!C$105,AUI!D$105,AUI!E$105,AUI!F$105,AUI!G$105,AUI!H$105,AUI!I$105,AUI!J$105,AUI!K$105),IF($D59="LIM",CHOOSE(COUNTIF($D$2:$D59,$D59),LIM!B$105,LIM!C$105,LIM!D$105,LIM!E$105,LIM!F$105,LIM!G$105,LIM!H$105,LIM!I$105,LIM!J$105,LIM!K$105),"")))))))))</f>
        <v>61</v>
      </c>
    </row>
    <row r="60" spans="1:5" x14ac:dyDescent="0.35">
      <c r="A60" s="16" t="s">
        <v>853</v>
      </c>
      <c r="B60" s="16" t="s">
        <v>757</v>
      </c>
      <c r="C60" s="16" t="s">
        <v>730</v>
      </c>
      <c r="D60" s="108" t="str">
        <f t="shared" si="1"/>
        <v>ToT</v>
      </c>
      <c r="E60" s="108">
        <f>IF($D60="","",IF(COUNTIF($D$2:$D60,$D60)&gt;10,"",IF($D60="AIL",CHOOSE(COUNTIF($D$2:$D60,$D60),AIL!B$105,AIL!C$105,AIL!D$105,AIL!E$105,AIL!F$105,AIL!G$105,AIL!H$105,AIL!I$105,AIL!J$105,AIL!K$105),IF($D60="LAD",CHOOSE(COUNTIF($D$2:$D60,$D60),LAD!B$105,LAD!C$105,LAD!D$105,LAD!E$105,LAD!F$105,LAD!G$105,LAD!H$105,LAD!I$105,LAD!J$105,LAD!K$105),IF($D60="ToT",CHOOSE(COUNTIF($D$2:$D60,$D60),ToT!B$105,ToT!C$105,ToT!D$105,ToT!E$105,ToT!F$105,ToT!G$105,ToT!H$105,ToT!I$105,ToT!J$105,ToT!K$105),IF($D60="IMR (Soal Baru)",CHOOSE(COUNTIF($D$2:$D60,$D60),'IMR (Soal Baru)'!B$105,'IMR (Soal Baru)'!C$105,'IMR (Soal Baru)'!D$105,'IMR (Soal Baru)'!E$105,'IMR (Soal Baru)'!F$105,'IMR (Soal Baru)'!G$105,'IMR (Soal Baru)'!H$105,'IMR (Soal Baru)'!I$105,'IMR (Soal Baru)'!J$105,'IMR (Soal Baru)'!K$105),IF($D60="TKO",CHOOSE(COUNTIF($D$2:$D60,$D60),TKO!B$105,TKO!C$105,TKO!D$105,TKO!E$105,TKO!F$105,TKO!G$105,TKO!H$105,TKO!I$105,TKO!J$105,TKO!K$105),IF($D60="AUI",CHOOSE(COUNTIF($D$2:$D60,$D60),AUI!B$105,AUI!C$105,AUI!D$105,AUI!E$105,AUI!F$105,AUI!G$105,AUI!H$105,AUI!I$105,AUI!J$105,AUI!K$105),IF($D60="LIM",CHOOSE(COUNTIF($D$2:$D60,$D60),LIM!B$105,LIM!C$105,LIM!D$105,LIM!E$105,LIM!F$105,LIM!G$105,LIM!H$105,LIM!I$105,LIM!J$105,LIM!K$105),"")))))))))</f>
        <v>48</v>
      </c>
    </row>
    <row r="61" spans="1:5" x14ac:dyDescent="0.35">
      <c r="A61" s="16" t="s">
        <v>854</v>
      </c>
      <c r="B61" s="16" t="s">
        <v>758</v>
      </c>
      <c r="C61" s="16" t="s">
        <v>730</v>
      </c>
      <c r="D61" s="108" t="str">
        <f t="shared" si="1"/>
        <v>ToT</v>
      </c>
      <c r="E61" s="108">
        <f>IF($D61="","",IF(COUNTIF($D$2:$D61,$D61)&gt;10,"",IF($D61="AIL",CHOOSE(COUNTIF($D$2:$D61,$D61),AIL!B$105,AIL!C$105,AIL!D$105,AIL!E$105,AIL!F$105,AIL!G$105,AIL!H$105,AIL!I$105,AIL!J$105,AIL!K$105),IF($D61="LAD",CHOOSE(COUNTIF($D$2:$D61,$D61),LAD!B$105,LAD!C$105,LAD!D$105,LAD!E$105,LAD!F$105,LAD!G$105,LAD!H$105,LAD!I$105,LAD!J$105,LAD!K$105),IF($D61="ToT",CHOOSE(COUNTIF($D$2:$D61,$D61),ToT!B$105,ToT!C$105,ToT!D$105,ToT!E$105,ToT!F$105,ToT!G$105,ToT!H$105,ToT!I$105,ToT!J$105,ToT!K$105),IF($D61="IMR (Soal Baru)",CHOOSE(COUNTIF($D$2:$D61,$D61),'IMR (Soal Baru)'!B$105,'IMR (Soal Baru)'!C$105,'IMR (Soal Baru)'!D$105,'IMR (Soal Baru)'!E$105,'IMR (Soal Baru)'!F$105,'IMR (Soal Baru)'!G$105,'IMR (Soal Baru)'!H$105,'IMR (Soal Baru)'!I$105,'IMR (Soal Baru)'!J$105,'IMR (Soal Baru)'!K$105),IF($D61="TKO",CHOOSE(COUNTIF($D$2:$D61,$D61),TKO!B$105,TKO!C$105,TKO!D$105,TKO!E$105,TKO!F$105,TKO!G$105,TKO!H$105,TKO!I$105,TKO!J$105,TKO!K$105),IF($D61="AUI",CHOOSE(COUNTIF($D$2:$D61,$D61),AUI!B$105,AUI!C$105,AUI!D$105,AUI!E$105,AUI!F$105,AUI!G$105,AUI!H$105,AUI!I$105,AUI!J$105,AUI!K$105),IF($D61="LIM",CHOOSE(COUNTIF($D$2:$D61,$D61),LIM!B$105,LIM!C$105,LIM!D$105,LIM!E$105,LIM!F$105,LIM!G$105,LIM!H$105,LIM!I$105,LIM!J$105,LIM!K$105),"")))))))))</f>
        <v>50</v>
      </c>
    </row>
  </sheetData>
  <autoFilter ref="A1:E61" xr:uid="{3B5B111D-8E82-4A70-B04D-E7F46959B210}">
    <sortState xmlns:xlrd2="http://schemas.microsoft.com/office/spreadsheetml/2017/richdata2" ref="A2:E61">
      <sortCondition ref="D1:D61"/>
    </sortState>
  </autoFilter>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AIL</vt:lpstr>
      <vt:lpstr>DIF-Rasch-AIL</vt:lpstr>
      <vt:lpstr>LAD</vt:lpstr>
      <vt:lpstr>DIF-Rasch- LAD</vt:lpstr>
      <vt:lpstr>IMR</vt:lpstr>
      <vt:lpstr>DIF-Rasch-IMR</vt:lpstr>
      <vt:lpstr>IMR (Soal Baru)</vt:lpstr>
      <vt:lpstr>DIF-Rasch-IMR Update</vt:lpstr>
      <vt:lpstr>ToT</vt:lpstr>
      <vt:lpstr>DIF-Rasch-ToT OBE</vt:lpstr>
      <vt:lpstr>TKO</vt:lpstr>
      <vt:lpstr>DIF-Rasch-TKO</vt:lpstr>
      <vt:lpstr>AUI</vt:lpstr>
      <vt:lpstr>DIF-Rasch-AUI</vt:lpstr>
      <vt:lpstr>LIM</vt:lpstr>
      <vt:lpstr>DIF-Rasch-LIM</vt:lpstr>
      <vt:lpstr>Asesi</vt:lpstr>
      <vt:lpstr>AUI!Print_Area</vt:lpstr>
      <vt:lpstr>'DIF-Rasch- LAD'!Print_Area</vt:lpstr>
      <vt:lpstr>'DIF-Rasch-AIL'!Print_Area</vt:lpstr>
      <vt:lpstr>'DIF-Rasch-AUI'!Print_Area</vt:lpstr>
      <vt:lpstr>'DIF-Rasch-IMR'!Print_Area</vt:lpstr>
      <vt:lpstr>'DIF-Rasch-IMR Update'!Print_Area</vt:lpstr>
      <vt:lpstr>'DIF-Rasch-LIM'!Print_Area</vt:lpstr>
      <vt:lpstr>'DIF-Rasch-TKO'!Print_Area</vt:lpstr>
      <vt:lpstr>'DIF-Rasch-ToT OBE'!Print_Area</vt:lpstr>
      <vt:lpstr>LIM!Print_Area</vt:lpstr>
      <vt:lpstr>TKO!Print_Area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hendra</dc:creator>
  <cp:lastModifiedBy>edukasi cendekia</cp:lastModifiedBy>
  <cp:lastPrinted>2026-08-06T04:19:33Z</cp:lastPrinted>
  <dcterms:created xsi:type="dcterms:W3CDTF">2024-06-10T05:27:52Z</dcterms:created>
  <dcterms:modified xsi:type="dcterms:W3CDTF">2026-08-19T10:51:41Z</dcterms:modified>
</cp:coreProperties>
</file>